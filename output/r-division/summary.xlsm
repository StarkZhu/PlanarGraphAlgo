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r-division/"/>
    </mc:Choice>
  </mc:AlternateContent>
  <xr:revisionPtr revIDLastSave="0" documentId="13_ncr:1_{356494C7-D818-C746-9185-1A8907870441}" xr6:coauthVersionLast="32" xr6:coauthVersionMax="32" xr10:uidLastSave="{00000000-0000-0000-0000-000000000000}"/>
  <bookViews>
    <workbookView xWindow="9760" yWindow="2060" windowWidth="21800" windowHeight="13940" tabRatio="500" activeTab="7" xr2:uid="{00000000-000D-0000-FFFF-FFFF00000000}"/>
  </bookViews>
  <sheets>
    <sheet name="grids" sheetId="1" r:id="rId1"/>
    <sheet name="random" sheetId="7" r:id="rId2"/>
    <sheet name="sphere_c" sheetId="9" r:id="rId3"/>
    <sheet name="sphere_t" sheetId="8" r:id="rId4"/>
    <sheet name="cylinder_r" sheetId="10" r:id="rId5"/>
    <sheet name="cylinder_s" sheetId="11" r:id="rId6"/>
    <sheet name="cylinder_a" sheetId="12" r:id="rId7"/>
    <sheet name="Summary" sheetId="6" r:id="rId8"/>
  </sheets>
  <definedNames>
    <definedName name="_xlchart.v1.0" hidden="1">Summary!$B$3:$B$16</definedName>
    <definedName name="_xlchart.v1.1" hidden="1">Summary!$C$2</definedName>
    <definedName name="_xlchart.v1.10" hidden="1">Summary!$G$3:$G$16</definedName>
    <definedName name="_xlchart.v1.11" hidden="1">Summary!$H$2</definedName>
    <definedName name="_xlchart.v1.12" hidden="1">Summary!$H$3:$H$16</definedName>
    <definedName name="_xlchart.v1.13" hidden="1">Summary!$I$2</definedName>
    <definedName name="_xlchart.v1.14" hidden="1">Summary!$I$3:$I$16</definedName>
    <definedName name="_xlchart.v1.15" hidden="1">Summary!$B$3:$B$16</definedName>
    <definedName name="_xlchart.v1.16" hidden="1">Summary!$C$2</definedName>
    <definedName name="_xlchart.v1.17" hidden="1">Summary!$C$3:$C$16</definedName>
    <definedName name="_xlchart.v1.18" hidden="1">Summary!$D$2</definedName>
    <definedName name="_xlchart.v1.19" hidden="1">Summary!$D$3:$D$16</definedName>
    <definedName name="_xlchart.v1.2" hidden="1">Summary!$C$3:$C$16</definedName>
    <definedName name="_xlchart.v1.20" hidden="1">Summary!$E$2</definedName>
    <definedName name="_xlchart.v1.21" hidden="1">Summary!$E$3:$E$16</definedName>
    <definedName name="_xlchart.v1.22" hidden="1">Summary!$F$2</definedName>
    <definedName name="_xlchart.v1.23" hidden="1">Summary!$F$3:$F$16</definedName>
    <definedName name="_xlchart.v1.24" hidden="1">Summary!$G$2</definedName>
    <definedName name="_xlchart.v1.25" hidden="1">Summary!$G$3:$G$16</definedName>
    <definedName name="_xlchart.v1.26" hidden="1">Summary!$H$2</definedName>
    <definedName name="_xlchart.v1.27" hidden="1">Summary!$H$3:$H$16</definedName>
    <definedName name="_xlchart.v1.28" hidden="1">Summary!$I$2</definedName>
    <definedName name="_xlchart.v1.29" hidden="1">Summary!$I$3:$I$16</definedName>
    <definedName name="_xlchart.v1.3" hidden="1">Summary!$D$2</definedName>
    <definedName name="_xlchart.v1.4" hidden="1">Summary!$D$3:$D$16</definedName>
    <definedName name="_xlchart.v1.5" hidden="1">Summary!$E$2</definedName>
    <definedName name="_xlchart.v1.6" hidden="1">Summary!$E$3:$E$16</definedName>
    <definedName name="_xlchart.v1.7" hidden="1">Summary!$F$2</definedName>
    <definedName name="_xlchart.v1.8" hidden="1">Summary!$F$3:$F$16</definedName>
    <definedName name="_xlchart.v1.9" hidden="1">Summary!$G$2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4" i="6" l="1"/>
  <c r="D24" i="6"/>
  <c r="E24" i="6"/>
  <c r="F24" i="6"/>
  <c r="G24" i="6"/>
  <c r="H24" i="6"/>
  <c r="I24" i="6"/>
  <c r="C25" i="6"/>
  <c r="D25" i="6"/>
  <c r="E25" i="6"/>
  <c r="F25" i="6"/>
  <c r="G25" i="6"/>
  <c r="H25" i="6"/>
  <c r="I25" i="6"/>
  <c r="C26" i="6"/>
  <c r="D26" i="6"/>
  <c r="E26" i="6"/>
  <c r="F26" i="6"/>
  <c r="G26" i="6"/>
  <c r="H26" i="6"/>
  <c r="I26" i="6"/>
  <c r="C27" i="6"/>
  <c r="D27" i="6"/>
  <c r="E27" i="6"/>
  <c r="F27" i="6"/>
  <c r="G27" i="6"/>
  <c r="H27" i="6"/>
  <c r="I27" i="6"/>
  <c r="C28" i="6"/>
  <c r="D28" i="6"/>
  <c r="E28" i="6"/>
  <c r="F28" i="6"/>
  <c r="G28" i="6"/>
  <c r="H28" i="6"/>
  <c r="I28" i="6"/>
  <c r="C29" i="6"/>
  <c r="D29" i="6"/>
  <c r="E29" i="6"/>
  <c r="F29" i="6"/>
  <c r="G29" i="6"/>
  <c r="H29" i="6"/>
  <c r="I29" i="6"/>
  <c r="C30" i="6"/>
  <c r="D30" i="6"/>
  <c r="E30" i="6"/>
  <c r="F30" i="6"/>
  <c r="G30" i="6"/>
  <c r="H30" i="6"/>
  <c r="I30" i="6"/>
  <c r="C31" i="6"/>
  <c r="D31" i="6"/>
  <c r="E31" i="6"/>
  <c r="F31" i="6"/>
  <c r="G31" i="6"/>
  <c r="H31" i="6"/>
  <c r="I31" i="6"/>
  <c r="C32" i="6"/>
  <c r="D32" i="6"/>
  <c r="E32" i="6"/>
  <c r="F32" i="6"/>
  <c r="G32" i="6"/>
  <c r="H32" i="6"/>
  <c r="I32" i="6"/>
  <c r="C33" i="6"/>
  <c r="D33" i="6"/>
  <c r="E33" i="6"/>
  <c r="F33" i="6"/>
  <c r="G33" i="6"/>
  <c r="H33" i="6"/>
  <c r="I33" i="6"/>
  <c r="C34" i="6"/>
  <c r="D34" i="6"/>
  <c r="E34" i="6"/>
  <c r="F34" i="6"/>
  <c r="G34" i="6"/>
  <c r="H34" i="6"/>
  <c r="I34" i="6"/>
  <c r="C35" i="6"/>
  <c r="D35" i="6"/>
  <c r="E35" i="6"/>
  <c r="F35" i="6"/>
  <c r="G35" i="6"/>
  <c r="H35" i="6"/>
  <c r="I35" i="6"/>
  <c r="C36" i="6"/>
  <c r="D36" i="6"/>
  <c r="E36" i="6"/>
  <c r="F36" i="6"/>
  <c r="G36" i="6"/>
  <c r="H36" i="6"/>
  <c r="I36" i="6"/>
  <c r="I23" i="6"/>
  <c r="H23" i="6"/>
  <c r="G23" i="6"/>
  <c r="F23" i="6"/>
  <c r="E23" i="6"/>
  <c r="D23" i="6"/>
  <c r="C2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3" i="6"/>
  <c r="C4" i="6"/>
  <c r="E4" i="6"/>
  <c r="F4" i="6"/>
  <c r="G4" i="6"/>
  <c r="H4" i="6"/>
  <c r="I4" i="6"/>
  <c r="C5" i="6"/>
  <c r="E5" i="6"/>
  <c r="F5" i="6"/>
  <c r="G5" i="6"/>
  <c r="H5" i="6"/>
  <c r="I5" i="6"/>
  <c r="C6" i="6"/>
  <c r="E6" i="6"/>
  <c r="F6" i="6"/>
  <c r="G6" i="6"/>
  <c r="H6" i="6"/>
  <c r="I6" i="6"/>
  <c r="C7" i="6"/>
  <c r="E7" i="6"/>
  <c r="F7" i="6"/>
  <c r="G7" i="6"/>
  <c r="H7" i="6"/>
  <c r="I7" i="6"/>
  <c r="C8" i="6"/>
  <c r="E8" i="6"/>
  <c r="F8" i="6"/>
  <c r="G8" i="6"/>
  <c r="H8" i="6"/>
  <c r="I8" i="6"/>
  <c r="C9" i="6"/>
  <c r="E9" i="6"/>
  <c r="F9" i="6"/>
  <c r="G9" i="6"/>
  <c r="H9" i="6"/>
  <c r="I9" i="6"/>
  <c r="C10" i="6"/>
  <c r="E10" i="6"/>
  <c r="F10" i="6"/>
  <c r="G10" i="6"/>
  <c r="H10" i="6"/>
  <c r="I10" i="6"/>
  <c r="C11" i="6"/>
  <c r="E11" i="6"/>
  <c r="F11" i="6"/>
  <c r="G11" i="6"/>
  <c r="H11" i="6"/>
  <c r="I11" i="6"/>
  <c r="C12" i="6"/>
  <c r="E12" i="6"/>
  <c r="F12" i="6"/>
  <c r="G12" i="6"/>
  <c r="H12" i="6"/>
  <c r="I12" i="6"/>
  <c r="C13" i="6"/>
  <c r="E13" i="6"/>
  <c r="F13" i="6"/>
  <c r="G13" i="6"/>
  <c r="H13" i="6"/>
  <c r="I13" i="6"/>
  <c r="C14" i="6"/>
  <c r="E14" i="6"/>
  <c r="F14" i="6"/>
  <c r="G14" i="6"/>
  <c r="H14" i="6"/>
  <c r="I14" i="6"/>
  <c r="C15" i="6"/>
  <c r="E15" i="6"/>
  <c r="F15" i="6"/>
  <c r="G15" i="6"/>
  <c r="H15" i="6"/>
  <c r="I15" i="6"/>
  <c r="C16" i="6"/>
  <c r="E16" i="6"/>
  <c r="F16" i="6"/>
  <c r="G16" i="6"/>
  <c r="H16" i="6"/>
  <c r="I16" i="6"/>
  <c r="I3" i="6"/>
  <c r="H3" i="6"/>
  <c r="G3" i="6"/>
  <c r="F3" i="6"/>
  <c r="E3" i="6"/>
  <c r="C3" i="6"/>
  <c r="P17" i="12"/>
  <c r="O17" i="12"/>
  <c r="P16" i="12"/>
  <c r="O16" i="12"/>
  <c r="P15" i="12"/>
  <c r="O15" i="12"/>
  <c r="P14" i="12"/>
  <c r="O14" i="12"/>
  <c r="P13" i="12"/>
  <c r="O13" i="12"/>
  <c r="P12" i="12"/>
  <c r="O12" i="12"/>
  <c r="P11" i="12"/>
  <c r="O11" i="12"/>
  <c r="P10" i="12"/>
  <c r="O10" i="12"/>
  <c r="P9" i="12"/>
  <c r="O9" i="12"/>
  <c r="P8" i="12"/>
  <c r="O8" i="12"/>
  <c r="P7" i="12"/>
  <c r="O7" i="12"/>
  <c r="P6" i="12"/>
  <c r="O6" i="12"/>
  <c r="P5" i="12"/>
  <c r="O5" i="12"/>
  <c r="P4" i="12"/>
  <c r="O4" i="12"/>
  <c r="P17" i="11"/>
  <c r="O17" i="11"/>
  <c r="P16" i="11"/>
  <c r="O16" i="11"/>
  <c r="P15" i="11"/>
  <c r="O15" i="11"/>
  <c r="P14" i="11"/>
  <c r="O14" i="11"/>
  <c r="P13" i="11"/>
  <c r="O13" i="11"/>
  <c r="P12" i="11"/>
  <c r="O12" i="11"/>
  <c r="P11" i="11"/>
  <c r="O11" i="11"/>
  <c r="P10" i="11"/>
  <c r="O10" i="11"/>
  <c r="P9" i="11"/>
  <c r="O9" i="11"/>
  <c r="P8" i="11"/>
  <c r="O8" i="11"/>
  <c r="P7" i="11"/>
  <c r="O7" i="11"/>
  <c r="P6" i="11"/>
  <c r="O6" i="11"/>
  <c r="P5" i="11"/>
  <c r="O5" i="11"/>
  <c r="P4" i="11"/>
  <c r="O4" i="11"/>
  <c r="P17" i="10"/>
  <c r="O17" i="10"/>
  <c r="P16" i="10"/>
  <c r="O16" i="10"/>
  <c r="P15" i="10"/>
  <c r="O15" i="10"/>
  <c r="P14" i="10"/>
  <c r="O14" i="10"/>
  <c r="P13" i="10"/>
  <c r="O13" i="10"/>
  <c r="P12" i="10"/>
  <c r="O12" i="10"/>
  <c r="P11" i="10"/>
  <c r="O11" i="10"/>
  <c r="P10" i="10"/>
  <c r="O10" i="10"/>
  <c r="P9" i="10"/>
  <c r="O9" i="10"/>
  <c r="P8" i="10"/>
  <c r="O8" i="10"/>
  <c r="P7" i="10"/>
  <c r="O7" i="10"/>
  <c r="P6" i="10"/>
  <c r="O6" i="10"/>
  <c r="P5" i="10"/>
  <c r="O5" i="10"/>
  <c r="P4" i="10"/>
  <c r="O4" i="10"/>
  <c r="P17" i="9" l="1"/>
  <c r="O17" i="9"/>
  <c r="P16" i="9"/>
  <c r="O16" i="9"/>
  <c r="P15" i="9"/>
  <c r="O15" i="9"/>
  <c r="P14" i="9"/>
  <c r="O14" i="9"/>
  <c r="P13" i="9"/>
  <c r="O13" i="9"/>
  <c r="P12" i="9"/>
  <c r="O12" i="9"/>
  <c r="P11" i="9"/>
  <c r="O11" i="9"/>
  <c r="P10" i="9"/>
  <c r="O10" i="9"/>
  <c r="P9" i="9"/>
  <c r="O9" i="9"/>
  <c r="P8" i="9"/>
  <c r="O8" i="9"/>
  <c r="P7" i="9"/>
  <c r="O7" i="9"/>
  <c r="P6" i="9"/>
  <c r="O6" i="9"/>
  <c r="P5" i="9"/>
  <c r="O5" i="9"/>
  <c r="P4" i="9"/>
  <c r="O4" i="9"/>
  <c r="P17" i="8"/>
  <c r="O17" i="8"/>
  <c r="P16" i="8"/>
  <c r="O16" i="8"/>
  <c r="P15" i="8"/>
  <c r="O15" i="8"/>
  <c r="P14" i="8"/>
  <c r="O14" i="8"/>
  <c r="P13" i="8"/>
  <c r="O13" i="8"/>
  <c r="P12" i="8"/>
  <c r="O12" i="8"/>
  <c r="P11" i="8"/>
  <c r="O11" i="8"/>
  <c r="P10" i="8"/>
  <c r="O10" i="8"/>
  <c r="P9" i="8"/>
  <c r="O9" i="8"/>
  <c r="P8" i="8"/>
  <c r="O8" i="8"/>
  <c r="P7" i="8"/>
  <c r="O7" i="8"/>
  <c r="P6" i="8"/>
  <c r="O6" i="8"/>
  <c r="P5" i="8"/>
  <c r="O5" i="8"/>
  <c r="P4" i="8"/>
  <c r="O4" i="8"/>
  <c r="O16" i="7"/>
  <c r="P16" i="7"/>
  <c r="O17" i="7"/>
  <c r="P17" i="7"/>
  <c r="P15" i="7"/>
  <c r="O15" i="7"/>
  <c r="P14" i="7"/>
  <c r="O14" i="7"/>
  <c r="P13" i="7"/>
  <c r="O13" i="7"/>
  <c r="P12" i="7"/>
  <c r="O12" i="7"/>
  <c r="P11" i="7"/>
  <c r="O11" i="7"/>
  <c r="P10" i="7"/>
  <c r="O10" i="7"/>
  <c r="P9" i="7"/>
  <c r="O9" i="7"/>
  <c r="P8" i="7"/>
  <c r="O8" i="7"/>
  <c r="P7" i="7"/>
  <c r="O7" i="7"/>
  <c r="P6" i="7"/>
  <c r="O6" i="7"/>
  <c r="P5" i="7"/>
  <c r="O5" i="7"/>
  <c r="P4" i="7"/>
  <c r="O4" i="7"/>
  <c r="O5" i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P4" i="1"/>
  <c r="O4" i="1"/>
</calcChain>
</file>

<file path=xl/sharedStrings.xml><?xml version="1.0" encoding="utf-8"?>
<sst xmlns="http://schemas.openxmlformats.org/spreadsheetml/2006/main" count="159" uniqueCount="25">
  <si>
    <t>Graph Info:</t>
  </si>
  <si>
    <t>Number of Vertices</t>
  </si>
  <si>
    <t>Runtime (ms)</t>
  </si>
  <si>
    <t>Average</t>
  </si>
  <si>
    <t>grids_5</t>
  </si>
  <si>
    <t>Recursive Divider</t>
  </si>
  <si>
    <t>Frederickson Divider</t>
  </si>
  <si>
    <t>Region Number</t>
  </si>
  <si>
    <t>RD</t>
  </si>
  <si>
    <t>FD</t>
  </si>
  <si>
    <t>random_5</t>
  </si>
  <si>
    <t>Sphere_c_12</t>
  </si>
  <si>
    <t>Sphere_t_12</t>
  </si>
  <si>
    <t>cylinder/rnd_5</t>
  </si>
  <si>
    <t>cylinder/symm_5</t>
  </si>
  <si>
    <t>cylinder/unsymm_5</t>
  </si>
  <si>
    <t>r</t>
  </si>
  <si>
    <t>t (ms)</t>
  </si>
  <si>
    <t>Cylinder_asym</t>
  </si>
  <si>
    <t>Cylinder_sym</t>
  </si>
  <si>
    <t>Cylinder_rnd</t>
  </si>
  <si>
    <t>Sphere_tetrahedron</t>
  </si>
  <si>
    <t>Sphere_cube</t>
  </si>
  <si>
    <t>Random</t>
  </si>
  <si>
    <t>Grids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</si>
</sst>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Recursive</a:t>
            </a:r>
            <a:r>
              <a:rPr lang="en-US" baseline="0"/>
              <a:t> Division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320084989377"/>
          <c:y val="0.10302777777777777"/>
          <c:w val="0.76630093113360842"/>
          <c:h val="0.7736297025371828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Grids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Summary!$C$3:$C$16</c:f>
              <c:numCache>
                <c:formatCode>0.00</c:formatCode>
                <c:ptCount val="14"/>
                <c:pt idx="0">
                  <c:v>213981.13333333333</c:v>
                </c:pt>
                <c:pt idx="1">
                  <c:v>158498.74000000002</c:v>
                </c:pt>
                <c:pt idx="2">
                  <c:v>172068.05000000002</c:v>
                </c:pt>
                <c:pt idx="3">
                  <c:v>200822.68333333335</c:v>
                </c:pt>
                <c:pt idx="4">
                  <c:v>211467.86333333337</c:v>
                </c:pt>
                <c:pt idx="5">
                  <c:v>155705.23000000001</c:v>
                </c:pt>
                <c:pt idx="6">
                  <c:v>149133.75</c:v>
                </c:pt>
                <c:pt idx="7">
                  <c:v>150319.89666666667</c:v>
                </c:pt>
                <c:pt idx="8">
                  <c:v>141362.51999999999</c:v>
                </c:pt>
                <c:pt idx="9">
                  <c:v>137904.97999999998</c:v>
                </c:pt>
                <c:pt idx="10">
                  <c:v>131665.16333333333</c:v>
                </c:pt>
                <c:pt idx="11">
                  <c:v>115441.26000000001</c:v>
                </c:pt>
                <c:pt idx="12">
                  <c:v>101016.18666666666</c:v>
                </c:pt>
                <c:pt idx="13">
                  <c:v>77358.94666666667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DB-3141-B9F5-831ED836E8AE}"/>
            </c:ext>
          </c:extLst>
        </c:ser>
        <c:ser>
          <c:idx val="1"/>
          <c:order val="1"/>
          <c:tx>
            <c:strRef>
              <c:f>Summary!$D$2</c:f>
              <c:strCache>
                <c:ptCount val="1"/>
                <c:pt idx="0">
                  <c:v>Random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Summary!$D$3:$D$16</c:f>
              <c:numCache>
                <c:formatCode>0.00</c:formatCode>
                <c:ptCount val="14"/>
                <c:pt idx="0">
                  <c:v>133725</c:v>
                </c:pt>
                <c:pt idx="1">
                  <c:v>118790.85666666667</c:v>
                </c:pt>
                <c:pt idx="2">
                  <c:v>123322.34000000001</c:v>
                </c:pt>
                <c:pt idx="3">
                  <c:v>135878.48000000001</c:v>
                </c:pt>
                <c:pt idx="4">
                  <c:v>118448.06</c:v>
                </c:pt>
                <c:pt idx="5">
                  <c:v>116685.47333333334</c:v>
                </c:pt>
                <c:pt idx="6">
                  <c:v>112631.42</c:v>
                </c:pt>
                <c:pt idx="7">
                  <c:v>116864.30333333333</c:v>
                </c:pt>
                <c:pt idx="8">
                  <c:v>108354.24333333333</c:v>
                </c:pt>
                <c:pt idx="9">
                  <c:v>111954.77333333333</c:v>
                </c:pt>
                <c:pt idx="10">
                  <c:v>109113.10333333333</c:v>
                </c:pt>
                <c:pt idx="11">
                  <c:v>91942.73</c:v>
                </c:pt>
                <c:pt idx="12">
                  <c:v>68898.303333333344</c:v>
                </c:pt>
                <c:pt idx="13">
                  <c:v>55518.66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B-3141-B9F5-831ED836E8AE}"/>
            </c:ext>
          </c:extLst>
        </c:ser>
        <c:ser>
          <c:idx val="2"/>
          <c:order val="2"/>
          <c:tx>
            <c:strRef>
              <c:f>Summary!$E$2</c:f>
              <c:strCache>
                <c:ptCount val="1"/>
                <c:pt idx="0">
                  <c:v>Sphere_cube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Summary!$E$3:$E$16</c:f>
              <c:numCache>
                <c:formatCode>General</c:formatCode>
                <c:ptCount val="14"/>
                <c:pt idx="0">
                  <c:v>216344.72333333336</c:v>
                </c:pt>
                <c:pt idx="1">
                  <c:v>222358.66333333333</c:v>
                </c:pt>
                <c:pt idx="2">
                  <c:v>220435.99333333332</c:v>
                </c:pt>
                <c:pt idx="3">
                  <c:v>244993.03333333333</c:v>
                </c:pt>
                <c:pt idx="4">
                  <c:v>215456.87</c:v>
                </c:pt>
                <c:pt idx="5">
                  <c:v>216504.32333333333</c:v>
                </c:pt>
                <c:pt idx="6">
                  <c:v>225988.66</c:v>
                </c:pt>
                <c:pt idx="7">
                  <c:v>173949.95333333334</c:v>
                </c:pt>
                <c:pt idx="8">
                  <c:v>165685.14666666667</c:v>
                </c:pt>
                <c:pt idx="9">
                  <c:v>144594.87666666668</c:v>
                </c:pt>
                <c:pt idx="10">
                  <c:v>129264.47000000002</c:v>
                </c:pt>
                <c:pt idx="11">
                  <c:v>117060.27333333333</c:v>
                </c:pt>
                <c:pt idx="12">
                  <c:v>103690.98333333334</c:v>
                </c:pt>
                <c:pt idx="13">
                  <c:v>74072.779999999984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B-3141-B9F5-831ED836E8AE}"/>
            </c:ext>
          </c:extLst>
        </c:ser>
        <c:ser>
          <c:idx val="3"/>
          <c:order val="3"/>
          <c:tx>
            <c:strRef>
              <c:f>Summary!$F$2</c:f>
              <c:strCache>
                <c:ptCount val="1"/>
                <c:pt idx="0">
                  <c:v>Sphere_tetrahedron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Summary!$F$3:$F$16</c:f>
              <c:numCache>
                <c:formatCode>General</c:formatCode>
                <c:ptCount val="14"/>
                <c:pt idx="0">
                  <c:v>78638.990000000005</c:v>
                </c:pt>
                <c:pt idx="1">
                  <c:v>75621.143333333326</c:v>
                </c:pt>
                <c:pt idx="2">
                  <c:v>72465.533333333326</c:v>
                </c:pt>
                <c:pt idx="3">
                  <c:v>72079.563333333324</c:v>
                </c:pt>
                <c:pt idx="4">
                  <c:v>70464.740000000005</c:v>
                </c:pt>
                <c:pt idx="5">
                  <c:v>69814.89</c:v>
                </c:pt>
                <c:pt idx="6">
                  <c:v>66397.023333333331</c:v>
                </c:pt>
                <c:pt idx="7">
                  <c:v>68313.66</c:v>
                </c:pt>
                <c:pt idx="8">
                  <c:v>69431.883333333346</c:v>
                </c:pt>
                <c:pt idx="9">
                  <c:v>58018.380000000005</c:v>
                </c:pt>
                <c:pt idx="10">
                  <c:v>49692.353333333333</c:v>
                </c:pt>
                <c:pt idx="11">
                  <c:v>42091.92</c:v>
                </c:pt>
                <c:pt idx="12">
                  <c:v>35843.079999999994</c:v>
                </c:pt>
                <c:pt idx="13">
                  <c:v>19584.330000000002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B-3141-B9F5-831ED836E8AE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Cylinder_rnd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Summary!$G$3:$G$16</c:f>
              <c:numCache>
                <c:formatCode>General</c:formatCode>
                <c:ptCount val="14"/>
                <c:pt idx="0">
                  <c:v>76969.33666666667</c:v>
                </c:pt>
                <c:pt idx="1">
                  <c:v>62737.123333333329</c:v>
                </c:pt>
                <c:pt idx="2">
                  <c:v>61924.353333333333</c:v>
                </c:pt>
                <c:pt idx="3">
                  <c:v>62651.16</c:v>
                </c:pt>
                <c:pt idx="4">
                  <c:v>59206.186666666668</c:v>
                </c:pt>
                <c:pt idx="5">
                  <c:v>61056.51</c:v>
                </c:pt>
                <c:pt idx="6">
                  <c:v>59725.743333333339</c:v>
                </c:pt>
                <c:pt idx="7">
                  <c:v>62145.763333333336</c:v>
                </c:pt>
                <c:pt idx="8">
                  <c:v>56374.633333333331</c:v>
                </c:pt>
                <c:pt idx="9">
                  <c:v>51672.326666666668</c:v>
                </c:pt>
                <c:pt idx="10">
                  <c:v>42725.583333333336</c:v>
                </c:pt>
                <c:pt idx="11">
                  <c:v>36277.640000000007</c:v>
                </c:pt>
                <c:pt idx="12">
                  <c:v>32286.55</c:v>
                </c:pt>
                <c:pt idx="13">
                  <c:v>22826.136666666669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DB-3141-B9F5-831ED836E8AE}"/>
            </c:ext>
          </c:extLst>
        </c:ser>
        <c:ser>
          <c:idx val="5"/>
          <c:order val="5"/>
          <c:tx>
            <c:strRef>
              <c:f>Summary!$H$2</c:f>
              <c:strCache>
                <c:ptCount val="1"/>
                <c:pt idx="0">
                  <c:v>Cylinder_sym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Summary!$H$3:$H$16</c:f>
              <c:numCache>
                <c:formatCode>General</c:formatCode>
                <c:ptCount val="14"/>
                <c:pt idx="0">
                  <c:v>72387.92</c:v>
                </c:pt>
                <c:pt idx="1">
                  <c:v>66408.320000000007</c:v>
                </c:pt>
                <c:pt idx="2">
                  <c:v>69748.706666666665</c:v>
                </c:pt>
                <c:pt idx="3">
                  <c:v>66388.403333333335</c:v>
                </c:pt>
                <c:pt idx="4">
                  <c:v>60921.969999999994</c:v>
                </c:pt>
                <c:pt idx="5">
                  <c:v>58923.796666666669</c:v>
                </c:pt>
                <c:pt idx="6">
                  <c:v>59219.323333333334</c:v>
                </c:pt>
                <c:pt idx="7">
                  <c:v>55043.31</c:v>
                </c:pt>
                <c:pt idx="8">
                  <c:v>90627.23</c:v>
                </c:pt>
                <c:pt idx="9">
                  <c:v>92265.313333333339</c:v>
                </c:pt>
                <c:pt idx="10">
                  <c:v>43305.076666666668</c:v>
                </c:pt>
                <c:pt idx="11">
                  <c:v>35126.959999999999</c:v>
                </c:pt>
                <c:pt idx="12">
                  <c:v>31269.063333333335</c:v>
                </c:pt>
                <c:pt idx="13">
                  <c:v>20080.063333333335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DB-3141-B9F5-831ED836E8AE}"/>
            </c:ext>
          </c:extLst>
        </c:ser>
        <c:ser>
          <c:idx val="6"/>
          <c:order val="6"/>
          <c:tx>
            <c:strRef>
              <c:f>Summary!$I$2</c:f>
              <c:strCache>
                <c:ptCount val="1"/>
                <c:pt idx="0">
                  <c:v>Cylinder_asym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Summary!$I$3:$I$16</c:f>
              <c:numCache>
                <c:formatCode>General</c:formatCode>
                <c:ptCount val="14"/>
                <c:pt idx="0">
                  <c:v>64911.686666666668</c:v>
                </c:pt>
                <c:pt idx="1">
                  <c:v>69004.756666666668</c:v>
                </c:pt>
                <c:pt idx="2">
                  <c:v>62035.366666666669</c:v>
                </c:pt>
                <c:pt idx="3">
                  <c:v>61651.003333333327</c:v>
                </c:pt>
                <c:pt idx="4">
                  <c:v>58805.076666666668</c:v>
                </c:pt>
                <c:pt idx="5">
                  <c:v>79716.753333333327</c:v>
                </c:pt>
                <c:pt idx="6">
                  <c:v>58839.296666666669</c:v>
                </c:pt>
                <c:pt idx="7">
                  <c:v>55790.48</c:v>
                </c:pt>
                <c:pt idx="8">
                  <c:v>61250.696666666678</c:v>
                </c:pt>
                <c:pt idx="9">
                  <c:v>50238.04</c:v>
                </c:pt>
                <c:pt idx="10">
                  <c:v>43500.830000000009</c:v>
                </c:pt>
                <c:pt idx="11">
                  <c:v>37358.75</c:v>
                </c:pt>
                <c:pt idx="12">
                  <c:v>34096.519999999997</c:v>
                </c:pt>
                <c:pt idx="13">
                  <c:v>21482.639999999999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DB-3141-B9F5-831ED836E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445791"/>
        <c:axId val="1210447599"/>
      </c:scatterChart>
      <c:valAx>
        <c:axId val="1210445791"/>
        <c:scaling>
          <c:logBase val="10"/>
          <c:orientation val="minMax"/>
          <c:min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7599"/>
        <c:crosses val="autoZero"/>
        <c:crossBetween val="midCat"/>
      </c:valAx>
      <c:valAx>
        <c:axId val="1210447599"/>
        <c:scaling>
          <c:orientation val="minMax"/>
          <c:max val="2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>
            <c:manualLayout>
              <c:xMode val="edge"/>
              <c:yMode val="edge"/>
              <c:x val="1.6400137482814648E-2"/>
              <c:y val="0.375189851268591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5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87390638670166"/>
          <c:y val="0.1014890638670166"/>
          <c:w val="0.32967363454568177"/>
          <c:h val="0.3928689851268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Clustered</a:t>
            </a:r>
            <a:r>
              <a:rPr lang="en-US" baseline="0"/>
              <a:t> Division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320084989377"/>
          <c:y val="0.10302777777777777"/>
          <c:w val="0.76630093113360842"/>
          <c:h val="0.7736297025371828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Grids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Summary!$C$23:$C$36</c:f>
              <c:numCache>
                <c:formatCode>General</c:formatCode>
                <c:ptCount val="14"/>
                <c:pt idx="0">
                  <c:v>1148098.0966666664</c:v>
                </c:pt>
                <c:pt idx="1">
                  <c:v>336198.5633333333</c:v>
                </c:pt>
                <c:pt idx="2">
                  <c:v>146713.75</c:v>
                </c:pt>
                <c:pt idx="3">
                  <c:v>157413.52333333332</c:v>
                </c:pt>
                <c:pt idx="4">
                  <c:v>104512.34999999999</c:v>
                </c:pt>
                <c:pt idx="5">
                  <c:v>101125.09333333334</c:v>
                </c:pt>
                <c:pt idx="6">
                  <c:v>99117.07</c:v>
                </c:pt>
                <c:pt idx="7">
                  <c:v>110111.14666666667</c:v>
                </c:pt>
                <c:pt idx="8">
                  <c:v>106655.93000000001</c:v>
                </c:pt>
                <c:pt idx="9">
                  <c:v>152960.99666666667</c:v>
                </c:pt>
                <c:pt idx="10">
                  <c:v>163983.40333333332</c:v>
                </c:pt>
                <c:pt idx="11">
                  <c:v>156588.43</c:v>
                </c:pt>
                <c:pt idx="12">
                  <c:v>162549.93333333332</c:v>
                </c:pt>
                <c:pt idx="13">
                  <c:v>136778.69333333333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0-454B-B178-D2597865D860}"/>
            </c:ext>
          </c:extLst>
        </c:ser>
        <c:ser>
          <c:idx val="1"/>
          <c:order val="1"/>
          <c:tx>
            <c:strRef>
              <c:f>Summary!$D$2</c:f>
              <c:strCache>
                <c:ptCount val="1"/>
                <c:pt idx="0">
                  <c:v>Random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Summary!$D$23:$D$36</c:f>
              <c:numCache>
                <c:formatCode>General</c:formatCode>
                <c:ptCount val="14"/>
                <c:pt idx="0">
                  <c:v>204679.4</c:v>
                </c:pt>
                <c:pt idx="1">
                  <c:v>93047.450000000012</c:v>
                </c:pt>
                <c:pt idx="2">
                  <c:v>88895.760000000009</c:v>
                </c:pt>
                <c:pt idx="3">
                  <c:v>77479.373333333337</c:v>
                </c:pt>
                <c:pt idx="4">
                  <c:v>80713.53333333334</c:v>
                </c:pt>
                <c:pt idx="5">
                  <c:v>84734.596666666679</c:v>
                </c:pt>
                <c:pt idx="6">
                  <c:v>104141.56</c:v>
                </c:pt>
                <c:pt idx="7">
                  <c:v>98707.26</c:v>
                </c:pt>
                <c:pt idx="8">
                  <c:v>116502.68666666666</c:v>
                </c:pt>
                <c:pt idx="9">
                  <c:v>129662.97333333334</c:v>
                </c:pt>
                <c:pt idx="10">
                  <c:v>158061.06999999998</c:v>
                </c:pt>
                <c:pt idx="11">
                  <c:v>142567.05999999997</c:v>
                </c:pt>
                <c:pt idx="12">
                  <c:v>127581.73</c:v>
                </c:pt>
                <c:pt idx="13">
                  <c:v>109754.59000000001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60-454B-B178-D2597865D860}"/>
            </c:ext>
          </c:extLst>
        </c:ser>
        <c:ser>
          <c:idx val="2"/>
          <c:order val="2"/>
          <c:tx>
            <c:strRef>
              <c:f>Summary!$E$2</c:f>
              <c:strCache>
                <c:ptCount val="1"/>
                <c:pt idx="0">
                  <c:v>Sphere_cube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Summary!$E$23:$E$36</c:f>
              <c:numCache>
                <c:formatCode>General</c:formatCode>
                <c:ptCount val="14"/>
                <c:pt idx="0">
                  <c:v>301364.11</c:v>
                </c:pt>
                <c:pt idx="1">
                  <c:v>164108.57666666666</c:v>
                </c:pt>
                <c:pt idx="2">
                  <c:v>118662.07666666666</c:v>
                </c:pt>
                <c:pt idx="3">
                  <c:v>156595.75</c:v>
                </c:pt>
                <c:pt idx="4">
                  <c:v>157591.28666666665</c:v>
                </c:pt>
                <c:pt idx="5">
                  <c:v>150216.4</c:v>
                </c:pt>
                <c:pt idx="6">
                  <c:v>123784.74666666666</c:v>
                </c:pt>
                <c:pt idx="7">
                  <c:v>119341.61333333334</c:v>
                </c:pt>
                <c:pt idx="8">
                  <c:v>160543.84666666668</c:v>
                </c:pt>
                <c:pt idx="9">
                  <c:v>180877.13666666663</c:v>
                </c:pt>
                <c:pt idx="10">
                  <c:v>216298.57333333333</c:v>
                </c:pt>
                <c:pt idx="11">
                  <c:v>194440.33333333334</c:v>
                </c:pt>
                <c:pt idx="12">
                  <c:v>174990.65</c:v>
                </c:pt>
                <c:pt idx="13">
                  <c:v>144106.85666666666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60-454B-B178-D2597865D860}"/>
            </c:ext>
          </c:extLst>
        </c:ser>
        <c:ser>
          <c:idx val="3"/>
          <c:order val="3"/>
          <c:tx>
            <c:strRef>
              <c:f>Summary!$F$2</c:f>
              <c:strCache>
                <c:ptCount val="1"/>
                <c:pt idx="0">
                  <c:v>Sphere_tetrahedron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Summary!$F$23:$F$36</c:f>
              <c:numCache>
                <c:formatCode>General</c:formatCode>
                <c:ptCount val="14"/>
                <c:pt idx="0">
                  <c:v>72030.396666666667</c:v>
                </c:pt>
                <c:pt idx="1">
                  <c:v>47938.23333333333</c:v>
                </c:pt>
                <c:pt idx="2">
                  <c:v>44906.25</c:v>
                </c:pt>
                <c:pt idx="3">
                  <c:v>47344.200000000004</c:v>
                </c:pt>
                <c:pt idx="4">
                  <c:v>50080.893333333333</c:v>
                </c:pt>
                <c:pt idx="5">
                  <c:v>53216.899999999994</c:v>
                </c:pt>
                <c:pt idx="6">
                  <c:v>50929.473333333328</c:v>
                </c:pt>
                <c:pt idx="7">
                  <c:v>54530.963333333326</c:v>
                </c:pt>
                <c:pt idx="8">
                  <c:v>73820.543333333335</c:v>
                </c:pt>
                <c:pt idx="9">
                  <c:v>88999.69666666667</c:v>
                </c:pt>
                <c:pt idx="10">
                  <c:v>73744.746666666659</c:v>
                </c:pt>
                <c:pt idx="11">
                  <c:v>70856.266666666663</c:v>
                </c:pt>
                <c:pt idx="12">
                  <c:v>64661.820000000007</c:v>
                </c:pt>
                <c:pt idx="13">
                  <c:v>48040.493333333339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60-454B-B178-D2597865D860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Cylinder_rnd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Summary!$G$23:$G$36</c:f>
              <c:numCache>
                <c:formatCode>General</c:formatCode>
                <c:ptCount val="14"/>
                <c:pt idx="0">
                  <c:v>116286.07666666666</c:v>
                </c:pt>
                <c:pt idx="1">
                  <c:v>66466.253333333341</c:v>
                </c:pt>
                <c:pt idx="2">
                  <c:v>48347.639999999992</c:v>
                </c:pt>
                <c:pt idx="3">
                  <c:v>48174.043333333335</c:v>
                </c:pt>
                <c:pt idx="4">
                  <c:v>55346.286666666674</c:v>
                </c:pt>
                <c:pt idx="5">
                  <c:v>52023.32</c:v>
                </c:pt>
                <c:pt idx="6">
                  <c:v>53271.013333333336</c:v>
                </c:pt>
                <c:pt idx="7">
                  <c:v>60860.65</c:v>
                </c:pt>
                <c:pt idx="8">
                  <c:v>55044.950000000004</c:v>
                </c:pt>
                <c:pt idx="9">
                  <c:v>62654.973333333328</c:v>
                </c:pt>
                <c:pt idx="10">
                  <c:v>65210.893333333333</c:v>
                </c:pt>
                <c:pt idx="11">
                  <c:v>70842.456666666665</c:v>
                </c:pt>
                <c:pt idx="12">
                  <c:v>59161.46333333334</c:v>
                </c:pt>
                <c:pt idx="13">
                  <c:v>50642.003333333334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60-454B-B178-D2597865D860}"/>
            </c:ext>
          </c:extLst>
        </c:ser>
        <c:ser>
          <c:idx val="5"/>
          <c:order val="5"/>
          <c:tx>
            <c:strRef>
              <c:f>Summary!$H$2</c:f>
              <c:strCache>
                <c:ptCount val="1"/>
                <c:pt idx="0">
                  <c:v>Cylinder_sym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Summary!$H$23:$H$36</c:f>
              <c:numCache>
                <c:formatCode>General</c:formatCode>
                <c:ptCount val="14"/>
                <c:pt idx="0">
                  <c:v>101750.02999999998</c:v>
                </c:pt>
                <c:pt idx="1">
                  <c:v>50377.359999999993</c:v>
                </c:pt>
                <c:pt idx="2">
                  <c:v>46571.5</c:v>
                </c:pt>
                <c:pt idx="3">
                  <c:v>45275.68</c:v>
                </c:pt>
                <c:pt idx="4">
                  <c:v>44661.626666666671</c:v>
                </c:pt>
                <c:pt idx="5">
                  <c:v>41928.03666666666</c:v>
                </c:pt>
                <c:pt idx="6">
                  <c:v>49067.860000000008</c:v>
                </c:pt>
                <c:pt idx="7">
                  <c:v>53433.146666666667</c:v>
                </c:pt>
                <c:pt idx="8">
                  <c:v>86850.956666666665</c:v>
                </c:pt>
                <c:pt idx="9">
                  <c:v>64349.679999999993</c:v>
                </c:pt>
                <c:pt idx="10">
                  <c:v>65750.710000000006</c:v>
                </c:pt>
                <c:pt idx="11">
                  <c:v>58138.896666666667</c:v>
                </c:pt>
                <c:pt idx="12">
                  <c:v>54434.726666666662</c:v>
                </c:pt>
                <c:pt idx="13">
                  <c:v>46970.753333333334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60-454B-B178-D2597865D860}"/>
            </c:ext>
          </c:extLst>
        </c:ser>
        <c:ser>
          <c:idx val="6"/>
          <c:order val="6"/>
          <c:tx>
            <c:strRef>
              <c:f>Summary!$I$2</c:f>
              <c:strCache>
                <c:ptCount val="1"/>
                <c:pt idx="0">
                  <c:v>Cylinder_asym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Summary!$I$23:$I$36</c:f>
              <c:numCache>
                <c:formatCode>General</c:formatCode>
                <c:ptCount val="14"/>
                <c:pt idx="0">
                  <c:v>97327.83666666667</c:v>
                </c:pt>
                <c:pt idx="1">
                  <c:v>43576.803333333337</c:v>
                </c:pt>
                <c:pt idx="2">
                  <c:v>37752.71333333334</c:v>
                </c:pt>
                <c:pt idx="3">
                  <c:v>38936.370000000003</c:v>
                </c:pt>
                <c:pt idx="4">
                  <c:v>42682.186666666668</c:v>
                </c:pt>
                <c:pt idx="5">
                  <c:v>66137.273333333331</c:v>
                </c:pt>
                <c:pt idx="6">
                  <c:v>48318.49</c:v>
                </c:pt>
                <c:pt idx="7">
                  <c:v>48228.246666666673</c:v>
                </c:pt>
                <c:pt idx="8">
                  <c:v>60170.843333333331</c:v>
                </c:pt>
                <c:pt idx="9">
                  <c:v>63042.610000000008</c:v>
                </c:pt>
                <c:pt idx="10">
                  <c:v>73239.530000000013</c:v>
                </c:pt>
                <c:pt idx="11">
                  <c:v>60039.99</c:v>
                </c:pt>
                <c:pt idx="12">
                  <c:v>61279.036666666674</c:v>
                </c:pt>
                <c:pt idx="13">
                  <c:v>49241.9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60-454B-B178-D2597865D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445791"/>
        <c:axId val="1210447599"/>
      </c:scatterChart>
      <c:valAx>
        <c:axId val="1210445791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7599"/>
        <c:crosses val="autoZero"/>
        <c:crossBetween val="midCat"/>
      </c:valAx>
      <c:valAx>
        <c:axId val="1210447599"/>
        <c:scaling>
          <c:orientation val="minMax"/>
          <c:max val="4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>
            <c:manualLayout>
              <c:xMode val="edge"/>
              <c:yMode val="edge"/>
              <c:x val="1.6400137482814648E-2"/>
              <c:y val="0.375189851268591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5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87390638670166"/>
          <c:y val="0.1014890638670166"/>
          <c:w val="0.32967363454568177"/>
          <c:h val="0.3928689851268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298450</xdr:colOff>
      <xdr:row>1</xdr:row>
      <xdr:rowOff>76200</xdr:rowOff>
    </xdr:from>
    <xdr:to>
      <xdr:col>15</xdr:col>
      <xdr:colOff>908050</xdr:colOff>
      <xdr:row>23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AB7B7C-A09B-6145-91A7-CD4DC7C3B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26</xdr:row>
      <xdr:rowOff>0</xdr:rowOff>
    </xdr:from>
    <xdr:to>
      <xdr:col>16</xdr:col>
      <xdr:colOff>609600</xdr:colOff>
      <xdr:row>48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B7A9697-E787-B948-813A-0D38C5E65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G1" workbookViewId="0">
      <selection activeCell="O4" sqref="O4:P17"/>
    </sheetView>
  </sheetViews>
  <sheetFormatPr baseColWidth="10" defaultRowHeight="16" x14ac:dyDescent="0.2"/>
  <sheetData>
    <row r="1" spans="1:16" x14ac:dyDescent="0.2">
      <c r="A1" t="s">
        <v>0</v>
      </c>
      <c r="B1" t="s">
        <v>4</v>
      </c>
      <c r="C1" t="s">
        <v>1</v>
      </c>
      <c r="D1">
        <v>595856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35502</v>
      </c>
      <c r="C4">
        <v>201331.08</v>
      </c>
      <c r="D4">
        <v>35647</v>
      </c>
      <c r="E4">
        <v>216380.04</v>
      </c>
      <c r="F4">
        <v>35655</v>
      </c>
      <c r="G4">
        <v>224232.28</v>
      </c>
      <c r="H4">
        <v>35210</v>
      </c>
      <c r="I4">
        <v>1317369.98</v>
      </c>
      <c r="J4">
        <v>34785</v>
      </c>
      <c r="K4">
        <v>1140297.1599999999</v>
      </c>
      <c r="L4">
        <v>35190</v>
      </c>
      <c r="M4">
        <v>986627.15</v>
      </c>
      <c r="O4">
        <f>AVERAGE(C4,E4,G4)</f>
        <v>213981.13333333333</v>
      </c>
      <c r="P4">
        <f>AVERAGE(I4,K4,M4)</f>
        <v>1148098.0966666664</v>
      </c>
    </row>
    <row r="5" spans="1:16" x14ac:dyDescent="0.2">
      <c r="A5">
        <v>200</v>
      </c>
      <c r="B5">
        <v>15087</v>
      </c>
      <c r="C5">
        <v>163194.53</v>
      </c>
      <c r="D5">
        <v>15107</v>
      </c>
      <c r="E5">
        <v>158398.39000000001</v>
      </c>
      <c r="F5">
        <v>15150</v>
      </c>
      <c r="G5">
        <v>153903.29999999999</v>
      </c>
      <c r="H5">
        <v>17218</v>
      </c>
      <c r="I5">
        <v>356212.06</v>
      </c>
      <c r="J5">
        <v>17050</v>
      </c>
      <c r="K5">
        <v>333270.67</v>
      </c>
      <c r="L5">
        <v>17080</v>
      </c>
      <c r="M5">
        <v>319112.96000000002</v>
      </c>
      <c r="O5">
        <f t="shared" ref="O5:O17" si="0">AVERAGE(C5,E5,G5)</f>
        <v>158498.74000000002</v>
      </c>
      <c r="P5">
        <f t="shared" ref="P5:P17" si="1">AVERAGE(I5,K5,M5)</f>
        <v>336198.5633333333</v>
      </c>
    </row>
    <row r="6" spans="1:16" x14ac:dyDescent="0.2">
      <c r="A6">
        <v>400</v>
      </c>
      <c r="B6">
        <v>6391</v>
      </c>
      <c r="C6">
        <v>168224.06</v>
      </c>
      <c r="D6">
        <v>6393</v>
      </c>
      <c r="E6">
        <v>159407.82999999999</v>
      </c>
      <c r="F6">
        <v>6368</v>
      </c>
      <c r="G6">
        <v>188572.26</v>
      </c>
      <c r="H6">
        <v>7193</v>
      </c>
      <c r="I6">
        <v>180033.04</v>
      </c>
      <c r="J6">
        <v>7304</v>
      </c>
      <c r="K6">
        <v>118705.28</v>
      </c>
      <c r="L6">
        <v>7159</v>
      </c>
      <c r="M6">
        <v>141402.93</v>
      </c>
      <c r="O6">
        <f t="shared" si="0"/>
        <v>172068.05000000002</v>
      </c>
      <c r="P6">
        <f t="shared" si="1"/>
        <v>146713.75</v>
      </c>
    </row>
    <row r="7" spans="1:16" x14ac:dyDescent="0.2">
      <c r="A7">
        <v>600</v>
      </c>
      <c r="B7">
        <v>3977</v>
      </c>
      <c r="C7">
        <v>159251.67000000001</v>
      </c>
      <c r="D7">
        <v>3960</v>
      </c>
      <c r="E7">
        <v>177662.46</v>
      </c>
      <c r="F7">
        <v>3943</v>
      </c>
      <c r="G7">
        <v>265553.91999999998</v>
      </c>
      <c r="H7">
        <v>4686</v>
      </c>
      <c r="I7">
        <v>186726.11</v>
      </c>
      <c r="J7">
        <v>4784</v>
      </c>
      <c r="K7">
        <v>162261.48000000001</v>
      </c>
      <c r="L7">
        <v>4664</v>
      </c>
      <c r="M7">
        <v>123252.98</v>
      </c>
      <c r="O7">
        <f t="shared" si="0"/>
        <v>200822.68333333335</v>
      </c>
      <c r="P7">
        <f t="shared" si="1"/>
        <v>157413.52333333332</v>
      </c>
    </row>
    <row r="8" spans="1:16" x14ac:dyDescent="0.2">
      <c r="A8">
        <v>800</v>
      </c>
      <c r="B8">
        <v>2768</v>
      </c>
      <c r="C8">
        <v>196672.65</v>
      </c>
      <c r="D8">
        <v>2771</v>
      </c>
      <c r="E8">
        <v>260238</v>
      </c>
      <c r="F8">
        <v>2774</v>
      </c>
      <c r="G8">
        <v>177492.94</v>
      </c>
      <c r="H8">
        <v>3399</v>
      </c>
      <c r="I8">
        <v>114177.37</v>
      </c>
      <c r="J8">
        <v>3356</v>
      </c>
      <c r="K8">
        <v>101225.37</v>
      </c>
      <c r="L8">
        <v>3400</v>
      </c>
      <c r="M8">
        <v>98134.31</v>
      </c>
      <c r="O8">
        <f t="shared" si="0"/>
        <v>211467.86333333337</v>
      </c>
      <c r="P8">
        <f t="shared" si="1"/>
        <v>104512.34999999999</v>
      </c>
    </row>
    <row r="9" spans="1:16" x14ac:dyDescent="0.2">
      <c r="A9">
        <v>1000</v>
      </c>
      <c r="B9">
        <v>2180</v>
      </c>
      <c r="C9">
        <v>160304.07</v>
      </c>
      <c r="D9">
        <v>2190</v>
      </c>
      <c r="E9">
        <v>152761.73000000001</v>
      </c>
      <c r="F9">
        <v>2180</v>
      </c>
      <c r="G9">
        <v>154049.89000000001</v>
      </c>
      <c r="H9">
        <v>2302</v>
      </c>
      <c r="I9">
        <v>96116.82</v>
      </c>
      <c r="J9">
        <v>2322</v>
      </c>
      <c r="K9">
        <v>94945.82</v>
      </c>
      <c r="L9">
        <v>2315</v>
      </c>
      <c r="M9">
        <v>112312.64</v>
      </c>
      <c r="O9">
        <f t="shared" si="0"/>
        <v>155705.23000000001</v>
      </c>
      <c r="P9">
        <f t="shared" si="1"/>
        <v>101125.09333333334</v>
      </c>
    </row>
    <row r="10" spans="1:16" x14ac:dyDescent="0.2">
      <c r="A10">
        <v>1200</v>
      </c>
      <c r="B10">
        <v>1750</v>
      </c>
      <c r="C10">
        <v>163100.89000000001</v>
      </c>
      <c r="D10">
        <v>1761</v>
      </c>
      <c r="E10">
        <v>147654.26999999999</v>
      </c>
      <c r="F10">
        <v>1755</v>
      </c>
      <c r="G10">
        <v>136646.09</v>
      </c>
      <c r="H10">
        <v>1862</v>
      </c>
      <c r="I10">
        <v>98083.19</v>
      </c>
      <c r="J10">
        <v>1855</v>
      </c>
      <c r="K10">
        <v>95893.58</v>
      </c>
      <c r="L10">
        <v>1857</v>
      </c>
      <c r="M10">
        <v>103374.44</v>
      </c>
      <c r="O10">
        <f t="shared" si="0"/>
        <v>149133.75</v>
      </c>
      <c r="P10">
        <f t="shared" si="1"/>
        <v>99117.07</v>
      </c>
    </row>
    <row r="11" spans="1:16" x14ac:dyDescent="0.2">
      <c r="A11">
        <v>1600</v>
      </c>
      <c r="B11">
        <v>1297</v>
      </c>
      <c r="C11">
        <v>151800.54</v>
      </c>
      <c r="D11">
        <v>1303</v>
      </c>
      <c r="E11">
        <v>153949.41</v>
      </c>
      <c r="F11">
        <v>1301</v>
      </c>
      <c r="G11">
        <v>145209.74</v>
      </c>
      <c r="H11">
        <v>1250</v>
      </c>
      <c r="I11">
        <v>112869.57</v>
      </c>
      <c r="J11">
        <v>1215</v>
      </c>
      <c r="K11">
        <v>112068.87</v>
      </c>
      <c r="L11">
        <v>1194</v>
      </c>
      <c r="M11">
        <v>105395</v>
      </c>
      <c r="O11">
        <f t="shared" si="0"/>
        <v>150319.89666666667</v>
      </c>
      <c r="P11">
        <f t="shared" si="1"/>
        <v>110111.14666666667</v>
      </c>
    </row>
    <row r="12" spans="1:16" x14ac:dyDescent="0.2">
      <c r="A12">
        <v>2000</v>
      </c>
      <c r="B12">
        <v>1009</v>
      </c>
      <c r="C12">
        <v>143804.88</v>
      </c>
      <c r="D12">
        <v>1003</v>
      </c>
      <c r="E12">
        <v>139517.22</v>
      </c>
      <c r="F12">
        <v>1008</v>
      </c>
      <c r="G12">
        <v>140765.46</v>
      </c>
      <c r="H12">
        <v>986</v>
      </c>
      <c r="I12">
        <v>105044.37</v>
      </c>
      <c r="J12">
        <v>975</v>
      </c>
      <c r="K12">
        <v>111130.76</v>
      </c>
      <c r="L12">
        <v>978</v>
      </c>
      <c r="M12">
        <v>103792.66</v>
      </c>
      <c r="O12">
        <f t="shared" si="0"/>
        <v>141362.51999999999</v>
      </c>
      <c r="P12">
        <f t="shared" si="1"/>
        <v>106655.93000000001</v>
      </c>
    </row>
    <row r="13" spans="1:16" x14ac:dyDescent="0.2">
      <c r="A13">
        <v>4000</v>
      </c>
      <c r="B13">
        <v>494</v>
      </c>
      <c r="C13">
        <v>136223.60999999999</v>
      </c>
      <c r="D13">
        <v>493</v>
      </c>
      <c r="E13">
        <v>131471.93</v>
      </c>
      <c r="F13">
        <v>494</v>
      </c>
      <c r="G13">
        <v>146019.4</v>
      </c>
      <c r="H13">
        <v>532</v>
      </c>
      <c r="I13">
        <v>165260.17000000001</v>
      </c>
      <c r="J13">
        <v>532</v>
      </c>
      <c r="K13">
        <v>155351</v>
      </c>
      <c r="L13">
        <v>532</v>
      </c>
      <c r="M13">
        <v>138271.82</v>
      </c>
      <c r="O13">
        <f t="shared" si="0"/>
        <v>137904.97999999998</v>
      </c>
      <c r="P13">
        <f t="shared" si="1"/>
        <v>152960.99666666667</v>
      </c>
    </row>
    <row r="14" spans="1:16" x14ac:dyDescent="0.2">
      <c r="A14">
        <v>10000</v>
      </c>
      <c r="B14">
        <v>199</v>
      </c>
      <c r="C14">
        <v>140515.18</v>
      </c>
      <c r="D14">
        <v>199</v>
      </c>
      <c r="E14">
        <v>122027.22</v>
      </c>
      <c r="F14">
        <v>199</v>
      </c>
      <c r="G14">
        <v>132453.09</v>
      </c>
      <c r="H14">
        <v>199</v>
      </c>
      <c r="I14">
        <v>166693.22</v>
      </c>
      <c r="J14">
        <v>199</v>
      </c>
      <c r="K14">
        <v>162972.51</v>
      </c>
      <c r="L14">
        <v>199</v>
      </c>
      <c r="M14">
        <v>162284.48000000001</v>
      </c>
      <c r="O14">
        <f t="shared" si="0"/>
        <v>131665.16333333333</v>
      </c>
      <c r="P14">
        <f t="shared" si="1"/>
        <v>163983.40333333332</v>
      </c>
    </row>
    <row r="15" spans="1:16" x14ac:dyDescent="0.2">
      <c r="A15">
        <v>20000</v>
      </c>
      <c r="B15">
        <v>109</v>
      </c>
      <c r="C15">
        <v>116165.27</v>
      </c>
      <c r="D15">
        <v>109</v>
      </c>
      <c r="E15">
        <v>114370.87</v>
      </c>
      <c r="F15">
        <v>109</v>
      </c>
      <c r="G15">
        <v>115787.64</v>
      </c>
      <c r="H15">
        <v>109</v>
      </c>
      <c r="I15">
        <v>156577.21</v>
      </c>
      <c r="J15">
        <v>109</v>
      </c>
      <c r="K15">
        <v>157144.84</v>
      </c>
      <c r="L15">
        <v>109</v>
      </c>
      <c r="M15">
        <v>156043.24</v>
      </c>
      <c r="O15">
        <f t="shared" si="0"/>
        <v>115441.26000000001</v>
      </c>
      <c r="P15">
        <f t="shared" si="1"/>
        <v>156588.43</v>
      </c>
    </row>
    <row r="16" spans="1:16" x14ac:dyDescent="0.2">
      <c r="A16">
        <v>40000</v>
      </c>
      <c r="B16">
        <v>46</v>
      </c>
      <c r="C16">
        <v>110257.25</v>
      </c>
      <c r="D16">
        <v>46</v>
      </c>
      <c r="E16">
        <v>100625.36</v>
      </c>
      <c r="F16">
        <v>46</v>
      </c>
      <c r="G16">
        <v>92165.95</v>
      </c>
      <c r="H16">
        <v>46</v>
      </c>
      <c r="I16">
        <v>143741.29</v>
      </c>
      <c r="J16">
        <v>46</v>
      </c>
      <c r="K16">
        <v>184737.65</v>
      </c>
      <c r="L16">
        <v>46</v>
      </c>
      <c r="M16">
        <v>159170.85999999999</v>
      </c>
      <c r="O16">
        <f t="shared" si="0"/>
        <v>101016.18666666666</v>
      </c>
      <c r="P16">
        <f t="shared" si="1"/>
        <v>162549.93333333332</v>
      </c>
    </row>
    <row r="17" spans="1:16" x14ac:dyDescent="0.2">
      <c r="A17">
        <v>100000</v>
      </c>
      <c r="B17">
        <v>15</v>
      </c>
      <c r="C17">
        <v>83604.63</v>
      </c>
      <c r="D17">
        <v>15</v>
      </c>
      <c r="E17">
        <v>73567.600000000006</v>
      </c>
      <c r="F17">
        <v>15</v>
      </c>
      <c r="G17">
        <v>74904.61</v>
      </c>
      <c r="H17">
        <v>15</v>
      </c>
      <c r="I17">
        <v>126872.67</v>
      </c>
      <c r="J17">
        <v>15</v>
      </c>
      <c r="K17">
        <v>147977.81</v>
      </c>
      <c r="L17">
        <v>15</v>
      </c>
      <c r="M17">
        <v>135485.6</v>
      </c>
      <c r="O17">
        <f t="shared" si="0"/>
        <v>77358.94666666667</v>
      </c>
      <c r="P17">
        <f t="shared" si="1"/>
        <v>136778.69333333333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BB1DA-0349-3F43-8020-283F409C3838}">
  <sheetPr codeName="Sheet2"/>
  <dimension ref="A1:P44"/>
  <sheetViews>
    <sheetView topLeftCell="I1" workbookViewId="0">
      <selection activeCell="J24" sqref="J24"/>
    </sheetView>
  </sheetViews>
  <sheetFormatPr baseColWidth="10" defaultRowHeight="16" x14ac:dyDescent="0.2"/>
  <sheetData>
    <row r="1" spans="1:16" x14ac:dyDescent="0.2">
      <c r="A1" t="s">
        <v>0</v>
      </c>
      <c r="B1" t="s">
        <v>10</v>
      </c>
      <c r="C1" t="s">
        <v>1</v>
      </c>
      <c r="D1">
        <v>500003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7621</v>
      </c>
      <c r="C4">
        <v>139241.75</v>
      </c>
      <c r="D4">
        <v>7621</v>
      </c>
      <c r="E4">
        <v>129587.99</v>
      </c>
      <c r="F4">
        <v>7621</v>
      </c>
      <c r="G4">
        <v>132345.26</v>
      </c>
      <c r="H4">
        <v>7757</v>
      </c>
      <c r="I4">
        <v>225040.13</v>
      </c>
      <c r="J4">
        <v>10298</v>
      </c>
      <c r="K4">
        <v>208249.68</v>
      </c>
      <c r="L4">
        <v>11861</v>
      </c>
      <c r="M4">
        <v>180748.39</v>
      </c>
      <c r="O4">
        <f>AVERAGE(C4,E4,G4)</f>
        <v>133725</v>
      </c>
      <c r="P4">
        <f>AVERAGE(I4,K4,M4)</f>
        <v>204679.4</v>
      </c>
    </row>
    <row r="5" spans="1:16" x14ac:dyDescent="0.2">
      <c r="A5">
        <v>200</v>
      </c>
      <c r="B5">
        <v>3816</v>
      </c>
      <c r="C5">
        <v>129913.83</v>
      </c>
      <c r="D5">
        <v>3816</v>
      </c>
      <c r="E5">
        <v>113610.78</v>
      </c>
      <c r="F5">
        <v>3816</v>
      </c>
      <c r="G5">
        <v>112847.96</v>
      </c>
      <c r="H5">
        <v>3823</v>
      </c>
      <c r="I5">
        <v>94236.94</v>
      </c>
      <c r="J5">
        <v>4965</v>
      </c>
      <c r="K5">
        <v>89106.2</v>
      </c>
      <c r="L5">
        <v>5513</v>
      </c>
      <c r="M5">
        <v>95799.21</v>
      </c>
      <c r="O5">
        <f>AVERAGE(C5,E5,G5)</f>
        <v>118790.85666666667</v>
      </c>
      <c r="P5">
        <f>AVERAGE(I5,K5,M5)</f>
        <v>93047.450000000012</v>
      </c>
    </row>
    <row r="6" spans="1:16" x14ac:dyDescent="0.2">
      <c r="A6">
        <v>400</v>
      </c>
      <c r="B6">
        <v>1876</v>
      </c>
      <c r="C6">
        <v>123359.41</v>
      </c>
      <c r="D6">
        <v>1876</v>
      </c>
      <c r="E6">
        <v>118232.09</v>
      </c>
      <c r="F6">
        <v>1876</v>
      </c>
      <c r="G6">
        <v>128375.52</v>
      </c>
      <c r="H6">
        <v>1877</v>
      </c>
      <c r="I6">
        <v>84114.66</v>
      </c>
      <c r="J6">
        <v>2165</v>
      </c>
      <c r="K6">
        <v>89015.59</v>
      </c>
      <c r="L6">
        <v>2353</v>
      </c>
      <c r="M6">
        <v>93557.03</v>
      </c>
      <c r="O6">
        <f>AVERAGE(C6,E6,G6)</f>
        <v>123322.34000000001</v>
      </c>
      <c r="P6">
        <f>AVERAGE(I6,K6,M6)</f>
        <v>88895.760000000009</v>
      </c>
    </row>
    <row r="7" spans="1:16" x14ac:dyDescent="0.2">
      <c r="A7">
        <v>600</v>
      </c>
      <c r="B7">
        <v>1249</v>
      </c>
      <c r="C7">
        <v>137332.82999999999</v>
      </c>
      <c r="D7">
        <v>1250</v>
      </c>
      <c r="E7">
        <v>136841.79999999999</v>
      </c>
      <c r="F7">
        <v>1250</v>
      </c>
      <c r="G7">
        <v>133460.81</v>
      </c>
      <c r="H7">
        <v>1244</v>
      </c>
      <c r="I7">
        <v>87910.36</v>
      </c>
      <c r="J7">
        <v>1494</v>
      </c>
      <c r="K7">
        <v>73782.69</v>
      </c>
      <c r="L7">
        <v>1622</v>
      </c>
      <c r="M7">
        <v>70745.070000000007</v>
      </c>
      <c r="O7">
        <f>AVERAGE(C7,E7,G7)</f>
        <v>135878.48000000001</v>
      </c>
      <c r="P7">
        <f>AVERAGE(I7,K7,M7)</f>
        <v>77479.373333333337</v>
      </c>
    </row>
    <row r="8" spans="1:16" x14ac:dyDescent="0.2">
      <c r="A8">
        <v>800</v>
      </c>
      <c r="B8">
        <v>943</v>
      </c>
      <c r="C8">
        <v>130956.22</v>
      </c>
      <c r="D8">
        <v>943</v>
      </c>
      <c r="E8">
        <v>107623.64</v>
      </c>
      <c r="F8">
        <v>943</v>
      </c>
      <c r="G8">
        <v>116764.32</v>
      </c>
      <c r="H8">
        <v>944</v>
      </c>
      <c r="I8">
        <v>83518.009999999995</v>
      </c>
      <c r="J8">
        <v>1094</v>
      </c>
      <c r="K8">
        <v>80006.38</v>
      </c>
      <c r="L8">
        <v>1243</v>
      </c>
      <c r="M8">
        <v>78616.210000000006</v>
      </c>
      <c r="O8">
        <f>AVERAGE(C8,E8,G8)</f>
        <v>118448.06</v>
      </c>
      <c r="P8">
        <f>AVERAGE(I8,K8,M8)</f>
        <v>80713.53333333334</v>
      </c>
    </row>
    <row r="9" spans="1:16" x14ac:dyDescent="0.2">
      <c r="A9">
        <v>1000</v>
      </c>
      <c r="B9">
        <v>754</v>
      </c>
      <c r="C9">
        <v>124408.75</v>
      </c>
      <c r="D9">
        <v>754</v>
      </c>
      <c r="E9">
        <v>110569.33</v>
      </c>
      <c r="F9">
        <v>754</v>
      </c>
      <c r="G9">
        <v>115078.34</v>
      </c>
      <c r="H9">
        <v>753</v>
      </c>
      <c r="I9">
        <v>81962.820000000007</v>
      </c>
      <c r="J9">
        <v>854</v>
      </c>
      <c r="K9">
        <v>75379.210000000006</v>
      </c>
      <c r="L9">
        <v>931</v>
      </c>
      <c r="M9">
        <v>96861.759999999995</v>
      </c>
      <c r="O9">
        <f>AVERAGE(C9,E9,G9)</f>
        <v>116685.47333333334</v>
      </c>
      <c r="P9">
        <f>AVERAGE(I9,K9,M9)</f>
        <v>84734.596666666679</v>
      </c>
    </row>
    <row r="10" spans="1:16" x14ac:dyDescent="0.2">
      <c r="A10">
        <v>1200</v>
      </c>
      <c r="B10">
        <v>618</v>
      </c>
      <c r="C10">
        <v>119934.65</v>
      </c>
      <c r="D10">
        <v>618</v>
      </c>
      <c r="E10">
        <v>107820.59</v>
      </c>
      <c r="F10">
        <v>618</v>
      </c>
      <c r="G10">
        <v>110139.02</v>
      </c>
      <c r="H10">
        <v>624</v>
      </c>
      <c r="I10">
        <v>109108.03</v>
      </c>
      <c r="J10">
        <v>785</v>
      </c>
      <c r="K10">
        <v>99465.26</v>
      </c>
      <c r="L10">
        <v>833</v>
      </c>
      <c r="M10">
        <v>103851.39</v>
      </c>
      <c r="O10">
        <f>AVERAGE(C10,E10,G10)</f>
        <v>112631.42</v>
      </c>
      <c r="P10">
        <f>AVERAGE(I10,K10,M10)</f>
        <v>104141.56</v>
      </c>
    </row>
    <row r="11" spans="1:16" x14ac:dyDescent="0.2">
      <c r="A11">
        <v>1600</v>
      </c>
      <c r="B11">
        <v>474</v>
      </c>
      <c r="C11">
        <v>113352.76</v>
      </c>
      <c r="D11">
        <v>474</v>
      </c>
      <c r="E11">
        <v>116190.45</v>
      </c>
      <c r="F11">
        <v>474</v>
      </c>
      <c r="G11">
        <v>121049.7</v>
      </c>
      <c r="H11">
        <v>469</v>
      </c>
      <c r="I11">
        <v>104695.18</v>
      </c>
      <c r="J11">
        <v>513</v>
      </c>
      <c r="K11">
        <v>87359.56</v>
      </c>
      <c r="L11">
        <v>590</v>
      </c>
      <c r="M11">
        <v>104067.04</v>
      </c>
      <c r="O11">
        <f>AVERAGE(C11,E11,G11)</f>
        <v>116864.30333333333</v>
      </c>
      <c r="P11">
        <f>AVERAGE(I11,K11,M11)</f>
        <v>98707.26</v>
      </c>
    </row>
    <row r="12" spans="1:16" x14ac:dyDescent="0.2">
      <c r="A12">
        <v>2000</v>
      </c>
      <c r="B12">
        <v>377</v>
      </c>
      <c r="C12">
        <v>101820.57</v>
      </c>
      <c r="D12">
        <v>377</v>
      </c>
      <c r="E12">
        <v>111306.74</v>
      </c>
      <c r="F12">
        <v>377</v>
      </c>
      <c r="G12">
        <v>111935.42</v>
      </c>
      <c r="H12">
        <v>369</v>
      </c>
      <c r="I12">
        <v>108000.97</v>
      </c>
      <c r="J12">
        <v>418</v>
      </c>
      <c r="K12">
        <v>139080.9</v>
      </c>
      <c r="L12">
        <v>440</v>
      </c>
      <c r="M12">
        <v>102426.19</v>
      </c>
      <c r="O12">
        <f>AVERAGE(C12,E12,G12)</f>
        <v>108354.24333333333</v>
      </c>
      <c r="P12">
        <f>AVERAGE(I12,K12,M12)</f>
        <v>116502.68666666666</v>
      </c>
    </row>
    <row r="13" spans="1:16" x14ac:dyDescent="0.2">
      <c r="A13">
        <v>4000</v>
      </c>
      <c r="B13">
        <v>186</v>
      </c>
      <c r="C13">
        <v>102554.71</v>
      </c>
      <c r="D13">
        <v>186</v>
      </c>
      <c r="E13">
        <v>125569.96</v>
      </c>
      <c r="F13">
        <v>186</v>
      </c>
      <c r="G13">
        <v>107739.65</v>
      </c>
      <c r="H13">
        <v>191</v>
      </c>
      <c r="I13">
        <v>135058.26</v>
      </c>
      <c r="J13">
        <v>191</v>
      </c>
      <c r="K13">
        <v>131079.91</v>
      </c>
      <c r="L13">
        <v>208</v>
      </c>
      <c r="M13">
        <v>122850.75</v>
      </c>
      <c r="O13">
        <f>AVERAGE(C13,E13,G13)</f>
        <v>111954.77333333333</v>
      </c>
      <c r="P13">
        <f>AVERAGE(I13,K13,M13)</f>
        <v>129662.97333333334</v>
      </c>
    </row>
    <row r="14" spans="1:16" x14ac:dyDescent="0.2">
      <c r="A14">
        <v>10000</v>
      </c>
      <c r="B14">
        <v>78</v>
      </c>
      <c r="C14">
        <v>105830.14</v>
      </c>
      <c r="D14">
        <v>78</v>
      </c>
      <c r="E14">
        <v>116728.35</v>
      </c>
      <c r="F14">
        <v>78</v>
      </c>
      <c r="G14">
        <v>104780.82</v>
      </c>
      <c r="H14">
        <v>78</v>
      </c>
      <c r="I14">
        <v>166494.43</v>
      </c>
      <c r="J14">
        <v>78</v>
      </c>
      <c r="K14">
        <v>152056.28</v>
      </c>
      <c r="L14">
        <v>78</v>
      </c>
      <c r="M14">
        <v>155632.5</v>
      </c>
      <c r="O14">
        <f>AVERAGE(C14,E14,G14)</f>
        <v>109113.10333333333</v>
      </c>
      <c r="P14">
        <f>AVERAGE(I14,K14,M14)</f>
        <v>158061.06999999998</v>
      </c>
    </row>
    <row r="15" spans="1:16" x14ac:dyDescent="0.2">
      <c r="A15">
        <v>20000</v>
      </c>
      <c r="B15">
        <v>39</v>
      </c>
      <c r="C15">
        <v>90343.39</v>
      </c>
      <c r="D15">
        <v>39</v>
      </c>
      <c r="E15">
        <v>98131.68</v>
      </c>
      <c r="F15">
        <v>39</v>
      </c>
      <c r="G15">
        <v>87353.12</v>
      </c>
      <c r="H15">
        <v>39</v>
      </c>
      <c r="I15">
        <v>150542.85999999999</v>
      </c>
      <c r="J15">
        <v>39</v>
      </c>
      <c r="K15">
        <v>145850.22</v>
      </c>
      <c r="L15">
        <v>39</v>
      </c>
      <c r="M15">
        <v>131308.1</v>
      </c>
      <c r="O15">
        <f>AVERAGE(C15,E15,G15)</f>
        <v>91942.73</v>
      </c>
      <c r="P15">
        <f>AVERAGE(I15,K15,M15)</f>
        <v>142567.05999999997</v>
      </c>
    </row>
    <row r="16" spans="1:16" x14ac:dyDescent="0.2">
      <c r="A16">
        <v>40000</v>
      </c>
      <c r="B16">
        <v>19</v>
      </c>
      <c r="C16">
        <v>65248.91</v>
      </c>
      <c r="D16">
        <v>19</v>
      </c>
      <c r="E16">
        <v>76778.990000000005</v>
      </c>
      <c r="F16">
        <v>19</v>
      </c>
      <c r="G16">
        <v>64667.01</v>
      </c>
      <c r="H16">
        <v>19</v>
      </c>
      <c r="I16">
        <v>128156.85</v>
      </c>
      <c r="J16">
        <v>19</v>
      </c>
      <c r="K16">
        <v>122488.53</v>
      </c>
      <c r="L16">
        <v>19</v>
      </c>
      <c r="M16">
        <v>132099.81</v>
      </c>
      <c r="O16">
        <f t="shared" ref="O16:O17" si="0">AVERAGE(C16,E16,G16)</f>
        <v>68898.303333333344</v>
      </c>
      <c r="P16">
        <f t="shared" ref="P16:P17" si="1">AVERAGE(I16,K16,M16)</f>
        <v>127581.73</v>
      </c>
    </row>
    <row r="17" spans="1:16" x14ac:dyDescent="0.2">
      <c r="A17">
        <v>100000</v>
      </c>
      <c r="B17">
        <v>8</v>
      </c>
      <c r="C17">
        <v>59318.5</v>
      </c>
      <c r="D17">
        <v>8</v>
      </c>
      <c r="E17">
        <v>58548.480000000003</v>
      </c>
      <c r="F17">
        <v>8</v>
      </c>
      <c r="G17">
        <v>48689</v>
      </c>
      <c r="H17">
        <v>8</v>
      </c>
      <c r="I17">
        <v>107729.95</v>
      </c>
      <c r="J17">
        <v>8</v>
      </c>
      <c r="K17">
        <v>93460</v>
      </c>
      <c r="L17">
        <v>8</v>
      </c>
      <c r="M17">
        <v>128073.82</v>
      </c>
      <c r="O17">
        <f t="shared" si="0"/>
        <v>55518.66</v>
      </c>
      <c r="P17">
        <f t="shared" si="1"/>
        <v>109754.59000000001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A5CA6-D003-F640-A8C7-1F883F44C042}">
  <sheetPr codeName="Sheet4"/>
  <dimension ref="A1:P44"/>
  <sheetViews>
    <sheetView workbookViewId="0">
      <selection activeCell="F21" sqref="F21"/>
    </sheetView>
  </sheetViews>
  <sheetFormatPr baseColWidth="10" defaultRowHeight="16" x14ac:dyDescent="0.2"/>
  <sheetData>
    <row r="1" spans="1:16" x14ac:dyDescent="0.2">
      <c r="A1" t="s">
        <v>0</v>
      </c>
      <c r="B1" t="s">
        <v>11</v>
      </c>
      <c r="C1" t="s">
        <v>1</v>
      </c>
      <c r="D1">
        <v>708590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11664</v>
      </c>
      <c r="C4">
        <v>244466.6</v>
      </c>
      <c r="D4">
        <v>11664</v>
      </c>
      <c r="E4">
        <v>215549.69</v>
      </c>
      <c r="F4">
        <v>11664</v>
      </c>
      <c r="G4">
        <v>189017.88</v>
      </c>
      <c r="H4">
        <v>11677</v>
      </c>
      <c r="I4">
        <v>243116.53</v>
      </c>
      <c r="J4">
        <v>11681</v>
      </c>
      <c r="K4">
        <v>319579.05</v>
      </c>
      <c r="L4">
        <v>11682</v>
      </c>
      <c r="M4">
        <v>341396.75</v>
      </c>
      <c r="O4">
        <f>AVERAGE(C4,E4,G4)</f>
        <v>216344.72333333336</v>
      </c>
      <c r="P4">
        <f>AVERAGE(I4,K4,M4)</f>
        <v>301364.11</v>
      </c>
    </row>
    <row r="5" spans="1:16" x14ac:dyDescent="0.2">
      <c r="A5">
        <v>200</v>
      </c>
      <c r="B5">
        <v>5832</v>
      </c>
      <c r="C5">
        <v>232260.04</v>
      </c>
      <c r="D5">
        <v>5832</v>
      </c>
      <c r="E5">
        <v>218025.29</v>
      </c>
      <c r="F5">
        <v>5832</v>
      </c>
      <c r="G5">
        <v>216790.66</v>
      </c>
      <c r="H5">
        <v>5817</v>
      </c>
      <c r="I5">
        <v>150471.17000000001</v>
      </c>
      <c r="J5">
        <v>5822</v>
      </c>
      <c r="K5">
        <v>181168.69</v>
      </c>
      <c r="L5">
        <v>5833</v>
      </c>
      <c r="M5">
        <v>160685.87</v>
      </c>
      <c r="O5">
        <f t="shared" ref="O5:O17" si="0">AVERAGE(C5,E5,G5)</f>
        <v>222358.66333333333</v>
      </c>
      <c r="P5">
        <f t="shared" ref="P5:P17" si="1">AVERAGE(I5,K5,M5)</f>
        <v>164108.57666666666</v>
      </c>
    </row>
    <row r="6" spans="1:16" x14ac:dyDescent="0.2">
      <c r="A6">
        <v>400</v>
      </c>
      <c r="B6">
        <v>1944</v>
      </c>
      <c r="C6">
        <v>248383.91</v>
      </c>
      <c r="D6">
        <v>1944</v>
      </c>
      <c r="E6">
        <v>213959.36</v>
      </c>
      <c r="F6">
        <v>1944</v>
      </c>
      <c r="G6">
        <v>198964.71</v>
      </c>
      <c r="H6">
        <v>2029</v>
      </c>
      <c r="I6">
        <v>105261.17</v>
      </c>
      <c r="J6">
        <v>2024</v>
      </c>
      <c r="K6">
        <v>118019.43</v>
      </c>
      <c r="L6">
        <v>2022</v>
      </c>
      <c r="M6">
        <v>132705.63</v>
      </c>
      <c r="O6">
        <f t="shared" si="0"/>
        <v>220435.99333333332</v>
      </c>
      <c r="P6">
        <f t="shared" si="1"/>
        <v>118662.07666666666</v>
      </c>
    </row>
    <row r="7" spans="1:16" x14ac:dyDescent="0.2">
      <c r="A7">
        <v>600</v>
      </c>
      <c r="B7">
        <v>1944</v>
      </c>
      <c r="C7">
        <v>253937.34</v>
      </c>
      <c r="D7">
        <v>1944</v>
      </c>
      <c r="E7">
        <v>238488.73</v>
      </c>
      <c r="F7">
        <v>1944</v>
      </c>
      <c r="G7">
        <v>242553.03</v>
      </c>
      <c r="H7">
        <v>1950</v>
      </c>
      <c r="I7">
        <v>148552.48000000001</v>
      </c>
      <c r="J7">
        <v>1949</v>
      </c>
      <c r="K7">
        <v>158557.37</v>
      </c>
      <c r="L7">
        <v>1950</v>
      </c>
      <c r="M7">
        <v>162677.4</v>
      </c>
      <c r="O7">
        <f t="shared" si="0"/>
        <v>244993.03333333333</v>
      </c>
      <c r="P7">
        <f t="shared" si="1"/>
        <v>156595.75</v>
      </c>
    </row>
    <row r="8" spans="1:16" x14ac:dyDescent="0.2">
      <c r="A8">
        <v>800</v>
      </c>
      <c r="B8">
        <v>1296</v>
      </c>
      <c r="C8">
        <v>207486.62</v>
      </c>
      <c r="D8">
        <v>1296</v>
      </c>
      <c r="E8">
        <v>223444.77</v>
      </c>
      <c r="F8">
        <v>1296</v>
      </c>
      <c r="G8">
        <v>215439.22</v>
      </c>
      <c r="H8">
        <v>1271</v>
      </c>
      <c r="I8">
        <v>154565.17000000001</v>
      </c>
      <c r="J8">
        <v>1269</v>
      </c>
      <c r="K8">
        <v>169535.29</v>
      </c>
      <c r="L8">
        <v>1274</v>
      </c>
      <c r="M8">
        <v>148673.4</v>
      </c>
      <c r="O8">
        <f t="shared" si="0"/>
        <v>215456.87</v>
      </c>
      <c r="P8">
        <f t="shared" si="1"/>
        <v>157591.28666666665</v>
      </c>
    </row>
    <row r="9" spans="1:16" x14ac:dyDescent="0.2">
      <c r="A9">
        <v>1000</v>
      </c>
      <c r="B9">
        <v>1296</v>
      </c>
      <c r="C9">
        <v>224902.58</v>
      </c>
      <c r="D9">
        <v>1296</v>
      </c>
      <c r="E9">
        <v>215462.26</v>
      </c>
      <c r="F9">
        <v>1296</v>
      </c>
      <c r="G9">
        <v>209148.13</v>
      </c>
      <c r="H9">
        <v>1270</v>
      </c>
      <c r="I9">
        <v>151654.03</v>
      </c>
      <c r="J9">
        <v>1271</v>
      </c>
      <c r="K9">
        <v>144463.70000000001</v>
      </c>
      <c r="L9">
        <v>1272</v>
      </c>
      <c r="M9">
        <v>154531.47</v>
      </c>
      <c r="O9">
        <f t="shared" si="0"/>
        <v>216504.32333333333</v>
      </c>
      <c r="P9">
        <f t="shared" si="1"/>
        <v>150216.4</v>
      </c>
    </row>
    <row r="10" spans="1:16" x14ac:dyDescent="0.2">
      <c r="A10">
        <v>1200</v>
      </c>
      <c r="B10">
        <v>648</v>
      </c>
      <c r="C10">
        <v>241415.1</v>
      </c>
      <c r="D10">
        <v>648</v>
      </c>
      <c r="E10">
        <v>226342.29</v>
      </c>
      <c r="F10">
        <v>648</v>
      </c>
      <c r="G10">
        <v>210208.59</v>
      </c>
      <c r="H10">
        <v>677</v>
      </c>
      <c r="I10">
        <v>140903.17000000001</v>
      </c>
      <c r="J10">
        <v>674</v>
      </c>
      <c r="K10">
        <v>115825.09</v>
      </c>
      <c r="L10">
        <v>676</v>
      </c>
      <c r="M10">
        <v>114625.98</v>
      </c>
      <c r="O10">
        <f t="shared" si="0"/>
        <v>225988.66</v>
      </c>
      <c r="P10">
        <f t="shared" si="1"/>
        <v>123784.74666666666</v>
      </c>
    </row>
    <row r="11" spans="1:16" x14ac:dyDescent="0.2">
      <c r="A11">
        <v>1600</v>
      </c>
      <c r="B11">
        <v>648</v>
      </c>
      <c r="C11">
        <v>173898.75</v>
      </c>
      <c r="D11">
        <v>648</v>
      </c>
      <c r="E11">
        <v>182226.6</v>
      </c>
      <c r="F11">
        <v>648</v>
      </c>
      <c r="G11">
        <v>165724.51</v>
      </c>
      <c r="H11">
        <v>648</v>
      </c>
      <c r="I11">
        <v>117723.89</v>
      </c>
      <c r="J11">
        <v>648</v>
      </c>
      <c r="K11">
        <v>125271.06</v>
      </c>
      <c r="L11">
        <v>650</v>
      </c>
      <c r="M11">
        <v>115029.89</v>
      </c>
      <c r="O11">
        <f t="shared" si="0"/>
        <v>173949.95333333334</v>
      </c>
      <c r="P11">
        <f t="shared" si="1"/>
        <v>119341.61333333334</v>
      </c>
    </row>
    <row r="12" spans="1:16" x14ac:dyDescent="0.2">
      <c r="A12">
        <v>2000</v>
      </c>
      <c r="B12">
        <v>648</v>
      </c>
      <c r="C12">
        <v>175827.31</v>
      </c>
      <c r="D12">
        <v>648</v>
      </c>
      <c r="E12">
        <v>164149.20000000001</v>
      </c>
      <c r="F12">
        <v>648</v>
      </c>
      <c r="G12">
        <v>157078.93</v>
      </c>
      <c r="H12">
        <v>650</v>
      </c>
      <c r="I12">
        <v>164855.67000000001</v>
      </c>
      <c r="J12">
        <v>650</v>
      </c>
      <c r="K12">
        <v>157301.92000000001</v>
      </c>
      <c r="L12">
        <v>651</v>
      </c>
      <c r="M12">
        <v>159473.95000000001</v>
      </c>
      <c r="O12">
        <f t="shared" si="0"/>
        <v>165685.14666666667</v>
      </c>
      <c r="P12">
        <f t="shared" si="1"/>
        <v>160543.84666666668</v>
      </c>
    </row>
    <row r="13" spans="1:16" x14ac:dyDescent="0.2">
      <c r="A13">
        <v>4000</v>
      </c>
      <c r="B13">
        <v>216</v>
      </c>
      <c r="C13">
        <v>150487.51999999999</v>
      </c>
      <c r="D13">
        <v>216</v>
      </c>
      <c r="E13">
        <v>146952.35999999999</v>
      </c>
      <c r="F13">
        <v>216</v>
      </c>
      <c r="G13">
        <v>136344.75</v>
      </c>
      <c r="H13">
        <v>219</v>
      </c>
      <c r="I13">
        <v>189947.36</v>
      </c>
      <c r="J13">
        <v>219</v>
      </c>
      <c r="K13">
        <v>169994.72</v>
      </c>
      <c r="L13">
        <v>226</v>
      </c>
      <c r="M13">
        <v>182689.33</v>
      </c>
      <c r="O13">
        <f t="shared" si="0"/>
        <v>144594.87666666668</v>
      </c>
      <c r="P13">
        <f t="shared" si="1"/>
        <v>180877.13666666663</v>
      </c>
    </row>
    <row r="14" spans="1:16" x14ac:dyDescent="0.2">
      <c r="A14">
        <v>10000</v>
      </c>
      <c r="B14">
        <v>72</v>
      </c>
      <c r="C14">
        <v>126021.35</v>
      </c>
      <c r="D14">
        <v>72</v>
      </c>
      <c r="E14">
        <v>131331.16</v>
      </c>
      <c r="F14">
        <v>72</v>
      </c>
      <c r="G14">
        <v>130440.9</v>
      </c>
      <c r="H14">
        <v>72</v>
      </c>
      <c r="I14">
        <v>218201.12</v>
      </c>
      <c r="J14">
        <v>72</v>
      </c>
      <c r="K14">
        <v>210273.35</v>
      </c>
      <c r="L14">
        <v>72</v>
      </c>
      <c r="M14">
        <v>220421.25</v>
      </c>
      <c r="O14">
        <f t="shared" si="0"/>
        <v>129264.47000000002</v>
      </c>
      <c r="P14">
        <f t="shared" si="1"/>
        <v>216298.57333333333</v>
      </c>
    </row>
    <row r="15" spans="1:16" x14ac:dyDescent="0.2">
      <c r="A15">
        <v>20000</v>
      </c>
      <c r="B15">
        <v>48</v>
      </c>
      <c r="C15">
        <v>121540.56</v>
      </c>
      <c r="D15">
        <v>48</v>
      </c>
      <c r="E15">
        <v>112904.06</v>
      </c>
      <c r="F15">
        <v>48</v>
      </c>
      <c r="G15">
        <v>116736.2</v>
      </c>
      <c r="H15">
        <v>48</v>
      </c>
      <c r="I15">
        <v>196839.2</v>
      </c>
      <c r="J15">
        <v>48</v>
      </c>
      <c r="K15">
        <v>191968.6</v>
      </c>
      <c r="L15">
        <v>48</v>
      </c>
      <c r="M15">
        <v>194513.2</v>
      </c>
      <c r="O15">
        <f t="shared" si="0"/>
        <v>117060.27333333333</v>
      </c>
      <c r="P15">
        <f t="shared" si="1"/>
        <v>194440.33333333334</v>
      </c>
    </row>
    <row r="16" spans="1:16" x14ac:dyDescent="0.2">
      <c r="A16">
        <v>40000</v>
      </c>
      <c r="B16">
        <v>24</v>
      </c>
      <c r="C16">
        <v>109656</v>
      </c>
      <c r="D16">
        <v>24</v>
      </c>
      <c r="E16">
        <v>97912.12</v>
      </c>
      <c r="F16">
        <v>24</v>
      </c>
      <c r="G16">
        <v>103504.83</v>
      </c>
      <c r="H16">
        <v>24</v>
      </c>
      <c r="I16">
        <v>182181.53</v>
      </c>
      <c r="J16">
        <v>24</v>
      </c>
      <c r="K16">
        <v>178005.18</v>
      </c>
      <c r="L16">
        <v>24</v>
      </c>
      <c r="M16">
        <v>164785.24</v>
      </c>
      <c r="O16">
        <f t="shared" si="0"/>
        <v>103690.98333333334</v>
      </c>
      <c r="P16">
        <f t="shared" si="1"/>
        <v>174990.65</v>
      </c>
    </row>
    <row r="17" spans="1:16" x14ac:dyDescent="0.2">
      <c r="A17">
        <v>100000</v>
      </c>
      <c r="B17">
        <v>9</v>
      </c>
      <c r="C17">
        <v>75128.31</v>
      </c>
      <c r="D17">
        <v>9</v>
      </c>
      <c r="E17">
        <v>73709.17</v>
      </c>
      <c r="F17">
        <v>9</v>
      </c>
      <c r="G17">
        <v>73380.86</v>
      </c>
      <c r="H17">
        <v>9</v>
      </c>
      <c r="I17">
        <v>143393.60999999999</v>
      </c>
      <c r="J17">
        <v>9</v>
      </c>
      <c r="K17">
        <v>144350.32</v>
      </c>
      <c r="L17">
        <v>9</v>
      </c>
      <c r="M17">
        <v>144576.64000000001</v>
      </c>
      <c r="O17">
        <f t="shared" si="0"/>
        <v>74072.779999999984</v>
      </c>
      <c r="P17">
        <f t="shared" si="1"/>
        <v>144106.85666666666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D156-B1A8-B84D-A053-7C8191CF4036}">
  <sheetPr codeName="Sheet3"/>
  <dimension ref="A1:P44"/>
  <sheetViews>
    <sheetView workbookViewId="0">
      <selection activeCell="H23" sqref="H23"/>
    </sheetView>
  </sheetViews>
  <sheetFormatPr baseColWidth="10" defaultRowHeight="16" x14ac:dyDescent="0.2"/>
  <sheetData>
    <row r="1" spans="1:16" x14ac:dyDescent="0.2">
      <c r="A1" t="s">
        <v>0</v>
      </c>
      <c r="B1" t="s">
        <v>12</v>
      </c>
      <c r="C1" t="s">
        <v>1</v>
      </c>
      <c r="D1">
        <v>354296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5832</v>
      </c>
      <c r="C4">
        <v>83122.460000000006</v>
      </c>
      <c r="D4">
        <v>5832</v>
      </c>
      <c r="E4">
        <v>77254.33</v>
      </c>
      <c r="F4">
        <v>5832</v>
      </c>
      <c r="G4">
        <v>75540.179999999993</v>
      </c>
      <c r="H4">
        <v>5843</v>
      </c>
      <c r="I4">
        <v>73496.59</v>
      </c>
      <c r="J4">
        <v>5837</v>
      </c>
      <c r="K4">
        <v>70154.92</v>
      </c>
      <c r="L4">
        <v>5837</v>
      </c>
      <c r="M4">
        <v>72439.679999999993</v>
      </c>
      <c r="O4">
        <f>AVERAGE(C4,E4,G4)</f>
        <v>78638.990000000005</v>
      </c>
      <c r="P4">
        <f>AVERAGE(I4,K4,M4)</f>
        <v>72030.396666666667</v>
      </c>
    </row>
    <row r="5" spans="1:16" x14ac:dyDescent="0.2">
      <c r="A5">
        <v>200</v>
      </c>
      <c r="B5">
        <v>2916</v>
      </c>
      <c r="C5">
        <v>78817.240000000005</v>
      </c>
      <c r="D5">
        <v>2916</v>
      </c>
      <c r="E5">
        <v>74080.509999999995</v>
      </c>
      <c r="F5">
        <v>2916</v>
      </c>
      <c r="G5">
        <v>73965.679999999993</v>
      </c>
      <c r="H5">
        <v>2914</v>
      </c>
      <c r="I5">
        <v>52415.61</v>
      </c>
      <c r="J5">
        <v>2913</v>
      </c>
      <c r="K5">
        <v>45790.38</v>
      </c>
      <c r="L5">
        <v>2911</v>
      </c>
      <c r="M5">
        <v>45608.71</v>
      </c>
      <c r="O5">
        <f t="shared" ref="O5:O17" si="0">AVERAGE(C5,E5,G5)</f>
        <v>75621.143333333326</v>
      </c>
      <c r="P5">
        <f t="shared" ref="P5:P17" si="1">AVERAGE(I5,K5,M5)</f>
        <v>47938.23333333333</v>
      </c>
    </row>
    <row r="6" spans="1:16" x14ac:dyDescent="0.2">
      <c r="A6">
        <v>400</v>
      </c>
      <c r="B6">
        <v>972</v>
      </c>
      <c r="C6">
        <v>74498.960000000006</v>
      </c>
      <c r="D6">
        <v>972</v>
      </c>
      <c r="E6">
        <v>71636.350000000006</v>
      </c>
      <c r="F6">
        <v>972</v>
      </c>
      <c r="G6">
        <v>71261.289999999994</v>
      </c>
      <c r="H6">
        <v>1027</v>
      </c>
      <c r="I6">
        <v>45425.35</v>
      </c>
      <c r="J6">
        <v>1025</v>
      </c>
      <c r="K6">
        <v>44682.06</v>
      </c>
      <c r="L6">
        <v>1027</v>
      </c>
      <c r="M6">
        <v>44611.34</v>
      </c>
      <c r="O6">
        <f t="shared" si="0"/>
        <v>72465.533333333326</v>
      </c>
      <c r="P6">
        <f t="shared" si="1"/>
        <v>44906.25</v>
      </c>
    </row>
    <row r="7" spans="1:16" x14ac:dyDescent="0.2">
      <c r="A7">
        <v>600</v>
      </c>
      <c r="B7">
        <v>972</v>
      </c>
      <c r="C7">
        <v>72881.48</v>
      </c>
      <c r="D7">
        <v>972</v>
      </c>
      <c r="E7">
        <v>74205.179999999993</v>
      </c>
      <c r="F7">
        <v>972</v>
      </c>
      <c r="G7">
        <v>69152.03</v>
      </c>
      <c r="H7">
        <v>973</v>
      </c>
      <c r="I7">
        <v>48065.66</v>
      </c>
      <c r="J7">
        <v>972</v>
      </c>
      <c r="K7">
        <v>46823.360000000001</v>
      </c>
      <c r="L7">
        <v>975</v>
      </c>
      <c r="M7">
        <v>47143.58</v>
      </c>
      <c r="O7">
        <f t="shared" si="0"/>
        <v>72079.563333333324</v>
      </c>
      <c r="P7">
        <f t="shared" si="1"/>
        <v>47344.200000000004</v>
      </c>
    </row>
    <row r="8" spans="1:16" x14ac:dyDescent="0.2">
      <c r="A8">
        <v>800</v>
      </c>
      <c r="B8">
        <v>648</v>
      </c>
      <c r="C8">
        <v>71817.440000000002</v>
      </c>
      <c r="D8">
        <v>648</v>
      </c>
      <c r="E8">
        <v>67005.97</v>
      </c>
      <c r="F8">
        <v>648</v>
      </c>
      <c r="G8">
        <v>72570.81</v>
      </c>
      <c r="H8">
        <v>623</v>
      </c>
      <c r="I8">
        <v>50835.62</v>
      </c>
      <c r="J8">
        <v>624</v>
      </c>
      <c r="K8">
        <v>49012.97</v>
      </c>
      <c r="L8">
        <v>623</v>
      </c>
      <c r="M8">
        <v>50394.09</v>
      </c>
      <c r="O8">
        <f t="shared" si="0"/>
        <v>70464.740000000005</v>
      </c>
      <c r="P8">
        <f t="shared" si="1"/>
        <v>50080.893333333333</v>
      </c>
    </row>
    <row r="9" spans="1:16" x14ac:dyDescent="0.2">
      <c r="A9">
        <v>1000</v>
      </c>
      <c r="B9">
        <v>648</v>
      </c>
      <c r="C9">
        <v>72528.710000000006</v>
      </c>
      <c r="D9">
        <v>648</v>
      </c>
      <c r="E9">
        <v>68463.490000000005</v>
      </c>
      <c r="F9">
        <v>648</v>
      </c>
      <c r="G9">
        <v>68452.47</v>
      </c>
      <c r="H9">
        <v>632</v>
      </c>
      <c r="I9">
        <v>52712.39</v>
      </c>
      <c r="J9">
        <v>632</v>
      </c>
      <c r="K9">
        <v>53116.04</v>
      </c>
      <c r="L9">
        <v>628</v>
      </c>
      <c r="M9">
        <v>53822.27</v>
      </c>
      <c r="O9">
        <f t="shared" si="0"/>
        <v>69814.89</v>
      </c>
      <c r="P9">
        <f t="shared" si="1"/>
        <v>53216.899999999994</v>
      </c>
    </row>
    <row r="10" spans="1:16" x14ac:dyDescent="0.2">
      <c r="A10">
        <v>1200</v>
      </c>
      <c r="B10">
        <v>324</v>
      </c>
      <c r="C10">
        <v>69065.88</v>
      </c>
      <c r="D10">
        <v>324</v>
      </c>
      <c r="E10">
        <v>65547.28</v>
      </c>
      <c r="F10">
        <v>324</v>
      </c>
      <c r="G10">
        <v>64577.91</v>
      </c>
      <c r="H10">
        <v>341</v>
      </c>
      <c r="I10">
        <v>50710.31</v>
      </c>
      <c r="J10">
        <v>340</v>
      </c>
      <c r="K10">
        <v>49968.11</v>
      </c>
      <c r="L10">
        <v>338</v>
      </c>
      <c r="M10">
        <v>52110</v>
      </c>
      <c r="O10">
        <f t="shared" si="0"/>
        <v>66397.023333333331</v>
      </c>
      <c r="P10">
        <f t="shared" si="1"/>
        <v>50929.473333333328</v>
      </c>
    </row>
    <row r="11" spans="1:16" x14ac:dyDescent="0.2">
      <c r="A11">
        <v>1600</v>
      </c>
      <c r="B11">
        <v>324</v>
      </c>
      <c r="C11">
        <v>67209.27</v>
      </c>
      <c r="D11">
        <v>324</v>
      </c>
      <c r="E11">
        <v>72744.05</v>
      </c>
      <c r="F11">
        <v>324</v>
      </c>
      <c r="G11">
        <v>64987.66</v>
      </c>
      <c r="H11">
        <v>326</v>
      </c>
      <c r="I11">
        <v>54924.9</v>
      </c>
      <c r="J11">
        <v>325</v>
      </c>
      <c r="K11">
        <v>55049.47</v>
      </c>
      <c r="L11">
        <v>326</v>
      </c>
      <c r="M11">
        <v>53618.52</v>
      </c>
      <c r="O11">
        <f t="shared" si="0"/>
        <v>68313.66</v>
      </c>
      <c r="P11">
        <f t="shared" si="1"/>
        <v>54530.963333333326</v>
      </c>
    </row>
    <row r="12" spans="1:16" x14ac:dyDescent="0.2">
      <c r="A12">
        <v>2000</v>
      </c>
      <c r="B12">
        <v>324</v>
      </c>
      <c r="C12">
        <v>69450.320000000007</v>
      </c>
      <c r="D12">
        <v>324</v>
      </c>
      <c r="E12">
        <v>72523.5</v>
      </c>
      <c r="F12">
        <v>324</v>
      </c>
      <c r="G12">
        <v>66321.83</v>
      </c>
      <c r="H12">
        <v>324</v>
      </c>
      <c r="I12">
        <v>72403.360000000001</v>
      </c>
      <c r="J12">
        <v>324</v>
      </c>
      <c r="K12">
        <v>72260.149999999994</v>
      </c>
      <c r="L12">
        <v>324</v>
      </c>
      <c r="M12">
        <v>76798.12</v>
      </c>
      <c r="O12">
        <f t="shared" si="0"/>
        <v>69431.883333333346</v>
      </c>
      <c r="P12">
        <f t="shared" si="1"/>
        <v>73820.543333333335</v>
      </c>
    </row>
    <row r="13" spans="1:16" x14ac:dyDescent="0.2">
      <c r="A13">
        <v>4000</v>
      </c>
      <c r="B13">
        <v>108</v>
      </c>
      <c r="C13">
        <v>59336.07</v>
      </c>
      <c r="D13">
        <v>108</v>
      </c>
      <c r="E13">
        <v>55731.75</v>
      </c>
      <c r="F13">
        <v>108</v>
      </c>
      <c r="G13">
        <v>58987.32</v>
      </c>
      <c r="H13">
        <v>108</v>
      </c>
      <c r="I13">
        <v>82291.66</v>
      </c>
      <c r="J13">
        <v>108</v>
      </c>
      <c r="K13">
        <v>101452.72</v>
      </c>
      <c r="L13">
        <v>108</v>
      </c>
      <c r="M13">
        <v>83254.710000000006</v>
      </c>
      <c r="O13">
        <f t="shared" si="0"/>
        <v>58018.380000000005</v>
      </c>
      <c r="P13">
        <f t="shared" si="1"/>
        <v>88999.69666666667</v>
      </c>
    </row>
    <row r="14" spans="1:16" x14ac:dyDescent="0.2">
      <c r="A14">
        <v>10000</v>
      </c>
      <c r="B14">
        <v>36</v>
      </c>
      <c r="C14">
        <v>49074.71</v>
      </c>
      <c r="D14">
        <v>36</v>
      </c>
      <c r="E14">
        <v>53513.39</v>
      </c>
      <c r="F14">
        <v>36</v>
      </c>
      <c r="G14">
        <v>46488.959999999999</v>
      </c>
      <c r="H14">
        <v>36</v>
      </c>
      <c r="I14">
        <v>72437.14</v>
      </c>
      <c r="J14">
        <v>36</v>
      </c>
      <c r="K14">
        <v>72513.179999999993</v>
      </c>
      <c r="L14">
        <v>36</v>
      </c>
      <c r="M14">
        <v>76283.92</v>
      </c>
      <c r="O14">
        <f t="shared" si="0"/>
        <v>49692.353333333333</v>
      </c>
      <c r="P14">
        <f t="shared" si="1"/>
        <v>73744.746666666659</v>
      </c>
    </row>
    <row r="15" spans="1:16" x14ac:dyDescent="0.2">
      <c r="A15">
        <v>20000</v>
      </c>
      <c r="B15">
        <v>24</v>
      </c>
      <c r="C15">
        <v>43217.5</v>
      </c>
      <c r="D15">
        <v>24</v>
      </c>
      <c r="E15">
        <v>41096.43</v>
      </c>
      <c r="F15">
        <v>24</v>
      </c>
      <c r="G15">
        <v>41961.83</v>
      </c>
      <c r="H15">
        <v>24</v>
      </c>
      <c r="I15">
        <v>75374.61</v>
      </c>
      <c r="J15">
        <v>24</v>
      </c>
      <c r="K15">
        <v>68940.08</v>
      </c>
      <c r="L15">
        <v>24</v>
      </c>
      <c r="M15">
        <v>68254.11</v>
      </c>
      <c r="O15">
        <f t="shared" si="0"/>
        <v>42091.92</v>
      </c>
      <c r="P15">
        <f t="shared" si="1"/>
        <v>70856.266666666663</v>
      </c>
    </row>
    <row r="16" spans="1:16" x14ac:dyDescent="0.2">
      <c r="A16">
        <v>40000</v>
      </c>
      <c r="B16">
        <v>12</v>
      </c>
      <c r="C16">
        <v>40137.74</v>
      </c>
      <c r="D16">
        <v>12</v>
      </c>
      <c r="E16">
        <v>33695.19</v>
      </c>
      <c r="F16">
        <v>12</v>
      </c>
      <c r="G16">
        <v>33696.31</v>
      </c>
      <c r="H16">
        <v>12</v>
      </c>
      <c r="I16">
        <v>63219.39</v>
      </c>
      <c r="J16">
        <v>12</v>
      </c>
      <c r="K16">
        <v>61968.3</v>
      </c>
      <c r="L16">
        <v>12</v>
      </c>
      <c r="M16">
        <v>68797.77</v>
      </c>
      <c r="O16">
        <f t="shared" si="0"/>
        <v>35843.079999999994</v>
      </c>
      <c r="P16">
        <f t="shared" si="1"/>
        <v>64661.820000000007</v>
      </c>
    </row>
    <row r="17" spans="1:16" x14ac:dyDescent="0.2">
      <c r="A17">
        <v>100000</v>
      </c>
      <c r="B17">
        <v>4</v>
      </c>
      <c r="C17">
        <v>20428.240000000002</v>
      </c>
      <c r="D17">
        <v>4</v>
      </c>
      <c r="E17">
        <v>19323.28</v>
      </c>
      <c r="F17">
        <v>4</v>
      </c>
      <c r="G17">
        <v>19001.47</v>
      </c>
      <c r="H17">
        <v>4</v>
      </c>
      <c r="I17">
        <v>45609.120000000003</v>
      </c>
      <c r="J17">
        <v>4</v>
      </c>
      <c r="K17">
        <v>52806.67</v>
      </c>
      <c r="L17">
        <v>4</v>
      </c>
      <c r="M17">
        <v>45705.69</v>
      </c>
      <c r="O17">
        <f t="shared" si="0"/>
        <v>19584.330000000002</v>
      </c>
      <c r="P17">
        <f t="shared" si="1"/>
        <v>48040.493333333339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F2A71-1F27-104A-95D9-B78CF1075BD1}">
  <sheetPr codeName="Sheet5"/>
  <dimension ref="A1:P44"/>
  <sheetViews>
    <sheetView workbookViewId="0">
      <selection sqref="A1:M17"/>
    </sheetView>
  </sheetViews>
  <sheetFormatPr baseColWidth="10" defaultRowHeight="16" x14ac:dyDescent="0.2"/>
  <sheetData>
    <row r="1" spans="1:16" x14ac:dyDescent="0.2">
      <c r="A1" t="s">
        <v>0</v>
      </c>
      <c r="B1" t="s">
        <v>13</v>
      </c>
      <c r="C1" t="s">
        <v>1</v>
      </c>
      <c r="D1">
        <v>300003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4686</v>
      </c>
      <c r="C4">
        <v>93439.83</v>
      </c>
      <c r="D4">
        <v>4686</v>
      </c>
      <c r="E4">
        <v>72118.77</v>
      </c>
      <c r="F4">
        <v>4686</v>
      </c>
      <c r="G4">
        <v>65349.41</v>
      </c>
      <c r="H4">
        <v>4853</v>
      </c>
      <c r="I4">
        <v>128531.09</v>
      </c>
      <c r="J4">
        <v>4866</v>
      </c>
      <c r="K4">
        <v>109746.56</v>
      </c>
      <c r="L4">
        <v>4847</v>
      </c>
      <c r="M4">
        <v>110580.58</v>
      </c>
      <c r="O4">
        <f>AVERAGE(C4,E4,G4)</f>
        <v>76969.33666666667</v>
      </c>
      <c r="P4">
        <f>AVERAGE(I4,K4,M4)</f>
        <v>116286.07666666666</v>
      </c>
    </row>
    <row r="5" spans="1:16" x14ac:dyDescent="0.2">
      <c r="A5">
        <v>200</v>
      </c>
      <c r="B5">
        <v>2350</v>
      </c>
      <c r="C5">
        <v>66235.33</v>
      </c>
      <c r="D5">
        <v>2350</v>
      </c>
      <c r="E5">
        <v>61279.06</v>
      </c>
      <c r="F5">
        <v>2350</v>
      </c>
      <c r="G5">
        <v>60696.98</v>
      </c>
      <c r="H5">
        <v>2406</v>
      </c>
      <c r="I5">
        <v>63702.37</v>
      </c>
      <c r="J5">
        <v>2418</v>
      </c>
      <c r="K5">
        <v>63263.64</v>
      </c>
      <c r="L5">
        <v>2415</v>
      </c>
      <c r="M5">
        <v>72432.75</v>
      </c>
      <c r="O5">
        <f t="shared" ref="O5:O17" si="0">AVERAGE(C5,E5,G5)</f>
        <v>62737.123333333329</v>
      </c>
      <c r="P5">
        <f t="shared" ref="P5:P17" si="1">AVERAGE(I5,K5,M5)</f>
        <v>66466.253333333341</v>
      </c>
    </row>
    <row r="6" spans="1:16" x14ac:dyDescent="0.2">
      <c r="A6">
        <v>400</v>
      </c>
      <c r="B6">
        <v>1185</v>
      </c>
      <c r="C6">
        <v>66722.210000000006</v>
      </c>
      <c r="D6">
        <v>1185</v>
      </c>
      <c r="E6">
        <v>57716.94</v>
      </c>
      <c r="F6">
        <v>1185</v>
      </c>
      <c r="G6">
        <v>61333.91</v>
      </c>
      <c r="H6">
        <v>1229</v>
      </c>
      <c r="I6">
        <v>53392.29</v>
      </c>
      <c r="J6">
        <v>1221</v>
      </c>
      <c r="K6">
        <v>45370.17</v>
      </c>
      <c r="L6">
        <v>1232</v>
      </c>
      <c r="M6">
        <v>46280.46</v>
      </c>
      <c r="O6">
        <f t="shared" si="0"/>
        <v>61924.353333333333</v>
      </c>
      <c r="P6">
        <f t="shared" si="1"/>
        <v>48347.639999999992</v>
      </c>
    </row>
    <row r="7" spans="1:16" x14ac:dyDescent="0.2">
      <c r="A7">
        <v>600</v>
      </c>
      <c r="B7">
        <v>791</v>
      </c>
      <c r="C7">
        <v>62195.75</v>
      </c>
      <c r="D7">
        <v>791</v>
      </c>
      <c r="E7">
        <v>67462.47</v>
      </c>
      <c r="F7">
        <v>791</v>
      </c>
      <c r="G7">
        <v>58295.26</v>
      </c>
      <c r="H7">
        <v>823</v>
      </c>
      <c r="I7">
        <v>51440.71</v>
      </c>
      <c r="J7">
        <v>806</v>
      </c>
      <c r="K7">
        <v>47008.14</v>
      </c>
      <c r="L7">
        <v>820</v>
      </c>
      <c r="M7">
        <v>46073.279999999999</v>
      </c>
      <c r="O7">
        <f t="shared" si="0"/>
        <v>62651.16</v>
      </c>
      <c r="P7">
        <f t="shared" si="1"/>
        <v>48174.043333333335</v>
      </c>
    </row>
    <row r="8" spans="1:16" x14ac:dyDescent="0.2">
      <c r="A8">
        <v>800</v>
      </c>
      <c r="B8">
        <v>587</v>
      </c>
      <c r="C8">
        <v>61715.839999999997</v>
      </c>
      <c r="D8">
        <v>587</v>
      </c>
      <c r="E8">
        <v>59912.639999999999</v>
      </c>
      <c r="F8">
        <v>587</v>
      </c>
      <c r="G8">
        <v>55990.080000000002</v>
      </c>
      <c r="H8">
        <v>603</v>
      </c>
      <c r="I8">
        <v>58575.4</v>
      </c>
      <c r="J8">
        <v>604</v>
      </c>
      <c r="K8">
        <v>53246.14</v>
      </c>
      <c r="L8">
        <v>602</v>
      </c>
      <c r="M8">
        <v>54217.32</v>
      </c>
      <c r="O8">
        <f t="shared" si="0"/>
        <v>59206.186666666668</v>
      </c>
      <c r="P8">
        <f t="shared" si="1"/>
        <v>55346.286666666674</v>
      </c>
    </row>
    <row r="9" spans="1:16" x14ac:dyDescent="0.2">
      <c r="A9">
        <v>1000</v>
      </c>
      <c r="B9">
        <v>442</v>
      </c>
      <c r="C9">
        <v>63107.15</v>
      </c>
      <c r="D9">
        <v>442</v>
      </c>
      <c r="E9">
        <v>59969.4</v>
      </c>
      <c r="F9">
        <v>442</v>
      </c>
      <c r="G9">
        <v>60092.98</v>
      </c>
      <c r="H9">
        <v>460</v>
      </c>
      <c r="I9">
        <v>54352.17</v>
      </c>
      <c r="J9">
        <v>454</v>
      </c>
      <c r="K9">
        <v>49915.98</v>
      </c>
      <c r="L9">
        <v>456</v>
      </c>
      <c r="M9">
        <v>51801.81</v>
      </c>
      <c r="O9">
        <f t="shared" si="0"/>
        <v>61056.51</v>
      </c>
      <c r="P9">
        <f t="shared" si="1"/>
        <v>52023.32</v>
      </c>
    </row>
    <row r="10" spans="1:16" x14ac:dyDescent="0.2">
      <c r="A10">
        <v>1200</v>
      </c>
      <c r="B10">
        <v>394</v>
      </c>
      <c r="C10">
        <v>61390.239999999998</v>
      </c>
      <c r="D10">
        <v>394</v>
      </c>
      <c r="E10">
        <v>59310.2</v>
      </c>
      <c r="F10">
        <v>394</v>
      </c>
      <c r="G10">
        <v>58476.79</v>
      </c>
      <c r="H10">
        <v>405</v>
      </c>
      <c r="I10">
        <v>54056.480000000003</v>
      </c>
      <c r="J10">
        <v>406</v>
      </c>
      <c r="K10">
        <v>53152.37</v>
      </c>
      <c r="L10">
        <v>404</v>
      </c>
      <c r="M10">
        <v>52604.19</v>
      </c>
      <c r="O10">
        <f t="shared" si="0"/>
        <v>59725.743333333339</v>
      </c>
      <c r="P10">
        <f t="shared" si="1"/>
        <v>53271.013333333336</v>
      </c>
    </row>
    <row r="11" spans="1:16" x14ac:dyDescent="0.2">
      <c r="A11">
        <v>1600</v>
      </c>
      <c r="B11">
        <v>291</v>
      </c>
      <c r="C11">
        <v>62161.01</v>
      </c>
      <c r="D11">
        <v>291</v>
      </c>
      <c r="E11">
        <v>62445.25</v>
      </c>
      <c r="F11">
        <v>291</v>
      </c>
      <c r="G11">
        <v>61831.03</v>
      </c>
      <c r="H11">
        <v>308</v>
      </c>
      <c r="I11">
        <v>65450.01</v>
      </c>
      <c r="J11">
        <v>301</v>
      </c>
      <c r="K11">
        <v>59264.26</v>
      </c>
      <c r="L11">
        <v>295</v>
      </c>
      <c r="M11">
        <v>57867.68</v>
      </c>
      <c r="O11">
        <f t="shared" si="0"/>
        <v>62145.763333333336</v>
      </c>
      <c r="P11">
        <f t="shared" si="1"/>
        <v>60860.65</v>
      </c>
    </row>
    <row r="12" spans="1:16" x14ac:dyDescent="0.2">
      <c r="A12">
        <v>2000</v>
      </c>
      <c r="B12">
        <v>229</v>
      </c>
      <c r="C12">
        <v>55793.23</v>
      </c>
      <c r="D12">
        <v>229</v>
      </c>
      <c r="E12">
        <v>53118.05</v>
      </c>
      <c r="F12">
        <v>229</v>
      </c>
      <c r="G12">
        <v>60212.62</v>
      </c>
      <c r="H12">
        <v>237</v>
      </c>
      <c r="I12">
        <v>55298.57</v>
      </c>
      <c r="J12">
        <v>239</v>
      </c>
      <c r="K12">
        <v>54692.46</v>
      </c>
      <c r="L12">
        <v>242</v>
      </c>
      <c r="M12">
        <v>55143.82</v>
      </c>
      <c r="O12">
        <f t="shared" si="0"/>
        <v>56374.633333333331</v>
      </c>
      <c r="P12">
        <f t="shared" si="1"/>
        <v>55044.950000000004</v>
      </c>
    </row>
    <row r="13" spans="1:16" x14ac:dyDescent="0.2">
      <c r="A13">
        <v>4000</v>
      </c>
      <c r="B13">
        <v>119</v>
      </c>
      <c r="C13">
        <v>51936.34</v>
      </c>
      <c r="D13">
        <v>119</v>
      </c>
      <c r="E13">
        <v>49980.73</v>
      </c>
      <c r="F13">
        <v>119</v>
      </c>
      <c r="G13">
        <v>53099.91</v>
      </c>
      <c r="H13">
        <v>123</v>
      </c>
      <c r="I13">
        <v>63574.95</v>
      </c>
      <c r="J13">
        <v>123</v>
      </c>
      <c r="K13">
        <v>62156.6</v>
      </c>
      <c r="L13">
        <v>126</v>
      </c>
      <c r="M13">
        <v>62233.37</v>
      </c>
      <c r="O13">
        <f t="shared" si="0"/>
        <v>51672.326666666668</v>
      </c>
      <c r="P13">
        <f t="shared" si="1"/>
        <v>62654.973333333328</v>
      </c>
    </row>
    <row r="14" spans="1:16" x14ac:dyDescent="0.2">
      <c r="A14">
        <v>10000</v>
      </c>
      <c r="B14">
        <v>42</v>
      </c>
      <c r="C14">
        <v>41717.760000000002</v>
      </c>
      <c r="D14">
        <v>42</v>
      </c>
      <c r="E14">
        <v>45001.01</v>
      </c>
      <c r="F14">
        <v>42</v>
      </c>
      <c r="G14">
        <v>41457.980000000003</v>
      </c>
      <c r="H14">
        <v>42</v>
      </c>
      <c r="I14">
        <v>61386.28</v>
      </c>
      <c r="J14">
        <v>42</v>
      </c>
      <c r="K14">
        <v>61474.89</v>
      </c>
      <c r="L14">
        <v>42</v>
      </c>
      <c r="M14">
        <v>72771.509999999995</v>
      </c>
      <c r="O14">
        <f t="shared" si="0"/>
        <v>42725.583333333336</v>
      </c>
      <c r="P14">
        <f t="shared" si="1"/>
        <v>65210.893333333333</v>
      </c>
    </row>
    <row r="15" spans="1:16" x14ac:dyDescent="0.2">
      <c r="A15">
        <v>20000</v>
      </c>
      <c r="B15">
        <v>22</v>
      </c>
      <c r="C15">
        <v>37600.050000000003</v>
      </c>
      <c r="D15">
        <v>22</v>
      </c>
      <c r="E15">
        <v>35462.68</v>
      </c>
      <c r="F15">
        <v>22</v>
      </c>
      <c r="G15">
        <v>35770.19</v>
      </c>
      <c r="H15">
        <v>22</v>
      </c>
      <c r="I15">
        <v>61838.39</v>
      </c>
      <c r="J15">
        <v>22</v>
      </c>
      <c r="K15">
        <v>74949.47</v>
      </c>
      <c r="L15">
        <v>22</v>
      </c>
      <c r="M15">
        <v>75739.509999999995</v>
      </c>
      <c r="O15">
        <f t="shared" si="0"/>
        <v>36277.640000000007</v>
      </c>
      <c r="P15">
        <f t="shared" si="1"/>
        <v>70842.456666666665</v>
      </c>
    </row>
    <row r="16" spans="1:16" x14ac:dyDescent="0.2">
      <c r="A16">
        <v>40000</v>
      </c>
      <c r="B16">
        <v>12</v>
      </c>
      <c r="C16">
        <v>33218.879999999997</v>
      </c>
      <c r="D16">
        <v>12</v>
      </c>
      <c r="E16">
        <v>32276.880000000001</v>
      </c>
      <c r="F16">
        <v>12</v>
      </c>
      <c r="G16">
        <v>31363.89</v>
      </c>
      <c r="H16">
        <v>12</v>
      </c>
      <c r="I16">
        <v>63675.8</v>
      </c>
      <c r="J16">
        <v>12</v>
      </c>
      <c r="K16">
        <v>55092.66</v>
      </c>
      <c r="L16">
        <v>12</v>
      </c>
      <c r="M16">
        <v>58715.93</v>
      </c>
      <c r="O16">
        <f t="shared" si="0"/>
        <v>32286.55</v>
      </c>
      <c r="P16">
        <f t="shared" si="1"/>
        <v>59161.46333333334</v>
      </c>
    </row>
    <row r="17" spans="1:16" x14ac:dyDescent="0.2">
      <c r="A17">
        <v>100000</v>
      </c>
      <c r="B17">
        <v>5</v>
      </c>
      <c r="C17">
        <v>22223.38</v>
      </c>
      <c r="D17">
        <v>5</v>
      </c>
      <c r="E17">
        <v>23046.7</v>
      </c>
      <c r="F17">
        <v>5</v>
      </c>
      <c r="G17">
        <v>23208.33</v>
      </c>
      <c r="H17">
        <v>5</v>
      </c>
      <c r="I17">
        <v>56999.92</v>
      </c>
      <c r="J17">
        <v>5</v>
      </c>
      <c r="K17">
        <v>46014.75</v>
      </c>
      <c r="L17">
        <v>5</v>
      </c>
      <c r="M17">
        <v>48911.34</v>
      </c>
      <c r="O17">
        <f t="shared" si="0"/>
        <v>22826.136666666669</v>
      </c>
      <c r="P17">
        <f t="shared" si="1"/>
        <v>50642.003333333334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50C8-85E5-D847-9754-26C4C2184F8B}">
  <sheetPr codeName="Sheet7"/>
  <dimension ref="A1:P44"/>
  <sheetViews>
    <sheetView workbookViewId="0">
      <selection sqref="A1:M17"/>
    </sheetView>
  </sheetViews>
  <sheetFormatPr baseColWidth="10" defaultRowHeight="16" x14ac:dyDescent="0.2"/>
  <sheetData>
    <row r="1" spans="1:16" x14ac:dyDescent="0.2">
      <c r="A1" t="s">
        <v>0</v>
      </c>
      <c r="B1" t="s">
        <v>14</v>
      </c>
      <c r="C1" t="s">
        <v>1</v>
      </c>
      <c r="D1">
        <v>300003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4716</v>
      </c>
      <c r="C4">
        <v>74556.81</v>
      </c>
      <c r="D4">
        <v>4716</v>
      </c>
      <c r="E4">
        <v>69329.649999999994</v>
      </c>
      <c r="F4">
        <v>4716</v>
      </c>
      <c r="G4">
        <v>73277.3</v>
      </c>
      <c r="H4">
        <v>4613</v>
      </c>
      <c r="I4">
        <v>108127.37</v>
      </c>
      <c r="J4">
        <v>4613</v>
      </c>
      <c r="K4">
        <v>99634.32</v>
      </c>
      <c r="L4">
        <v>4616</v>
      </c>
      <c r="M4">
        <v>97488.4</v>
      </c>
      <c r="O4">
        <f>AVERAGE(C4,E4,G4)</f>
        <v>72387.92</v>
      </c>
      <c r="P4">
        <f>AVERAGE(I4,K4,M4)</f>
        <v>101750.02999999998</v>
      </c>
    </row>
    <row r="5" spans="1:16" x14ac:dyDescent="0.2">
      <c r="A5">
        <v>200</v>
      </c>
      <c r="B5">
        <v>2346</v>
      </c>
      <c r="C5">
        <v>71275.16</v>
      </c>
      <c r="D5">
        <v>2346</v>
      </c>
      <c r="E5">
        <v>63363.07</v>
      </c>
      <c r="F5">
        <v>2346</v>
      </c>
      <c r="G5">
        <v>64586.73</v>
      </c>
      <c r="H5">
        <v>2364</v>
      </c>
      <c r="I5">
        <v>50460.39</v>
      </c>
      <c r="J5">
        <v>2363</v>
      </c>
      <c r="K5">
        <v>51461.04</v>
      </c>
      <c r="L5">
        <v>2360</v>
      </c>
      <c r="M5">
        <v>49210.65</v>
      </c>
      <c r="O5">
        <f t="shared" ref="O5:O17" si="0">AVERAGE(C5,E5,G5)</f>
        <v>66408.320000000007</v>
      </c>
      <c r="P5">
        <f t="shared" ref="P5:P17" si="1">AVERAGE(I5,K5,M5)</f>
        <v>50377.359999999993</v>
      </c>
    </row>
    <row r="6" spans="1:16" x14ac:dyDescent="0.2">
      <c r="A6">
        <v>400</v>
      </c>
      <c r="B6">
        <v>1185</v>
      </c>
      <c r="C6">
        <v>78203.5</v>
      </c>
      <c r="D6">
        <v>1185</v>
      </c>
      <c r="E6">
        <v>66204.789999999994</v>
      </c>
      <c r="F6">
        <v>1185</v>
      </c>
      <c r="G6">
        <v>64837.83</v>
      </c>
      <c r="H6">
        <v>1212</v>
      </c>
      <c r="I6">
        <v>45869.59</v>
      </c>
      <c r="J6">
        <v>1214</v>
      </c>
      <c r="K6">
        <v>45792.28</v>
      </c>
      <c r="L6">
        <v>1210</v>
      </c>
      <c r="M6">
        <v>48052.63</v>
      </c>
      <c r="O6">
        <f t="shared" si="0"/>
        <v>69748.706666666665</v>
      </c>
      <c r="P6">
        <f t="shared" si="1"/>
        <v>46571.5</v>
      </c>
    </row>
    <row r="7" spans="1:16" x14ac:dyDescent="0.2">
      <c r="A7">
        <v>600</v>
      </c>
      <c r="B7">
        <v>791</v>
      </c>
      <c r="C7">
        <v>66021.47</v>
      </c>
      <c r="D7">
        <v>791</v>
      </c>
      <c r="E7">
        <v>63446.53</v>
      </c>
      <c r="F7">
        <v>791</v>
      </c>
      <c r="G7">
        <v>69697.210000000006</v>
      </c>
      <c r="H7">
        <v>864</v>
      </c>
      <c r="I7">
        <v>45485.99</v>
      </c>
      <c r="J7">
        <v>864</v>
      </c>
      <c r="K7">
        <v>46671.98</v>
      </c>
      <c r="L7">
        <v>864</v>
      </c>
      <c r="M7">
        <v>43669.07</v>
      </c>
      <c r="O7">
        <f t="shared" si="0"/>
        <v>66388.403333333335</v>
      </c>
      <c r="P7">
        <f t="shared" si="1"/>
        <v>45275.68</v>
      </c>
    </row>
    <row r="8" spans="1:16" x14ac:dyDescent="0.2">
      <c r="A8">
        <v>800</v>
      </c>
      <c r="B8">
        <v>587</v>
      </c>
      <c r="C8">
        <v>63627.519999999997</v>
      </c>
      <c r="D8">
        <v>587</v>
      </c>
      <c r="E8">
        <v>61146.81</v>
      </c>
      <c r="F8">
        <v>587</v>
      </c>
      <c r="G8">
        <v>57991.58</v>
      </c>
      <c r="H8">
        <v>640</v>
      </c>
      <c r="I8">
        <v>46007.38</v>
      </c>
      <c r="J8">
        <v>640</v>
      </c>
      <c r="K8">
        <v>43364.29</v>
      </c>
      <c r="L8">
        <v>640</v>
      </c>
      <c r="M8">
        <v>44613.21</v>
      </c>
      <c r="O8">
        <f t="shared" si="0"/>
        <v>60921.969999999994</v>
      </c>
      <c r="P8">
        <f t="shared" si="1"/>
        <v>44661.626666666671</v>
      </c>
    </row>
    <row r="9" spans="1:16" x14ac:dyDescent="0.2">
      <c r="A9">
        <v>1000</v>
      </c>
      <c r="B9">
        <v>442</v>
      </c>
      <c r="C9">
        <v>59215.64</v>
      </c>
      <c r="D9">
        <v>442</v>
      </c>
      <c r="E9">
        <v>55573.440000000002</v>
      </c>
      <c r="F9">
        <v>442</v>
      </c>
      <c r="G9">
        <v>61982.31</v>
      </c>
      <c r="H9">
        <v>448</v>
      </c>
      <c r="I9">
        <v>41649.599999999999</v>
      </c>
      <c r="J9">
        <v>448</v>
      </c>
      <c r="K9">
        <v>41857.49</v>
      </c>
      <c r="L9">
        <v>448</v>
      </c>
      <c r="M9">
        <v>42277.02</v>
      </c>
      <c r="O9">
        <f t="shared" si="0"/>
        <v>58923.796666666669</v>
      </c>
      <c r="P9">
        <f t="shared" si="1"/>
        <v>41928.03666666666</v>
      </c>
    </row>
    <row r="10" spans="1:16" x14ac:dyDescent="0.2">
      <c r="A10">
        <v>1200</v>
      </c>
      <c r="B10">
        <v>394</v>
      </c>
      <c r="C10">
        <v>62277.45</v>
      </c>
      <c r="D10">
        <v>394</v>
      </c>
      <c r="E10">
        <v>57115.62</v>
      </c>
      <c r="F10">
        <v>394</v>
      </c>
      <c r="G10">
        <v>58264.9</v>
      </c>
      <c r="H10">
        <v>416</v>
      </c>
      <c r="I10">
        <v>50294.81</v>
      </c>
      <c r="J10">
        <v>416</v>
      </c>
      <c r="K10">
        <v>48520.73</v>
      </c>
      <c r="L10">
        <v>416</v>
      </c>
      <c r="M10">
        <v>48388.04</v>
      </c>
      <c r="O10">
        <f t="shared" si="0"/>
        <v>59219.323333333334</v>
      </c>
      <c r="P10">
        <f t="shared" si="1"/>
        <v>49067.860000000008</v>
      </c>
    </row>
    <row r="11" spans="1:16" x14ac:dyDescent="0.2">
      <c r="A11">
        <v>1600</v>
      </c>
      <c r="B11">
        <v>291</v>
      </c>
      <c r="C11">
        <v>58849.78</v>
      </c>
      <c r="D11">
        <v>291</v>
      </c>
      <c r="E11">
        <v>53770.080000000002</v>
      </c>
      <c r="F11">
        <v>291</v>
      </c>
      <c r="G11">
        <v>52510.07</v>
      </c>
      <c r="H11">
        <v>320</v>
      </c>
      <c r="I11">
        <v>50176.53</v>
      </c>
      <c r="J11">
        <v>320</v>
      </c>
      <c r="K11">
        <v>53622.49</v>
      </c>
      <c r="L11">
        <v>320</v>
      </c>
      <c r="M11">
        <v>56500.42</v>
      </c>
      <c r="O11">
        <f t="shared" si="0"/>
        <v>55043.31</v>
      </c>
      <c r="P11">
        <f t="shared" si="1"/>
        <v>53433.146666666667</v>
      </c>
    </row>
    <row r="12" spans="1:16" x14ac:dyDescent="0.2">
      <c r="A12">
        <v>2000</v>
      </c>
      <c r="B12">
        <v>229</v>
      </c>
      <c r="C12">
        <v>71427.61</v>
      </c>
      <c r="D12">
        <v>229</v>
      </c>
      <c r="E12">
        <v>107315.34</v>
      </c>
      <c r="F12">
        <v>229</v>
      </c>
      <c r="G12">
        <v>93138.74</v>
      </c>
      <c r="H12">
        <v>236</v>
      </c>
      <c r="I12">
        <v>88995.12</v>
      </c>
      <c r="J12">
        <v>236</v>
      </c>
      <c r="K12">
        <v>89095.17</v>
      </c>
      <c r="L12">
        <v>236</v>
      </c>
      <c r="M12">
        <v>82462.58</v>
      </c>
      <c r="O12">
        <f t="shared" si="0"/>
        <v>90627.23</v>
      </c>
      <c r="P12">
        <f t="shared" si="1"/>
        <v>86850.956666666665</v>
      </c>
    </row>
    <row r="13" spans="1:16" x14ac:dyDescent="0.2">
      <c r="A13">
        <v>4000</v>
      </c>
      <c r="B13">
        <v>119</v>
      </c>
      <c r="C13">
        <v>57975.82</v>
      </c>
      <c r="D13">
        <v>119</v>
      </c>
      <c r="E13">
        <v>101403.67</v>
      </c>
      <c r="F13">
        <v>119</v>
      </c>
      <c r="G13">
        <v>117416.45</v>
      </c>
      <c r="H13">
        <v>118</v>
      </c>
      <c r="I13">
        <v>65905.509999999995</v>
      </c>
      <c r="J13">
        <v>118</v>
      </c>
      <c r="K13">
        <v>65304.57</v>
      </c>
      <c r="L13">
        <v>118</v>
      </c>
      <c r="M13">
        <v>61838.96</v>
      </c>
      <c r="O13">
        <f t="shared" si="0"/>
        <v>92265.313333333339</v>
      </c>
      <c r="P13">
        <f t="shared" si="1"/>
        <v>64349.679999999993</v>
      </c>
    </row>
    <row r="14" spans="1:16" x14ac:dyDescent="0.2">
      <c r="A14">
        <v>10000</v>
      </c>
      <c r="B14">
        <v>42</v>
      </c>
      <c r="C14">
        <v>45018.1</v>
      </c>
      <c r="D14">
        <v>42</v>
      </c>
      <c r="E14">
        <v>43349.79</v>
      </c>
      <c r="F14">
        <v>42</v>
      </c>
      <c r="G14">
        <v>41547.339999999997</v>
      </c>
      <c r="H14">
        <v>42</v>
      </c>
      <c r="I14">
        <v>67771.38</v>
      </c>
      <c r="J14">
        <v>42</v>
      </c>
      <c r="K14">
        <v>62475.65</v>
      </c>
      <c r="L14">
        <v>42</v>
      </c>
      <c r="M14">
        <v>67005.100000000006</v>
      </c>
      <c r="O14">
        <f t="shared" si="0"/>
        <v>43305.076666666668</v>
      </c>
      <c r="P14">
        <f t="shared" si="1"/>
        <v>65750.710000000006</v>
      </c>
    </row>
    <row r="15" spans="1:16" x14ac:dyDescent="0.2">
      <c r="A15">
        <v>20000</v>
      </c>
      <c r="B15">
        <v>22</v>
      </c>
      <c r="C15">
        <v>35559.18</v>
      </c>
      <c r="D15">
        <v>22</v>
      </c>
      <c r="E15">
        <v>34785.43</v>
      </c>
      <c r="F15">
        <v>22</v>
      </c>
      <c r="G15">
        <v>35036.269999999997</v>
      </c>
      <c r="H15">
        <v>22</v>
      </c>
      <c r="I15">
        <v>58828.1</v>
      </c>
      <c r="J15">
        <v>22</v>
      </c>
      <c r="K15">
        <v>59113.02</v>
      </c>
      <c r="L15">
        <v>22</v>
      </c>
      <c r="M15">
        <v>56475.57</v>
      </c>
      <c r="O15">
        <f t="shared" si="0"/>
        <v>35126.959999999999</v>
      </c>
      <c r="P15">
        <f t="shared" si="1"/>
        <v>58138.896666666667</v>
      </c>
    </row>
    <row r="16" spans="1:16" x14ac:dyDescent="0.2">
      <c r="A16">
        <v>40000</v>
      </c>
      <c r="B16">
        <v>12</v>
      </c>
      <c r="C16">
        <v>30453.31</v>
      </c>
      <c r="D16">
        <v>12</v>
      </c>
      <c r="E16">
        <v>28726.43</v>
      </c>
      <c r="F16">
        <v>12</v>
      </c>
      <c r="G16">
        <v>34627.449999999997</v>
      </c>
      <c r="H16">
        <v>12</v>
      </c>
      <c r="I16">
        <v>56275.16</v>
      </c>
      <c r="J16">
        <v>12</v>
      </c>
      <c r="K16">
        <v>51872.800000000003</v>
      </c>
      <c r="L16">
        <v>12</v>
      </c>
      <c r="M16">
        <v>55156.22</v>
      </c>
      <c r="O16">
        <f t="shared" si="0"/>
        <v>31269.063333333335</v>
      </c>
      <c r="P16">
        <f t="shared" si="1"/>
        <v>54434.726666666662</v>
      </c>
    </row>
    <row r="17" spans="1:16" x14ac:dyDescent="0.2">
      <c r="A17">
        <v>100000</v>
      </c>
      <c r="B17">
        <v>5</v>
      </c>
      <c r="C17">
        <v>20958.18</v>
      </c>
      <c r="D17">
        <v>5</v>
      </c>
      <c r="E17">
        <v>19503.919999999998</v>
      </c>
      <c r="F17">
        <v>5</v>
      </c>
      <c r="G17">
        <v>19778.09</v>
      </c>
      <c r="H17">
        <v>5</v>
      </c>
      <c r="I17">
        <v>48994.01</v>
      </c>
      <c r="J17">
        <v>5</v>
      </c>
      <c r="K17">
        <v>45725.77</v>
      </c>
      <c r="L17">
        <v>5</v>
      </c>
      <c r="M17">
        <v>46192.480000000003</v>
      </c>
      <c r="O17">
        <f t="shared" si="0"/>
        <v>20080.063333333335</v>
      </c>
      <c r="P17">
        <f t="shared" si="1"/>
        <v>46970.753333333334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70013-3837-8347-9553-7F806DAD5CCA}">
  <sheetPr codeName="Sheet8"/>
  <dimension ref="A1:P44"/>
  <sheetViews>
    <sheetView workbookViewId="0">
      <selection activeCell="K24" sqref="K24"/>
    </sheetView>
  </sheetViews>
  <sheetFormatPr baseColWidth="10" defaultRowHeight="16" x14ac:dyDescent="0.2"/>
  <sheetData>
    <row r="1" spans="1:16" x14ac:dyDescent="0.2">
      <c r="A1" t="s">
        <v>0</v>
      </c>
      <c r="B1" t="s">
        <v>15</v>
      </c>
      <c r="C1" t="s">
        <v>1</v>
      </c>
      <c r="D1">
        <v>300003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4637</v>
      </c>
      <c r="C4">
        <v>64744.77</v>
      </c>
      <c r="D4">
        <v>4637</v>
      </c>
      <c r="E4">
        <v>63230.81</v>
      </c>
      <c r="F4">
        <v>4637</v>
      </c>
      <c r="G4">
        <v>66759.48</v>
      </c>
      <c r="H4">
        <v>4776</v>
      </c>
      <c r="I4">
        <v>91973.85</v>
      </c>
      <c r="J4">
        <v>4779</v>
      </c>
      <c r="K4">
        <v>107615.37</v>
      </c>
      <c r="L4">
        <v>4779</v>
      </c>
      <c r="M4">
        <v>92394.29</v>
      </c>
      <c r="O4">
        <f>AVERAGE(C4,E4,G4)</f>
        <v>64911.686666666668</v>
      </c>
      <c r="P4">
        <f>AVERAGE(I4,K4,M4)</f>
        <v>97327.83666666667</v>
      </c>
    </row>
    <row r="5" spans="1:16" x14ac:dyDescent="0.2">
      <c r="A5">
        <v>200</v>
      </c>
      <c r="B5">
        <v>2336</v>
      </c>
      <c r="C5">
        <v>67521.25</v>
      </c>
      <c r="D5">
        <v>2336</v>
      </c>
      <c r="E5">
        <v>68346.33</v>
      </c>
      <c r="F5">
        <v>2336</v>
      </c>
      <c r="G5">
        <v>71146.69</v>
      </c>
      <c r="H5">
        <v>2390</v>
      </c>
      <c r="I5">
        <v>43861.16</v>
      </c>
      <c r="J5">
        <v>2372</v>
      </c>
      <c r="K5">
        <v>44278.33</v>
      </c>
      <c r="L5">
        <v>2377</v>
      </c>
      <c r="M5">
        <v>42590.92</v>
      </c>
      <c r="O5">
        <f t="shared" ref="O5:O17" si="0">AVERAGE(C5,E5,G5)</f>
        <v>69004.756666666668</v>
      </c>
      <c r="P5">
        <f t="shared" ref="P5:P17" si="1">AVERAGE(I5,K5,M5)</f>
        <v>43576.803333333337</v>
      </c>
    </row>
    <row r="6" spans="1:16" x14ac:dyDescent="0.2">
      <c r="A6">
        <v>400</v>
      </c>
      <c r="B6">
        <v>1185</v>
      </c>
      <c r="C6">
        <v>62669.41</v>
      </c>
      <c r="D6">
        <v>1185</v>
      </c>
      <c r="E6">
        <v>59295.72</v>
      </c>
      <c r="F6">
        <v>1185</v>
      </c>
      <c r="G6">
        <v>64140.97</v>
      </c>
      <c r="H6">
        <v>1164</v>
      </c>
      <c r="I6">
        <v>38425.78</v>
      </c>
      <c r="J6">
        <v>1154</v>
      </c>
      <c r="K6">
        <v>37913.879999999997</v>
      </c>
      <c r="L6">
        <v>1154</v>
      </c>
      <c r="M6">
        <v>36918.480000000003</v>
      </c>
      <c r="O6">
        <f t="shared" si="0"/>
        <v>62035.366666666669</v>
      </c>
      <c r="P6">
        <f t="shared" si="1"/>
        <v>37752.71333333334</v>
      </c>
    </row>
    <row r="7" spans="1:16" x14ac:dyDescent="0.2">
      <c r="A7">
        <v>600</v>
      </c>
      <c r="B7">
        <v>791</v>
      </c>
      <c r="C7">
        <v>62379.97</v>
      </c>
      <c r="D7">
        <v>791</v>
      </c>
      <c r="E7">
        <v>61193.02</v>
      </c>
      <c r="F7">
        <v>791</v>
      </c>
      <c r="G7">
        <v>61380.02</v>
      </c>
      <c r="H7">
        <v>826</v>
      </c>
      <c r="I7">
        <v>41017.980000000003</v>
      </c>
      <c r="J7">
        <v>816</v>
      </c>
      <c r="K7">
        <v>37785.129999999997</v>
      </c>
      <c r="L7">
        <v>835</v>
      </c>
      <c r="M7">
        <v>38006</v>
      </c>
      <c r="O7">
        <f t="shared" si="0"/>
        <v>61651.003333333327</v>
      </c>
      <c r="P7">
        <f t="shared" si="1"/>
        <v>38936.370000000003</v>
      </c>
    </row>
    <row r="8" spans="1:16" x14ac:dyDescent="0.2">
      <c r="A8">
        <v>800</v>
      </c>
      <c r="B8">
        <v>587</v>
      </c>
      <c r="C8">
        <v>61988.2</v>
      </c>
      <c r="D8">
        <v>587</v>
      </c>
      <c r="E8">
        <v>56480.3</v>
      </c>
      <c r="F8">
        <v>587</v>
      </c>
      <c r="G8">
        <v>57946.73</v>
      </c>
      <c r="H8">
        <v>620</v>
      </c>
      <c r="I8">
        <v>43453.440000000002</v>
      </c>
      <c r="J8">
        <v>622</v>
      </c>
      <c r="K8">
        <v>42323.66</v>
      </c>
      <c r="L8">
        <v>624</v>
      </c>
      <c r="M8">
        <v>42269.46</v>
      </c>
      <c r="O8">
        <f t="shared" si="0"/>
        <v>58805.076666666668</v>
      </c>
      <c r="P8">
        <f t="shared" si="1"/>
        <v>42682.186666666668</v>
      </c>
    </row>
    <row r="9" spans="1:16" x14ac:dyDescent="0.2">
      <c r="A9">
        <v>1000</v>
      </c>
      <c r="B9">
        <v>442</v>
      </c>
      <c r="C9">
        <v>64277.89</v>
      </c>
      <c r="D9">
        <v>442</v>
      </c>
      <c r="E9">
        <v>76129.149999999994</v>
      </c>
      <c r="F9">
        <v>442</v>
      </c>
      <c r="G9">
        <v>98743.22</v>
      </c>
      <c r="H9">
        <v>455</v>
      </c>
      <c r="I9">
        <v>80168.12</v>
      </c>
      <c r="J9">
        <v>463</v>
      </c>
      <c r="K9">
        <v>53092.52</v>
      </c>
      <c r="L9">
        <v>463</v>
      </c>
      <c r="M9">
        <v>65151.18</v>
      </c>
      <c r="O9">
        <f t="shared" si="0"/>
        <v>79716.753333333327</v>
      </c>
      <c r="P9">
        <f t="shared" si="1"/>
        <v>66137.273333333331</v>
      </c>
    </row>
    <row r="10" spans="1:16" x14ac:dyDescent="0.2">
      <c r="A10">
        <v>1200</v>
      </c>
      <c r="B10">
        <v>394</v>
      </c>
      <c r="C10">
        <v>57603.69</v>
      </c>
      <c r="D10">
        <v>394</v>
      </c>
      <c r="E10">
        <v>62438.26</v>
      </c>
      <c r="F10">
        <v>394</v>
      </c>
      <c r="G10">
        <v>56475.94</v>
      </c>
      <c r="H10">
        <v>412</v>
      </c>
      <c r="I10">
        <v>48939.360000000001</v>
      </c>
      <c r="J10">
        <v>412</v>
      </c>
      <c r="K10">
        <v>48434.55</v>
      </c>
      <c r="L10">
        <v>412</v>
      </c>
      <c r="M10">
        <v>47581.56</v>
      </c>
      <c r="O10">
        <f t="shared" si="0"/>
        <v>58839.296666666669</v>
      </c>
      <c r="P10">
        <f t="shared" si="1"/>
        <v>48318.49</v>
      </c>
    </row>
    <row r="11" spans="1:16" x14ac:dyDescent="0.2">
      <c r="A11">
        <v>1600</v>
      </c>
      <c r="B11">
        <v>291</v>
      </c>
      <c r="C11">
        <v>56771</v>
      </c>
      <c r="D11">
        <v>291</v>
      </c>
      <c r="E11">
        <v>56220.17</v>
      </c>
      <c r="F11">
        <v>291</v>
      </c>
      <c r="G11">
        <v>54380.27</v>
      </c>
      <c r="H11">
        <v>306</v>
      </c>
      <c r="I11">
        <v>50192.5</v>
      </c>
      <c r="J11">
        <v>310</v>
      </c>
      <c r="K11">
        <v>46895.73</v>
      </c>
      <c r="L11">
        <v>306</v>
      </c>
      <c r="M11">
        <v>47596.51</v>
      </c>
      <c r="O11">
        <f t="shared" si="0"/>
        <v>55790.48</v>
      </c>
      <c r="P11">
        <f t="shared" si="1"/>
        <v>48228.246666666673</v>
      </c>
    </row>
    <row r="12" spans="1:16" x14ac:dyDescent="0.2">
      <c r="A12">
        <v>2000</v>
      </c>
      <c r="B12">
        <v>229</v>
      </c>
      <c r="C12">
        <v>64857.31</v>
      </c>
      <c r="D12">
        <v>229</v>
      </c>
      <c r="E12">
        <v>62770.48</v>
      </c>
      <c r="F12">
        <v>229</v>
      </c>
      <c r="G12">
        <v>56124.3</v>
      </c>
      <c r="H12">
        <v>236</v>
      </c>
      <c r="I12">
        <v>59248.42</v>
      </c>
      <c r="J12">
        <v>235</v>
      </c>
      <c r="K12">
        <v>57258.28</v>
      </c>
      <c r="L12">
        <v>234</v>
      </c>
      <c r="M12">
        <v>64005.83</v>
      </c>
      <c r="O12">
        <f t="shared" si="0"/>
        <v>61250.696666666678</v>
      </c>
      <c r="P12">
        <f t="shared" si="1"/>
        <v>60170.843333333331</v>
      </c>
    </row>
    <row r="13" spans="1:16" x14ac:dyDescent="0.2">
      <c r="A13">
        <v>4000</v>
      </c>
      <c r="B13">
        <v>119</v>
      </c>
      <c r="C13">
        <v>51222.06</v>
      </c>
      <c r="D13">
        <v>119</v>
      </c>
      <c r="E13">
        <v>48876.01</v>
      </c>
      <c r="F13">
        <v>119</v>
      </c>
      <c r="G13">
        <v>50616.05</v>
      </c>
      <c r="H13">
        <v>118</v>
      </c>
      <c r="I13">
        <v>60915.69</v>
      </c>
      <c r="J13">
        <v>117</v>
      </c>
      <c r="K13">
        <v>67079.16</v>
      </c>
      <c r="L13">
        <v>117</v>
      </c>
      <c r="M13">
        <v>61132.98</v>
      </c>
      <c r="O13">
        <f t="shared" si="0"/>
        <v>50238.04</v>
      </c>
      <c r="P13">
        <f t="shared" si="1"/>
        <v>63042.610000000008</v>
      </c>
    </row>
    <row r="14" spans="1:16" x14ac:dyDescent="0.2">
      <c r="A14">
        <v>10000</v>
      </c>
      <c r="B14">
        <v>42</v>
      </c>
      <c r="C14">
        <v>42805.15</v>
      </c>
      <c r="D14">
        <v>42</v>
      </c>
      <c r="E14">
        <v>41101.11</v>
      </c>
      <c r="F14">
        <v>42</v>
      </c>
      <c r="G14">
        <v>46596.23</v>
      </c>
      <c r="H14">
        <v>42</v>
      </c>
      <c r="I14">
        <v>76669.78</v>
      </c>
      <c r="J14">
        <v>42</v>
      </c>
      <c r="K14">
        <v>71986.350000000006</v>
      </c>
      <c r="L14">
        <v>42</v>
      </c>
      <c r="M14">
        <v>71062.460000000006</v>
      </c>
      <c r="O14">
        <f t="shared" si="0"/>
        <v>43500.830000000009</v>
      </c>
      <c r="P14">
        <f t="shared" si="1"/>
        <v>73239.530000000013</v>
      </c>
    </row>
    <row r="15" spans="1:16" x14ac:dyDescent="0.2">
      <c r="A15">
        <v>20000</v>
      </c>
      <c r="B15">
        <v>22</v>
      </c>
      <c r="C15">
        <v>37086.089999999997</v>
      </c>
      <c r="D15">
        <v>22</v>
      </c>
      <c r="E15">
        <v>39419.33</v>
      </c>
      <c r="F15">
        <v>22</v>
      </c>
      <c r="G15">
        <v>35570.83</v>
      </c>
      <c r="H15">
        <v>22</v>
      </c>
      <c r="I15">
        <v>57565.01</v>
      </c>
      <c r="J15">
        <v>22</v>
      </c>
      <c r="K15">
        <v>59312.77</v>
      </c>
      <c r="L15">
        <v>22</v>
      </c>
      <c r="M15">
        <v>63242.19</v>
      </c>
      <c r="O15">
        <f t="shared" si="0"/>
        <v>37358.75</v>
      </c>
      <c r="P15">
        <f t="shared" si="1"/>
        <v>60039.99</v>
      </c>
    </row>
    <row r="16" spans="1:16" x14ac:dyDescent="0.2">
      <c r="A16">
        <v>40000</v>
      </c>
      <c r="B16">
        <v>12</v>
      </c>
      <c r="C16">
        <v>40226.32</v>
      </c>
      <c r="D16">
        <v>12</v>
      </c>
      <c r="E16">
        <v>30192.68</v>
      </c>
      <c r="F16">
        <v>12</v>
      </c>
      <c r="G16">
        <v>31870.560000000001</v>
      </c>
      <c r="H16">
        <v>12</v>
      </c>
      <c r="I16">
        <v>57881.51</v>
      </c>
      <c r="J16">
        <v>12</v>
      </c>
      <c r="K16">
        <v>56706.19</v>
      </c>
      <c r="L16">
        <v>12</v>
      </c>
      <c r="M16">
        <v>69249.41</v>
      </c>
      <c r="O16">
        <f t="shared" si="0"/>
        <v>34096.519999999997</v>
      </c>
      <c r="P16">
        <f t="shared" si="1"/>
        <v>61279.036666666674</v>
      </c>
    </row>
    <row r="17" spans="1:16" x14ac:dyDescent="0.2">
      <c r="A17">
        <v>100000</v>
      </c>
      <c r="B17">
        <v>5</v>
      </c>
      <c r="C17">
        <v>22341.43</v>
      </c>
      <c r="D17">
        <v>5</v>
      </c>
      <c r="E17">
        <v>21276.03</v>
      </c>
      <c r="F17">
        <v>5</v>
      </c>
      <c r="G17">
        <v>20830.46</v>
      </c>
      <c r="H17">
        <v>5</v>
      </c>
      <c r="I17">
        <v>48013.07</v>
      </c>
      <c r="J17">
        <v>5</v>
      </c>
      <c r="K17">
        <v>45701.47</v>
      </c>
      <c r="L17">
        <v>5</v>
      </c>
      <c r="M17">
        <v>54011.16</v>
      </c>
      <c r="O17">
        <f t="shared" si="0"/>
        <v>21482.639999999999</v>
      </c>
      <c r="P17">
        <f t="shared" si="1"/>
        <v>49241.9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36"/>
  <sheetViews>
    <sheetView tabSelected="1" topLeftCell="H23" workbookViewId="0">
      <selection activeCell="Q20" sqref="Q20"/>
    </sheetView>
  </sheetViews>
  <sheetFormatPr baseColWidth="10" defaultRowHeight="16" x14ac:dyDescent="0.2"/>
  <cols>
    <col min="1" max="1" width="8.5" customWidth="1"/>
    <col min="2" max="2" width="7.6640625" bestFit="1" customWidth="1"/>
    <col min="3" max="3" width="13" bestFit="1" customWidth="1"/>
    <col min="4" max="4" width="9.6640625" bestFit="1" customWidth="1"/>
    <col min="5" max="5" width="11.5" bestFit="1" customWidth="1"/>
    <col min="6" max="6" width="17.5" bestFit="1" customWidth="1"/>
    <col min="7" max="7" width="14.83203125" bestFit="1" customWidth="1"/>
    <col min="8" max="8" width="11.83203125" bestFit="1" customWidth="1"/>
    <col min="9" max="9" width="12.832031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9" x14ac:dyDescent="0.2">
      <c r="B1" t="s">
        <v>17</v>
      </c>
    </row>
    <row r="2" spans="1:9" x14ac:dyDescent="0.2">
      <c r="A2" t="s">
        <v>8</v>
      </c>
      <c r="B2" t="s">
        <v>16</v>
      </c>
      <c r="C2" t="s">
        <v>24</v>
      </c>
      <c r="D2" t="s">
        <v>23</v>
      </c>
      <c r="E2" t="s">
        <v>22</v>
      </c>
      <c r="F2" t="s">
        <v>21</v>
      </c>
      <c r="G2" t="s">
        <v>20</v>
      </c>
      <c r="H2" t="s">
        <v>19</v>
      </c>
      <c r="I2" t="s">
        <v>18</v>
      </c>
    </row>
    <row r="3" spans="1:9" x14ac:dyDescent="0.2">
      <c r="B3">
        <v>100</v>
      </c>
      <c r="C3" s="1">
        <f>grids!O4</f>
        <v>213981.13333333333</v>
      </c>
      <c r="D3" s="1">
        <f>random!O4</f>
        <v>133725</v>
      </c>
      <c r="E3">
        <f>sphere_c!O4</f>
        <v>216344.72333333336</v>
      </c>
      <c r="F3">
        <f>sphere_t!O4</f>
        <v>78638.990000000005</v>
      </c>
      <c r="G3">
        <f>cylinder_r!O4</f>
        <v>76969.33666666667</v>
      </c>
      <c r="H3">
        <f>cylinder_s!O4</f>
        <v>72387.92</v>
      </c>
      <c r="I3">
        <f>cylinder_a!O4</f>
        <v>64911.686666666668</v>
      </c>
    </row>
    <row r="4" spans="1:9" x14ac:dyDescent="0.2">
      <c r="B4">
        <v>200</v>
      </c>
      <c r="C4" s="1">
        <f>grids!O5</f>
        <v>158498.74000000002</v>
      </c>
      <c r="D4" s="1">
        <f>random!O5</f>
        <v>118790.85666666667</v>
      </c>
      <c r="E4">
        <f>sphere_c!O5</f>
        <v>222358.66333333333</v>
      </c>
      <c r="F4">
        <f>sphere_t!O5</f>
        <v>75621.143333333326</v>
      </c>
      <c r="G4">
        <f>cylinder_r!O5</f>
        <v>62737.123333333329</v>
      </c>
      <c r="H4">
        <f>cylinder_s!O5</f>
        <v>66408.320000000007</v>
      </c>
      <c r="I4">
        <f>cylinder_a!O5</f>
        <v>69004.756666666668</v>
      </c>
    </row>
    <row r="5" spans="1:9" x14ac:dyDescent="0.2">
      <c r="B5">
        <v>400</v>
      </c>
      <c r="C5" s="1">
        <f>grids!O6</f>
        <v>172068.05000000002</v>
      </c>
      <c r="D5" s="1">
        <f>random!O6</f>
        <v>123322.34000000001</v>
      </c>
      <c r="E5">
        <f>sphere_c!O6</f>
        <v>220435.99333333332</v>
      </c>
      <c r="F5">
        <f>sphere_t!O6</f>
        <v>72465.533333333326</v>
      </c>
      <c r="G5">
        <f>cylinder_r!O6</f>
        <v>61924.353333333333</v>
      </c>
      <c r="H5">
        <f>cylinder_s!O6</f>
        <v>69748.706666666665</v>
      </c>
      <c r="I5">
        <f>cylinder_a!O6</f>
        <v>62035.366666666669</v>
      </c>
    </row>
    <row r="6" spans="1:9" x14ac:dyDescent="0.2">
      <c r="B6">
        <v>600</v>
      </c>
      <c r="C6" s="1">
        <f>grids!O7</f>
        <v>200822.68333333335</v>
      </c>
      <c r="D6" s="1">
        <f>random!O7</f>
        <v>135878.48000000001</v>
      </c>
      <c r="E6">
        <f>sphere_c!O7</f>
        <v>244993.03333333333</v>
      </c>
      <c r="F6">
        <f>sphere_t!O7</f>
        <v>72079.563333333324</v>
      </c>
      <c r="G6">
        <f>cylinder_r!O7</f>
        <v>62651.16</v>
      </c>
      <c r="H6">
        <f>cylinder_s!O7</f>
        <v>66388.403333333335</v>
      </c>
      <c r="I6">
        <f>cylinder_a!O7</f>
        <v>61651.003333333327</v>
      </c>
    </row>
    <row r="7" spans="1:9" x14ac:dyDescent="0.2">
      <c r="B7">
        <v>800</v>
      </c>
      <c r="C7" s="1">
        <f>grids!O8</f>
        <v>211467.86333333337</v>
      </c>
      <c r="D7" s="1">
        <f>random!O8</f>
        <v>118448.06</v>
      </c>
      <c r="E7">
        <f>sphere_c!O8</f>
        <v>215456.87</v>
      </c>
      <c r="F7">
        <f>sphere_t!O8</f>
        <v>70464.740000000005</v>
      </c>
      <c r="G7">
        <f>cylinder_r!O8</f>
        <v>59206.186666666668</v>
      </c>
      <c r="H7">
        <f>cylinder_s!O8</f>
        <v>60921.969999999994</v>
      </c>
      <c r="I7">
        <f>cylinder_a!O8</f>
        <v>58805.076666666668</v>
      </c>
    </row>
    <row r="8" spans="1:9" x14ac:dyDescent="0.2">
      <c r="B8">
        <v>1000</v>
      </c>
      <c r="C8" s="1">
        <f>grids!O9</f>
        <v>155705.23000000001</v>
      </c>
      <c r="D8" s="1">
        <f>random!O9</f>
        <v>116685.47333333334</v>
      </c>
      <c r="E8">
        <f>sphere_c!O9</f>
        <v>216504.32333333333</v>
      </c>
      <c r="F8">
        <f>sphere_t!O9</f>
        <v>69814.89</v>
      </c>
      <c r="G8">
        <f>cylinder_r!O9</f>
        <v>61056.51</v>
      </c>
      <c r="H8">
        <f>cylinder_s!O9</f>
        <v>58923.796666666669</v>
      </c>
      <c r="I8">
        <f>cylinder_a!O9</f>
        <v>79716.753333333327</v>
      </c>
    </row>
    <row r="9" spans="1:9" x14ac:dyDescent="0.2">
      <c r="B9">
        <v>1200</v>
      </c>
      <c r="C9" s="1">
        <f>grids!O10</f>
        <v>149133.75</v>
      </c>
      <c r="D9" s="1">
        <f>random!O10</f>
        <v>112631.42</v>
      </c>
      <c r="E9">
        <f>sphere_c!O10</f>
        <v>225988.66</v>
      </c>
      <c r="F9">
        <f>sphere_t!O10</f>
        <v>66397.023333333331</v>
      </c>
      <c r="G9">
        <f>cylinder_r!O10</f>
        <v>59725.743333333339</v>
      </c>
      <c r="H9">
        <f>cylinder_s!O10</f>
        <v>59219.323333333334</v>
      </c>
      <c r="I9">
        <f>cylinder_a!O10</f>
        <v>58839.296666666669</v>
      </c>
    </row>
    <row r="10" spans="1:9" x14ac:dyDescent="0.2">
      <c r="B10">
        <v>1600</v>
      </c>
      <c r="C10" s="1">
        <f>grids!O11</f>
        <v>150319.89666666667</v>
      </c>
      <c r="D10" s="1">
        <f>random!O11</f>
        <v>116864.30333333333</v>
      </c>
      <c r="E10">
        <f>sphere_c!O11</f>
        <v>173949.95333333334</v>
      </c>
      <c r="F10">
        <f>sphere_t!O11</f>
        <v>68313.66</v>
      </c>
      <c r="G10">
        <f>cylinder_r!O11</f>
        <v>62145.763333333336</v>
      </c>
      <c r="H10">
        <f>cylinder_s!O11</f>
        <v>55043.31</v>
      </c>
      <c r="I10">
        <f>cylinder_a!O11</f>
        <v>55790.48</v>
      </c>
    </row>
    <row r="11" spans="1:9" x14ac:dyDescent="0.2">
      <c r="B11">
        <v>2000</v>
      </c>
      <c r="C11" s="1">
        <f>grids!O12</f>
        <v>141362.51999999999</v>
      </c>
      <c r="D11" s="1">
        <f>random!O12</f>
        <v>108354.24333333333</v>
      </c>
      <c r="E11">
        <f>sphere_c!O12</f>
        <v>165685.14666666667</v>
      </c>
      <c r="F11">
        <f>sphere_t!O12</f>
        <v>69431.883333333346</v>
      </c>
      <c r="G11">
        <f>cylinder_r!O12</f>
        <v>56374.633333333331</v>
      </c>
      <c r="H11">
        <f>cylinder_s!O12</f>
        <v>90627.23</v>
      </c>
      <c r="I11">
        <f>cylinder_a!O12</f>
        <v>61250.696666666678</v>
      </c>
    </row>
    <row r="12" spans="1:9" x14ac:dyDescent="0.2">
      <c r="B12">
        <v>4000</v>
      </c>
      <c r="C12" s="1">
        <f>grids!O13</f>
        <v>137904.97999999998</v>
      </c>
      <c r="D12" s="1">
        <f>random!O13</f>
        <v>111954.77333333333</v>
      </c>
      <c r="E12">
        <f>sphere_c!O13</f>
        <v>144594.87666666668</v>
      </c>
      <c r="F12">
        <f>sphere_t!O13</f>
        <v>58018.380000000005</v>
      </c>
      <c r="G12">
        <f>cylinder_r!O13</f>
        <v>51672.326666666668</v>
      </c>
      <c r="H12">
        <f>cylinder_s!O13</f>
        <v>92265.313333333339</v>
      </c>
      <c r="I12">
        <f>cylinder_a!O13</f>
        <v>50238.04</v>
      </c>
    </row>
    <row r="13" spans="1:9" x14ac:dyDescent="0.2">
      <c r="B13">
        <v>10000</v>
      </c>
      <c r="C13" s="1">
        <f>grids!O14</f>
        <v>131665.16333333333</v>
      </c>
      <c r="D13" s="1">
        <f>random!O14</f>
        <v>109113.10333333333</v>
      </c>
      <c r="E13">
        <f>sphere_c!O14</f>
        <v>129264.47000000002</v>
      </c>
      <c r="F13">
        <f>sphere_t!O14</f>
        <v>49692.353333333333</v>
      </c>
      <c r="G13">
        <f>cylinder_r!O14</f>
        <v>42725.583333333336</v>
      </c>
      <c r="H13">
        <f>cylinder_s!O14</f>
        <v>43305.076666666668</v>
      </c>
      <c r="I13">
        <f>cylinder_a!O14</f>
        <v>43500.830000000009</v>
      </c>
    </row>
    <row r="14" spans="1:9" x14ac:dyDescent="0.2">
      <c r="B14">
        <v>20000</v>
      </c>
      <c r="C14" s="1">
        <f>grids!O15</f>
        <v>115441.26000000001</v>
      </c>
      <c r="D14" s="1">
        <f>random!O15</f>
        <v>91942.73</v>
      </c>
      <c r="E14">
        <f>sphere_c!O15</f>
        <v>117060.27333333333</v>
      </c>
      <c r="F14">
        <f>sphere_t!O15</f>
        <v>42091.92</v>
      </c>
      <c r="G14">
        <f>cylinder_r!O15</f>
        <v>36277.640000000007</v>
      </c>
      <c r="H14">
        <f>cylinder_s!O15</f>
        <v>35126.959999999999</v>
      </c>
      <c r="I14">
        <f>cylinder_a!O15</f>
        <v>37358.75</v>
      </c>
    </row>
    <row r="15" spans="1:9" x14ac:dyDescent="0.2">
      <c r="B15">
        <v>40000</v>
      </c>
      <c r="C15" s="1">
        <f>grids!O16</f>
        <v>101016.18666666666</v>
      </c>
      <c r="D15" s="1">
        <f>random!O16</f>
        <v>68898.303333333344</v>
      </c>
      <c r="E15">
        <f>sphere_c!O16</f>
        <v>103690.98333333334</v>
      </c>
      <c r="F15">
        <f>sphere_t!O16</f>
        <v>35843.079999999994</v>
      </c>
      <c r="G15">
        <f>cylinder_r!O16</f>
        <v>32286.55</v>
      </c>
      <c r="H15">
        <f>cylinder_s!O16</f>
        <v>31269.063333333335</v>
      </c>
      <c r="I15">
        <f>cylinder_a!O16</f>
        <v>34096.519999999997</v>
      </c>
    </row>
    <row r="16" spans="1:9" x14ac:dyDescent="0.2">
      <c r="B16">
        <v>100000</v>
      </c>
      <c r="C16" s="1">
        <f>grids!O17</f>
        <v>77358.94666666667</v>
      </c>
      <c r="D16" s="1">
        <f>random!O17</f>
        <v>55518.66</v>
      </c>
      <c r="E16">
        <f>sphere_c!O17</f>
        <v>74072.779999999984</v>
      </c>
      <c r="F16">
        <f>sphere_t!O17</f>
        <v>19584.330000000002</v>
      </c>
      <c r="G16">
        <f>cylinder_r!O17</f>
        <v>22826.136666666669</v>
      </c>
      <c r="H16">
        <f>cylinder_s!O17</f>
        <v>20080.063333333335</v>
      </c>
      <c r="I16">
        <f>cylinder_a!O17</f>
        <v>21482.639999999999</v>
      </c>
    </row>
    <row r="17" spans="1:32" x14ac:dyDescent="0.2">
      <c r="C17" s="1"/>
      <c r="D17" s="1"/>
      <c r="E17" s="1"/>
      <c r="F17" s="1"/>
      <c r="G17" s="1"/>
      <c r="H17" s="1"/>
    </row>
    <row r="21" spans="1:32" x14ac:dyDescent="0.2">
      <c r="B21" t="s">
        <v>17</v>
      </c>
    </row>
    <row r="22" spans="1:32" x14ac:dyDescent="0.2">
      <c r="B22" t="s">
        <v>16</v>
      </c>
      <c r="C22" t="s">
        <v>24</v>
      </c>
      <c r="D22" t="s">
        <v>23</v>
      </c>
      <c r="E22" t="s">
        <v>22</v>
      </c>
      <c r="F22" t="s">
        <v>21</v>
      </c>
      <c r="G22" t="s">
        <v>20</v>
      </c>
      <c r="H22" t="s">
        <v>19</v>
      </c>
      <c r="I22" t="s">
        <v>18</v>
      </c>
    </row>
    <row r="23" spans="1:32" x14ac:dyDescent="0.2">
      <c r="B23">
        <v>100</v>
      </c>
      <c r="C23">
        <f>grids!P4</f>
        <v>1148098.0966666664</v>
      </c>
      <c r="D23">
        <f>random!P4</f>
        <v>204679.4</v>
      </c>
      <c r="E23">
        <f>sphere_c!P4</f>
        <v>301364.11</v>
      </c>
      <c r="F23">
        <f>sphere_t!P4</f>
        <v>72030.396666666667</v>
      </c>
      <c r="G23">
        <f>cylinder_r!P4</f>
        <v>116286.07666666666</v>
      </c>
      <c r="H23">
        <f>cylinder_s!P4</f>
        <v>101750.02999999998</v>
      </c>
      <c r="I23">
        <f>cylinder_a!P4</f>
        <v>97327.83666666667</v>
      </c>
    </row>
    <row r="24" spans="1:32" x14ac:dyDescent="0.2">
      <c r="B24">
        <v>200</v>
      </c>
      <c r="C24">
        <f>grids!P5</f>
        <v>336198.5633333333</v>
      </c>
      <c r="D24">
        <f>random!P5</f>
        <v>93047.450000000012</v>
      </c>
      <c r="E24">
        <f>sphere_c!P5</f>
        <v>164108.57666666666</v>
      </c>
      <c r="F24">
        <f>sphere_t!P5</f>
        <v>47938.23333333333</v>
      </c>
      <c r="G24">
        <f>cylinder_r!P5</f>
        <v>66466.253333333341</v>
      </c>
      <c r="H24">
        <f>cylinder_s!P5</f>
        <v>50377.359999999993</v>
      </c>
      <c r="I24">
        <f>cylinder_a!P5</f>
        <v>43576.803333333337</v>
      </c>
    </row>
    <row r="25" spans="1:32" x14ac:dyDescent="0.2">
      <c r="B25">
        <v>400</v>
      </c>
      <c r="C25">
        <f>grids!P6</f>
        <v>146713.75</v>
      </c>
      <c r="D25">
        <f>random!P6</f>
        <v>88895.760000000009</v>
      </c>
      <c r="E25">
        <f>sphere_c!P6</f>
        <v>118662.07666666666</v>
      </c>
      <c r="F25">
        <f>sphere_t!P6</f>
        <v>44906.25</v>
      </c>
      <c r="G25">
        <f>cylinder_r!P6</f>
        <v>48347.639999999992</v>
      </c>
      <c r="H25">
        <f>cylinder_s!P6</f>
        <v>46571.5</v>
      </c>
      <c r="I25">
        <f>cylinder_a!P6</f>
        <v>37752.71333333334</v>
      </c>
    </row>
    <row r="26" spans="1:32" x14ac:dyDescent="0.2">
      <c r="B26">
        <v>600</v>
      </c>
      <c r="C26">
        <f>grids!P7</f>
        <v>157413.52333333332</v>
      </c>
      <c r="D26">
        <f>random!P7</f>
        <v>77479.373333333337</v>
      </c>
      <c r="E26">
        <f>sphere_c!P7</f>
        <v>156595.75</v>
      </c>
      <c r="F26">
        <f>sphere_t!P7</f>
        <v>47344.200000000004</v>
      </c>
      <c r="G26">
        <f>cylinder_r!P7</f>
        <v>48174.043333333335</v>
      </c>
      <c r="H26">
        <f>cylinder_s!P7</f>
        <v>45275.68</v>
      </c>
      <c r="I26">
        <f>cylinder_a!P7</f>
        <v>38936.370000000003</v>
      </c>
    </row>
    <row r="27" spans="1:32" x14ac:dyDescent="0.2">
      <c r="B27">
        <v>800</v>
      </c>
      <c r="C27">
        <f>grids!P8</f>
        <v>104512.34999999999</v>
      </c>
      <c r="D27">
        <f>random!P8</f>
        <v>80713.53333333334</v>
      </c>
      <c r="E27">
        <f>sphere_c!P8</f>
        <v>157591.28666666665</v>
      </c>
      <c r="F27">
        <f>sphere_t!P8</f>
        <v>50080.893333333333</v>
      </c>
      <c r="G27">
        <f>cylinder_r!P8</f>
        <v>55346.286666666674</v>
      </c>
      <c r="H27">
        <f>cylinder_s!P8</f>
        <v>44661.626666666671</v>
      </c>
      <c r="I27">
        <f>cylinder_a!P8</f>
        <v>42682.186666666668</v>
      </c>
    </row>
    <row r="28" spans="1:32" x14ac:dyDescent="0.2">
      <c r="B28">
        <v>1000</v>
      </c>
      <c r="C28">
        <f>grids!P9</f>
        <v>101125.09333333334</v>
      </c>
      <c r="D28">
        <f>random!P9</f>
        <v>84734.596666666679</v>
      </c>
      <c r="E28">
        <f>sphere_c!P9</f>
        <v>150216.4</v>
      </c>
      <c r="F28">
        <f>sphere_t!P9</f>
        <v>53216.899999999994</v>
      </c>
      <c r="G28">
        <f>cylinder_r!P9</f>
        <v>52023.32</v>
      </c>
      <c r="H28">
        <f>cylinder_s!P9</f>
        <v>41928.03666666666</v>
      </c>
      <c r="I28">
        <f>cylinder_a!P9</f>
        <v>66137.273333333331</v>
      </c>
    </row>
    <row r="29" spans="1:32" x14ac:dyDescent="0.2">
      <c r="B29">
        <v>1200</v>
      </c>
      <c r="C29">
        <f>grids!P10</f>
        <v>99117.07</v>
      </c>
      <c r="D29">
        <f>random!P10</f>
        <v>104141.56</v>
      </c>
      <c r="E29">
        <f>sphere_c!P10</f>
        <v>123784.74666666666</v>
      </c>
      <c r="F29">
        <f>sphere_t!P10</f>
        <v>50929.473333333328</v>
      </c>
      <c r="G29">
        <f>cylinder_r!P10</f>
        <v>53271.013333333336</v>
      </c>
      <c r="H29">
        <f>cylinder_s!P10</f>
        <v>49067.860000000008</v>
      </c>
      <c r="I29">
        <f>cylinder_a!P10</f>
        <v>48318.49</v>
      </c>
    </row>
    <row r="30" spans="1:32" x14ac:dyDescent="0.2">
      <c r="B30">
        <v>1600</v>
      </c>
      <c r="C30">
        <f>grids!P11</f>
        <v>110111.14666666667</v>
      </c>
      <c r="D30">
        <f>random!P11</f>
        <v>98707.26</v>
      </c>
      <c r="E30">
        <f>sphere_c!P11</f>
        <v>119341.61333333334</v>
      </c>
      <c r="F30">
        <f>sphere_t!P11</f>
        <v>54530.963333333326</v>
      </c>
      <c r="G30">
        <f>cylinder_r!P11</f>
        <v>60860.65</v>
      </c>
      <c r="H30">
        <f>cylinder_s!P11</f>
        <v>53433.146666666667</v>
      </c>
      <c r="I30">
        <f>cylinder_a!P11</f>
        <v>48228.246666666673</v>
      </c>
    </row>
    <row r="31" spans="1:32" x14ac:dyDescent="0.2">
      <c r="B31">
        <v>2000</v>
      </c>
      <c r="C31">
        <f>grids!P12</f>
        <v>106655.93000000001</v>
      </c>
      <c r="D31">
        <f>random!P12</f>
        <v>116502.68666666666</v>
      </c>
      <c r="E31">
        <f>sphere_c!P12</f>
        <v>160543.84666666668</v>
      </c>
      <c r="F31">
        <f>sphere_t!P12</f>
        <v>73820.543333333335</v>
      </c>
      <c r="G31">
        <f>cylinder_r!P12</f>
        <v>55044.950000000004</v>
      </c>
      <c r="H31">
        <f>cylinder_s!P12</f>
        <v>86850.956666666665</v>
      </c>
      <c r="I31">
        <f>cylinder_a!P12</f>
        <v>60170.843333333331</v>
      </c>
    </row>
    <row r="32" spans="1:32" x14ac:dyDescent="0.2">
      <c r="A32" s="2"/>
      <c r="B32">
        <v>4000</v>
      </c>
      <c r="C32">
        <f>grids!P13</f>
        <v>152960.99666666667</v>
      </c>
      <c r="D32">
        <f>random!P13</f>
        <v>129662.97333333334</v>
      </c>
      <c r="E32">
        <f>sphere_c!P13</f>
        <v>180877.13666666663</v>
      </c>
      <c r="F32">
        <f>sphere_t!P13</f>
        <v>88999.69666666667</v>
      </c>
      <c r="G32">
        <f>cylinder_r!P13</f>
        <v>62654.973333333328</v>
      </c>
      <c r="H32">
        <f>cylinder_s!P13</f>
        <v>64349.679999999993</v>
      </c>
      <c r="I32">
        <f>cylinder_a!P13</f>
        <v>63042.610000000008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>
        <v>10000</v>
      </c>
      <c r="C33">
        <f>grids!P14</f>
        <v>163983.40333333332</v>
      </c>
      <c r="D33">
        <f>random!P14</f>
        <v>158061.06999999998</v>
      </c>
      <c r="E33">
        <f>sphere_c!P14</f>
        <v>216298.57333333333</v>
      </c>
      <c r="F33">
        <f>sphere_t!P14</f>
        <v>73744.746666666659</v>
      </c>
      <c r="G33">
        <f>cylinder_r!P14</f>
        <v>65210.893333333333</v>
      </c>
      <c r="H33">
        <f>cylinder_s!P14</f>
        <v>65750.710000000006</v>
      </c>
      <c r="I33">
        <f>cylinder_a!P14</f>
        <v>73239.530000000013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>
        <v>20000</v>
      </c>
      <c r="C34">
        <f>grids!P15</f>
        <v>156588.43</v>
      </c>
      <c r="D34">
        <f>random!P15</f>
        <v>142567.05999999997</v>
      </c>
      <c r="E34">
        <f>sphere_c!P15</f>
        <v>194440.33333333334</v>
      </c>
      <c r="F34">
        <f>sphere_t!P15</f>
        <v>70856.266666666663</v>
      </c>
      <c r="G34">
        <f>cylinder_r!P15</f>
        <v>70842.456666666665</v>
      </c>
      <c r="H34">
        <f>cylinder_s!P15</f>
        <v>58138.896666666667</v>
      </c>
      <c r="I34">
        <f>cylinder_a!P15</f>
        <v>60039.99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>
        <v>40000</v>
      </c>
      <c r="C35">
        <f>grids!P16</f>
        <v>162549.93333333332</v>
      </c>
      <c r="D35">
        <f>random!P16</f>
        <v>127581.73</v>
      </c>
      <c r="E35">
        <f>sphere_c!P16</f>
        <v>174990.65</v>
      </c>
      <c r="F35">
        <f>sphere_t!P16</f>
        <v>64661.820000000007</v>
      </c>
      <c r="G35">
        <f>cylinder_r!P16</f>
        <v>59161.46333333334</v>
      </c>
      <c r="H35">
        <f>cylinder_s!P16</f>
        <v>54434.726666666662</v>
      </c>
      <c r="I35">
        <f>cylinder_a!P16</f>
        <v>61279.036666666674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>
        <v>100000</v>
      </c>
      <c r="C36">
        <f>grids!P17</f>
        <v>136778.69333333333</v>
      </c>
      <c r="D36">
        <f>random!P17</f>
        <v>109754.59000000001</v>
      </c>
      <c r="E36">
        <f>sphere_c!P17</f>
        <v>144106.85666666666</v>
      </c>
      <c r="F36">
        <f>sphere_t!P17</f>
        <v>48040.493333333339</v>
      </c>
      <c r="G36">
        <f>cylinder_r!P17</f>
        <v>50642.003333333334</v>
      </c>
      <c r="H36">
        <f>cylinder_s!P17</f>
        <v>46970.753333333334</v>
      </c>
      <c r="I36">
        <f>cylinder_a!P17</f>
        <v>49241.9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grids</vt:lpstr>
      <vt:lpstr>random</vt:lpstr>
      <vt:lpstr>sphere_c</vt:lpstr>
      <vt:lpstr>sphere_t</vt:lpstr>
      <vt:lpstr>cylinder_r</vt:lpstr>
      <vt:lpstr>cylinder_s</vt:lpstr>
      <vt:lpstr>cylinder_a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2018-05-08T20:11:14Z</dcterms:modified>
</cp:coreProperties>
</file>