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lcaHeuristic/5/"/>
    </mc:Choice>
  </mc:AlternateContent>
  <xr:revisionPtr revIDLastSave="0" documentId="13_ncr:1_{68B601E7-F39A-B849-A1B7-8CCFD2F70A13}" xr6:coauthVersionLast="32" xr6:coauthVersionMax="32" xr10:uidLastSave="{00000000-0000-0000-0000-000000000000}"/>
  <bookViews>
    <workbookView xWindow="320" yWindow="1420" windowWidth="21800" windowHeight="13940" tabRatio="500" activeTab="1" xr2:uid="{00000000-000D-0000-FFFF-FFFF00000000}"/>
  </bookViews>
  <sheets>
    <sheet name="1" sheetId="1" r:id="rId1"/>
    <sheet name="Summary" sheetId="6" r:id="rId2"/>
  </sheet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40" i="1" l="1"/>
  <c r="P40" i="1"/>
  <c r="Q40" i="1"/>
  <c r="O41" i="1"/>
  <c r="P41" i="1"/>
  <c r="Q41" i="1"/>
  <c r="O42" i="1"/>
  <c r="P42" i="1"/>
  <c r="Q42" i="1"/>
  <c r="O43" i="1"/>
  <c r="P43" i="1"/>
  <c r="Q43" i="1"/>
  <c r="O44" i="1"/>
  <c r="P44" i="1"/>
  <c r="Q44" i="1"/>
  <c r="O31" i="1"/>
  <c r="P31" i="1"/>
  <c r="Q31" i="1"/>
  <c r="O32" i="1"/>
  <c r="P32" i="1"/>
  <c r="Q32" i="1"/>
  <c r="O33" i="1"/>
  <c r="P33" i="1"/>
  <c r="Q33" i="1"/>
  <c r="O34" i="1"/>
  <c r="P34" i="1"/>
  <c r="Q34" i="1"/>
  <c r="O35" i="1"/>
  <c r="P35" i="1"/>
  <c r="Q35" i="1"/>
  <c r="O36" i="1"/>
  <c r="P36" i="1"/>
  <c r="Q36" i="1"/>
  <c r="O6" i="1"/>
  <c r="P6" i="1"/>
  <c r="Q6" i="1"/>
  <c r="O7" i="1"/>
  <c r="P7" i="1"/>
  <c r="Q7" i="1"/>
  <c r="O8" i="1"/>
  <c r="P8" i="1"/>
  <c r="Q8" i="1"/>
  <c r="O9" i="1"/>
  <c r="P9" i="1"/>
  <c r="Q9" i="1"/>
  <c r="O10" i="1"/>
  <c r="P10" i="1"/>
  <c r="Q10" i="1"/>
  <c r="O11" i="1"/>
  <c r="P11" i="1"/>
  <c r="Q11" i="1"/>
  <c r="O12" i="1"/>
  <c r="P12" i="1"/>
  <c r="Q12" i="1"/>
  <c r="O13" i="1"/>
  <c r="P13" i="1"/>
  <c r="Q13" i="1"/>
  <c r="O14" i="1"/>
  <c r="P14" i="1"/>
  <c r="Q14" i="1"/>
  <c r="O15" i="1"/>
  <c r="P15" i="1"/>
  <c r="Q15" i="1"/>
  <c r="O16" i="1"/>
  <c r="P16" i="1"/>
  <c r="Q16" i="1"/>
  <c r="O17" i="1"/>
  <c r="P17" i="1"/>
  <c r="Q17" i="1"/>
  <c r="O18" i="1"/>
  <c r="P18" i="1"/>
  <c r="Q18" i="1"/>
  <c r="O19" i="1"/>
  <c r="P19" i="1"/>
  <c r="Q19" i="1"/>
  <c r="O20" i="1"/>
  <c r="P20" i="1"/>
  <c r="Q20" i="1"/>
  <c r="O21" i="1"/>
  <c r="P21" i="1"/>
  <c r="Q21" i="1"/>
  <c r="O22" i="1"/>
  <c r="P22" i="1"/>
  <c r="Q22" i="1"/>
  <c r="O23" i="1"/>
  <c r="P23" i="1"/>
  <c r="Q23" i="1"/>
  <c r="O24" i="1"/>
  <c r="P24" i="1"/>
  <c r="Q24" i="1"/>
  <c r="O25" i="1"/>
  <c r="P25" i="1"/>
  <c r="Q25" i="1"/>
  <c r="O26" i="1"/>
  <c r="P26" i="1"/>
  <c r="Q26" i="1"/>
  <c r="O27" i="1"/>
  <c r="P27" i="1"/>
  <c r="Q27" i="1"/>
  <c r="O28" i="1"/>
  <c r="P28" i="1"/>
  <c r="Q28" i="1"/>
  <c r="O29" i="1"/>
  <c r="P29" i="1"/>
  <c r="Q29" i="1"/>
  <c r="O30" i="1"/>
  <c r="P30" i="1"/>
  <c r="Q30" i="1"/>
  <c r="Q5" i="1"/>
  <c r="P5" i="1"/>
  <c r="O5" i="1"/>
  <c r="K40" i="1" l="1"/>
  <c r="L40" i="1"/>
  <c r="M40" i="1"/>
  <c r="K41" i="1"/>
  <c r="L41" i="1"/>
  <c r="M41" i="1"/>
  <c r="K42" i="1"/>
  <c r="L42" i="1"/>
  <c r="M42" i="1"/>
  <c r="K43" i="1"/>
  <c r="L43" i="1"/>
  <c r="M43" i="1"/>
  <c r="K44" i="1"/>
  <c r="L44" i="1"/>
  <c r="M44" i="1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</calcChain>
</file>

<file path=xl/sharedStrings.xml><?xml version="1.0" encoding="utf-8"?>
<sst xmlns="http://schemas.openxmlformats.org/spreadsheetml/2006/main" count="59" uniqueCount="31">
  <si>
    <t>Graph Info:</t>
  </si>
  <si>
    <t>Number of Vertices</t>
  </si>
  <si>
    <t>Current run parameter:</t>
  </si>
  <si>
    <t>use_max_degree_root = false</t>
  </si>
  <si>
    <t>Level Separator</t>
  </si>
  <si>
    <t>Fundamental Cycle Separator</t>
  </si>
  <si>
    <t>Lipton-Tarjan Separator</t>
  </si>
  <si>
    <t>Separator Size</t>
  </si>
  <si>
    <t>Balance Ratio</t>
  </si>
  <si>
    <t>Runtime (ms)</t>
  </si>
  <si>
    <t>Runtime (s)</t>
  </si>
  <si>
    <t>Max</t>
  </si>
  <si>
    <t>Min</t>
  </si>
  <si>
    <t>Median</t>
  </si>
  <si>
    <t>Average</t>
  </si>
  <si>
    <t>Std.Dev</t>
  </si>
  <si>
    <t>ModifiedFCS</t>
  </si>
  <si>
    <t>x</t>
  </si>
  <si>
    <t>Exact LCA</t>
  </si>
  <si>
    <t>DistToRoot Heuristic</t>
  </si>
  <si>
    <t>DistToLeaf Heuristic</t>
  </si>
  <si>
    <t>Combined Heuristic</t>
  </si>
  <si>
    <t>ratio</t>
  </si>
  <si>
    <t>Ratio</t>
  </si>
  <si>
    <t>Grids</t>
  </si>
  <si>
    <t>Sphere Cube</t>
  </si>
  <si>
    <t>Sphere Tetra</t>
  </si>
  <si>
    <t>Cylinder Rnd</t>
  </si>
  <si>
    <t>Cylinder Symm</t>
  </si>
  <si>
    <t>Cylinder Asymm</t>
  </si>
  <si>
    <t>Random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</si>
</sst>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3" fillId="2" borderId="0" xfId="0" applyNumberFormat="1" applyFont="1" applyFill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Random</a:t>
            </a:r>
            <a:r>
              <a:rPr lang="en-US" sz="1800" baseline="0"/>
              <a:t> Cylinder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1"/>
          <c:order val="0"/>
          <c:tx>
            <c:strRef>
              <c:f>Summary!$B$1</c:f>
              <c:strCache>
                <c:ptCount val="1"/>
                <c:pt idx="0">
                  <c:v>Exact LCA</c:v>
                </c:pt>
              </c:strCache>
            </c:strRef>
          </c:tx>
          <c:xVal>
            <c:strRef>
              <c:f>Summary!$A$2:$A$8</c:f>
              <c:strCache>
                <c:ptCount val="7"/>
                <c:pt idx="0">
                  <c:v>Grids</c:v>
                </c:pt>
                <c:pt idx="1">
                  <c:v>Sphere Cube</c:v>
                </c:pt>
                <c:pt idx="2">
                  <c:v>Sphere Tetra</c:v>
                </c:pt>
                <c:pt idx="3">
                  <c:v>Cylinder Rnd</c:v>
                </c:pt>
                <c:pt idx="4">
                  <c:v>Cylinder Symm</c:v>
                </c:pt>
                <c:pt idx="5">
                  <c:v>Cylinder Asymm</c:v>
                </c:pt>
                <c:pt idx="6">
                  <c:v>Random</c:v>
                </c:pt>
              </c:strCache>
            </c:strRef>
          </c:xVal>
          <c:yVal>
            <c:numRef>
              <c:f>Summary!$B$2:$B$8</c:f>
              <c:numCache>
                <c:formatCode>0.000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16-4C4B-9D3A-420E95F32F4B}"/>
            </c:ext>
          </c:extLst>
        </c:ser>
        <c:ser>
          <c:idx val="0"/>
          <c:order val="1"/>
          <c:tx>
            <c:strRef>
              <c:f>Summary!$C$1</c:f>
              <c:strCache>
                <c:ptCount val="1"/>
                <c:pt idx="0">
                  <c:v>DistToRoot Heuristic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Summary!$A$2:$A$8</c:f>
              <c:strCache>
                <c:ptCount val="7"/>
                <c:pt idx="0">
                  <c:v>Grids</c:v>
                </c:pt>
                <c:pt idx="1">
                  <c:v>Sphere Cube</c:v>
                </c:pt>
                <c:pt idx="2">
                  <c:v>Sphere Tetra</c:v>
                </c:pt>
                <c:pt idx="3">
                  <c:v>Cylinder Rnd</c:v>
                </c:pt>
                <c:pt idx="4">
                  <c:v>Cylinder Symm</c:v>
                </c:pt>
                <c:pt idx="5">
                  <c:v>Cylinder Asymm</c:v>
                </c:pt>
                <c:pt idx="6">
                  <c:v>Random</c:v>
                </c:pt>
              </c:strCache>
            </c:strRef>
          </c:xVal>
          <c:yVal>
            <c:numRef>
              <c:f>Summary!$C$2:$C$8</c:f>
              <c:numCache>
                <c:formatCode>0.000</c:formatCode>
                <c:ptCount val="7"/>
                <c:pt idx="0" formatCode="0.00">
                  <c:v>1.0107724894929804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16-4C4B-9D3A-420E95F32F4B}"/>
            </c:ext>
          </c:extLst>
        </c:ser>
        <c:ser>
          <c:idx val="2"/>
          <c:order val="2"/>
          <c:tx>
            <c:strRef>
              <c:f>Summary!$D$1</c:f>
              <c:strCache>
                <c:ptCount val="1"/>
                <c:pt idx="0">
                  <c:v>DistToLeaf Heuristic</c:v>
                </c:pt>
              </c:strCache>
            </c:strRef>
          </c:tx>
          <c:xVal>
            <c:strRef>
              <c:f>Summary!$A$2:$A$8</c:f>
              <c:strCache>
                <c:ptCount val="7"/>
                <c:pt idx="0">
                  <c:v>Grids</c:v>
                </c:pt>
                <c:pt idx="1">
                  <c:v>Sphere Cube</c:v>
                </c:pt>
                <c:pt idx="2">
                  <c:v>Sphere Tetra</c:v>
                </c:pt>
                <c:pt idx="3">
                  <c:v>Cylinder Rnd</c:v>
                </c:pt>
                <c:pt idx="4">
                  <c:v>Cylinder Symm</c:v>
                </c:pt>
                <c:pt idx="5">
                  <c:v>Cylinder Asymm</c:v>
                </c:pt>
                <c:pt idx="6">
                  <c:v>Random</c:v>
                </c:pt>
              </c:strCache>
            </c:strRef>
          </c:xVal>
          <c:yVal>
            <c:numRef>
              <c:f>Summary!$D$2:$D$8</c:f>
              <c:numCache>
                <c:formatCode>0.00</c:formatCode>
                <c:ptCount val="7"/>
                <c:pt idx="0">
                  <c:v>1.0681268360628051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16-4C4B-9D3A-420E95F32F4B}"/>
            </c:ext>
          </c:extLst>
        </c:ser>
        <c:ser>
          <c:idx val="3"/>
          <c:order val="3"/>
          <c:tx>
            <c:strRef>
              <c:f>Summary!$E$1</c:f>
              <c:strCache>
                <c:ptCount val="1"/>
                <c:pt idx="0">
                  <c:v>Combined Heuristic</c:v>
                </c:pt>
              </c:strCache>
            </c:strRef>
          </c:tx>
          <c:xVal>
            <c:strRef>
              <c:f>Summary!$A$2:$A$8</c:f>
              <c:strCache>
                <c:ptCount val="7"/>
                <c:pt idx="0">
                  <c:v>Grids</c:v>
                </c:pt>
                <c:pt idx="1">
                  <c:v>Sphere Cube</c:v>
                </c:pt>
                <c:pt idx="2">
                  <c:v>Sphere Tetra</c:v>
                </c:pt>
                <c:pt idx="3">
                  <c:v>Cylinder Rnd</c:v>
                </c:pt>
                <c:pt idx="4">
                  <c:v>Cylinder Symm</c:v>
                </c:pt>
                <c:pt idx="5">
                  <c:v>Cylinder Asymm</c:v>
                </c:pt>
                <c:pt idx="6">
                  <c:v>Random</c:v>
                </c:pt>
              </c:strCache>
            </c:strRef>
          </c:xVal>
          <c:yVal>
            <c:numRef>
              <c:f>Summary!$E$2:$E$9</c:f>
              <c:numCache>
                <c:formatCode>0.00</c:formatCode>
                <c:ptCount val="8"/>
                <c:pt idx="0" formatCode="General">
                  <c:v>1.0185985341760126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16-4C4B-9D3A-420E95F32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Separator Size (# 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166028725576001"/>
          <c:y val="0.15125847550306201"/>
          <c:w val="0.20173834039975772"/>
          <c:h val="0.25465529308836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11</xdr:row>
      <xdr:rowOff>190500</xdr:rowOff>
    </xdr:from>
    <xdr:to>
      <xdr:col>11</xdr:col>
      <xdr:colOff>609600</xdr:colOff>
      <xdr:row>34</xdr:row>
      <xdr:rowOff>88900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4"/>
  <sheetViews>
    <sheetView topLeftCell="D36" workbookViewId="0">
      <selection activeCell="N43" sqref="N43:Q43"/>
    </sheetView>
  </sheetViews>
  <sheetFormatPr baseColWidth="10" defaultRowHeight="16" x14ac:dyDescent="0.2"/>
  <cols>
    <col min="1" max="1" width="20.1640625" bestFit="1" customWidth="1"/>
  </cols>
  <sheetData>
    <row r="1" spans="1:17" x14ac:dyDescent="0.2">
      <c r="A1" t="s">
        <v>0</v>
      </c>
      <c r="B1" t="s">
        <v>17</v>
      </c>
      <c r="C1" t="s">
        <v>1</v>
      </c>
      <c r="D1">
        <v>59502</v>
      </c>
    </row>
    <row r="2" spans="1:17" x14ac:dyDescent="0.2">
      <c r="A2" t="s">
        <v>2</v>
      </c>
      <c r="B2" t="s">
        <v>3</v>
      </c>
    </row>
    <row r="3" spans="1:17" x14ac:dyDescent="0.2">
      <c r="C3" t="s">
        <v>18</v>
      </c>
      <c r="E3" t="s">
        <v>19</v>
      </c>
      <c r="H3" t="s">
        <v>20</v>
      </c>
      <c r="K3" t="s">
        <v>21</v>
      </c>
      <c r="O3" t="s">
        <v>22</v>
      </c>
    </row>
    <row r="4" spans="1:17" x14ac:dyDescent="0.2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9</v>
      </c>
      <c r="O4" t="s">
        <v>19</v>
      </c>
      <c r="P4" t="s">
        <v>20</v>
      </c>
      <c r="Q4" t="s">
        <v>21</v>
      </c>
    </row>
    <row r="5" spans="1:17" x14ac:dyDescent="0.2">
      <c r="A5">
        <v>0</v>
      </c>
      <c r="B5">
        <v>212</v>
      </c>
      <c r="C5">
        <v>1.33067</v>
      </c>
      <c r="D5">
        <v>355.74</v>
      </c>
      <c r="E5">
        <v>212</v>
      </c>
      <c r="F5">
        <v>1.33067</v>
      </c>
      <c r="G5">
        <v>363.97</v>
      </c>
      <c r="H5">
        <v>212</v>
      </c>
      <c r="I5">
        <v>1.33067</v>
      </c>
      <c r="J5">
        <v>306.73</v>
      </c>
      <c r="K5">
        <v>212</v>
      </c>
      <c r="L5">
        <v>1.33067</v>
      </c>
      <c r="M5">
        <v>328.65</v>
      </c>
      <c r="O5">
        <f>E5/B5</f>
        <v>1</v>
      </c>
      <c r="P5">
        <f>H5/B5</f>
        <v>1</v>
      </c>
      <c r="Q5">
        <f>K5/B5</f>
        <v>1</v>
      </c>
    </row>
    <row r="6" spans="1:17" x14ac:dyDescent="0.2">
      <c r="A6">
        <v>1</v>
      </c>
      <c r="B6">
        <v>211</v>
      </c>
      <c r="C6">
        <v>1.66981</v>
      </c>
      <c r="D6">
        <v>655.93</v>
      </c>
      <c r="E6">
        <v>211</v>
      </c>
      <c r="F6">
        <v>1.66981</v>
      </c>
      <c r="G6">
        <v>290.25</v>
      </c>
      <c r="H6">
        <v>211</v>
      </c>
      <c r="I6">
        <v>1.66981</v>
      </c>
      <c r="J6">
        <v>297.02999999999997</v>
      </c>
      <c r="K6">
        <v>211</v>
      </c>
      <c r="L6">
        <v>1.66981</v>
      </c>
      <c r="M6">
        <v>303.89</v>
      </c>
      <c r="O6">
        <f t="shared" ref="O6:O30" si="0">E6/B6</f>
        <v>1</v>
      </c>
      <c r="P6">
        <f t="shared" ref="P6:P30" si="1">H6/B6</f>
        <v>1</v>
      </c>
      <c r="Q6">
        <f t="shared" ref="Q6:Q30" si="2">K6/B6</f>
        <v>1</v>
      </c>
    </row>
    <row r="7" spans="1:17" x14ac:dyDescent="0.2">
      <c r="A7">
        <v>2</v>
      </c>
      <c r="B7">
        <v>212</v>
      </c>
      <c r="C7">
        <v>1.97218</v>
      </c>
      <c r="D7">
        <v>301.27999999999997</v>
      </c>
      <c r="E7">
        <v>212</v>
      </c>
      <c r="F7">
        <v>1.97218</v>
      </c>
      <c r="G7">
        <v>291.26</v>
      </c>
      <c r="H7">
        <v>212</v>
      </c>
      <c r="I7">
        <v>1.97218</v>
      </c>
      <c r="J7">
        <v>298.22000000000003</v>
      </c>
      <c r="K7">
        <v>212</v>
      </c>
      <c r="L7">
        <v>1.97218</v>
      </c>
      <c r="M7">
        <v>311.06</v>
      </c>
      <c r="O7">
        <f t="shared" si="0"/>
        <v>1</v>
      </c>
      <c r="P7">
        <f t="shared" si="1"/>
        <v>1</v>
      </c>
      <c r="Q7">
        <f t="shared" si="2"/>
        <v>1</v>
      </c>
    </row>
    <row r="8" spans="1:17" x14ac:dyDescent="0.2">
      <c r="A8">
        <v>3</v>
      </c>
      <c r="B8">
        <v>212</v>
      </c>
      <c r="C8">
        <v>1.0005999999999999</v>
      </c>
      <c r="D8">
        <v>318.56</v>
      </c>
      <c r="E8">
        <v>212</v>
      </c>
      <c r="F8">
        <v>1.0005999999999999</v>
      </c>
      <c r="G8">
        <v>316.38</v>
      </c>
      <c r="H8">
        <v>250</v>
      </c>
      <c r="I8">
        <v>1.97451</v>
      </c>
      <c r="J8">
        <v>290.27</v>
      </c>
      <c r="K8">
        <v>212</v>
      </c>
      <c r="L8">
        <v>1.0005999999999999</v>
      </c>
      <c r="M8">
        <v>328.9</v>
      </c>
      <c r="O8">
        <f t="shared" si="0"/>
        <v>1</v>
      </c>
      <c r="P8">
        <f t="shared" si="1"/>
        <v>1.179245283018868</v>
      </c>
      <c r="Q8">
        <f t="shared" si="2"/>
        <v>1</v>
      </c>
    </row>
    <row r="9" spans="1:17" x14ac:dyDescent="0.2">
      <c r="A9">
        <v>4</v>
      </c>
      <c r="B9">
        <v>211</v>
      </c>
      <c r="C9">
        <v>1.66981</v>
      </c>
      <c r="D9">
        <v>298.14</v>
      </c>
      <c r="E9">
        <v>227</v>
      </c>
      <c r="F9">
        <v>1.9782599999999999</v>
      </c>
      <c r="G9">
        <v>327.81</v>
      </c>
      <c r="H9">
        <v>211</v>
      </c>
      <c r="I9">
        <v>1.66981</v>
      </c>
      <c r="J9">
        <v>302.25</v>
      </c>
      <c r="K9">
        <v>211</v>
      </c>
      <c r="L9">
        <v>1.66981</v>
      </c>
      <c r="M9">
        <v>306.61</v>
      </c>
      <c r="O9">
        <f t="shared" si="0"/>
        <v>1.0758293838862558</v>
      </c>
      <c r="P9">
        <f t="shared" si="1"/>
        <v>1</v>
      </c>
      <c r="Q9">
        <f t="shared" si="2"/>
        <v>1</v>
      </c>
    </row>
    <row r="10" spans="1:17" x14ac:dyDescent="0.2">
      <c r="A10">
        <v>5</v>
      </c>
      <c r="B10">
        <v>211</v>
      </c>
      <c r="C10">
        <v>1.66981</v>
      </c>
      <c r="D10">
        <v>291.43</v>
      </c>
      <c r="E10">
        <v>211</v>
      </c>
      <c r="F10">
        <v>1.66981</v>
      </c>
      <c r="G10">
        <v>305.3</v>
      </c>
      <c r="H10">
        <v>211</v>
      </c>
      <c r="I10">
        <v>1.66981</v>
      </c>
      <c r="J10">
        <v>297.41000000000003</v>
      </c>
      <c r="K10">
        <v>211</v>
      </c>
      <c r="L10">
        <v>1.66981</v>
      </c>
      <c r="M10">
        <v>305.02999999999997</v>
      </c>
      <c r="O10">
        <f t="shared" si="0"/>
        <v>1</v>
      </c>
      <c r="P10">
        <f t="shared" si="1"/>
        <v>1</v>
      </c>
      <c r="Q10">
        <f t="shared" si="2"/>
        <v>1</v>
      </c>
    </row>
    <row r="11" spans="1:17" x14ac:dyDescent="0.2">
      <c r="A11">
        <v>6</v>
      </c>
      <c r="B11">
        <v>212</v>
      </c>
      <c r="C11">
        <v>1.8098099999999999</v>
      </c>
      <c r="D11">
        <v>302.61</v>
      </c>
      <c r="E11">
        <v>212</v>
      </c>
      <c r="F11">
        <v>1.8098099999999999</v>
      </c>
      <c r="G11">
        <v>292.24</v>
      </c>
      <c r="H11">
        <v>212</v>
      </c>
      <c r="I11">
        <v>1.8098099999999999</v>
      </c>
      <c r="J11">
        <v>299.97000000000003</v>
      </c>
      <c r="K11">
        <v>212</v>
      </c>
      <c r="L11">
        <v>1.8098099999999999</v>
      </c>
      <c r="M11">
        <v>306.7</v>
      </c>
      <c r="O11">
        <f t="shared" si="0"/>
        <v>1</v>
      </c>
      <c r="P11">
        <f t="shared" si="1"/>
        <v>1</v>
      </c>
      <c r="Q11">
        <f t="shared" si="2"/>
        <v>1</v>
      </c>
    </row>
    <row r="12" spans="1:17" x14ac:dyDescent="0.2">
      <c r="A12">
        <v>7</v>
      </c>
      <c r="B12">
        <v>212</v>
      </c>
      <c r="C12">
        <v>1.4995400000000001</v>
      </c>
      <c r="D12">
        <v>309.3</v>
      </c>
      <c r="E12">
        <v>212</v>
      </c>
      <c r="F12">
        <v>1.4995400000000001</v>
      </c>
      <c r="G12">
        <v>294.27</v>
      </c>
      <c r="H12">
        <v>212</v>
      </c>
      <c r="I12">
        <v>1.4995400000000001</v>
      </c>
      <c r="J12">
        <v>295.95</v>
      </c>
      <c r="K12">
        <v>212</v>
      </c>
      <c r="L12">
        <v>1.4995400000000001</v>
      </c>
      <c r="M12">
        <v>329.92</v>
      </c>
      <c r="O12">
        <f t="shared" si="0"/>
        <v>1</v>
      </c>
      <c r="P12">
        <f t="shared" si="1"/>
        <v>1</v>
      </c>
      <c r="Q12">
        <f t="shared" si="2"/>
        <v>1</v>
      </c>
    </row>
    <row r="13" spans="1:17" x14ac:dyDescent="0.2">
      <c r="A13">
        <v>8</v>
      </c>
      <c r="B13">
        <v>211</v>
      </c>
      <c r="C13">
        <v>1.66981</v>
      </c>
      <c r="D13">
        <v>329.53</v>
      </c>
      <c r="E13">
        <v>211</v>
      </c>
      <c r="F13">
        <v>1.66981</v>
      </c>
      <c r="G13">
        <v>326.57</v>
      </c>
      <c r="H13">
        <v>212</v>
      </c>
      <c r="I13">
        <v>1.65726</v>
      </c>
      <c r="J13">
        <v>299.74</v>
      </c>
      <c r="K13">
        <v>212</v>
      </c>
      <c r="L13">
        <v>1.65726</v>
      </c>
      <c r="M13">
        <v>319.29000000000002</v>
      </c>
      <c r="O13">
        <f t="shared" si="0"/>
        <v>1</v>
      </c>
      <c r="P13">
        <f t="shared" si="1"/>
        <v>1.0047393364928909</v>
      </c>
      <c r="Q13">
        <f t="shared" si="2"/>
        <v>1.0047393364928909</v>
      </c>
    </row>
    <row r="14" spans="1:17" x14ac:dyDescent="0.2">
      <c r="A14">
        <v>9</v>
      </c>
      <c r="B14">
        <v>212</v>
      </c>
      <c r="C14">
        <v>1.3781000000000001</v>
      </c>
      <c r="D14">
        <v>326.83999999999997</v>
      </c>
      <c r="E14">
        <v>212</v>
      </c>
      <c r="F14">
        <v>1.3781000000000001</v>
      </c>
      <c r="G14">
        <v>320.18</v>
      </c>
      <c r="H14">
        <v>320</v>
      </c>
      <c r="I14">
        <v>1.97119</v>
      </c>
      <c r="J14">
        <v>296.89999999999998</v>
      </c>
      <c r="K14">
        <v>212</v>
      </c>
      <c r="L14">
        <v>1.3781000000000001</v>
      </c>
      <c r="M14">
        <v>333.8</v>
      </c>
      <c r="O14">
        <f t="shared" si="0"/>
        <v>1</v>
      </c>
      <c r="P14">
        <f t="shared" si="1"/>
        <v>1.5094339622641511</v>
      </c>
      <c r="Q14">
        <f t="shared" si="2"/>
        <v>1</v>
      </c>
    </row>
    <row r="15" spans="1:17" x14ac:dyDescent="0.2">
      <c r="A15">
        <v>10</v>
      </c>
      <c r="B15">
        <v>212</v>
      </c>
      <c r="C15">
        <v>1.45021</v>
      </c>
      <c r="D15">
        <v>297.02</v>
      </c>
      <c r="E15">
        <v>236</v>
      </c>
      <c r="F15">
        <v>1.9849600000000001</v>
      </c>
      <c r="G15">
        <v>305.37</v>
      </c>
      <c r="H15">
        <v>236</v>
      </c>
      <c r="I15">
        <v>1.9849600000000001</v>
      </c>
      <c r="J15">
        <v>296.52</v>
      </c>
      <c r="K15">
        <v>236</v>
      </c>
      <c r="L15">
        <v>1.9849600000000001</v>
      </c>
      <c r="M15">
        <v>306.23</v>
      </c>
      <c r="O15">
        <f t="shared" si="0"/>
        <v>1.1132075471698113</v>
      </c>
      <c r="P15">
        <f t="shared" si="1"/>
        <v>1.1132075471698113</v>
      </c>
      <c r="Q15">
        <f t="shared" si="2"/>
        <v>1.1132075471698113</v>
      </c>
    </row>
    <row r="16" spans="1:17" x14ac:dyDescent="0.2">
      <c r="A16">
        <v>11</v>
      </c>
      <c r="B16">
        <v>211</v>
      </c>
      <c r="C16">
        <v>1.66981</v>
      </c>
      <c r="D16">
        <v>294.44</v>
      </c>
      <c r="E16">
        <v>211</v>
      </c>
      <c r="F16">
        <v>1.66981</v>
      </c>
      <c r="G16">
        <v>300.24</v>
      </c>
      <c r="H16">
        <v>211</v>
      </c>
      <c r="I16">
        <v>1.66981</v>
      </c>
      <c r="J16">
        <v>296.38</v>
      </c>
      <c r="K16">
        <v>211</v>
      </c>
      <c r="L16">
        <v>1.66981</v>
      </c>
      <c r="M16">
        <v>307.70999999999998</v>
      </c>
      <c r="O16">
        <f t="shared" si="0"/>
        <v>1</v>
      </c>
      <c r="P16">
        <f t="shared" si="1"/>
        <v>1</v>
      </c>
      <c r="Q16">
        <f t="shared" si="2"/>
        <v>1</v>
      </c>
    </row>
    <row r="17" spans="1:17" x14ac:dyDescent="0.2">
      <c r="A17">
        <v>12</v>
      </c>
      <c r="B17">
        <v>212</v>
      </c>
      <c r="C17">
        <v>1.13608</v>
      </c>
      <c r="D17">
        <v>326.63</v>
      </c>
      <c r="E17">
        <v>212</v>
      </c>
      <c r="F17">
        <v>1.13608</v>
      </c>
      <c r="G17">
        <v>316.43</v>
      </c>
      <c r="H17">
        <v>260</v>
      </c>
      <c r="I17">
        <v>1.1525000000000001</v>
      </c>
      <c r="J17">
        <v>313.25</v>
      </c>
      <c r="K17">
        <v>212</v>
      </c>
      <c r="L17">
        <v>1.13608</v>
      </c>
      <c r="M17">
        <v>348.15</v>
      </c>
      <c r="O17">
        <f t="shared" si="0"/>
        <v>1</v>
      </c>
      <c r="P17">
        <f t="shared" si="1"/>
        <v>1.2264150943396226</v>
      </c>
      <c r="Q17">
        <f t="shared" si="2"/>
        <v>1</v>
      </c>
    </row>
    <row r="18" spans="1:17" x14ac:dyDescent="0.2">
      <c r="A18">
        <v>13</v>
      </c>
      <c r="B18">
        <v>212</v>
      </c>
      <c r="C18">
        <v>1</v>
      </c>
      <c r="D18">
        <v>316.99</v>
      </c>
      <c r="E18">
        <v>212</v>
      </c>
      <c r="F18">
        <v>1.4352199999999999</v>
      </c>
      <c r="G18">
        <v>300.06</v>
      </c>
      <c r="H18">
        <v>212</v>
      </c>
      <c r="I18">
        <v>1.6250199999999999</v>
      </c>
      <c r="J18">
        <v>296.2</v>
      </c>
      <c r="K18">
        <v>212</v>
      </c>
      <c r="L18">
        <v>1.6250199999999999</v>
      </c>
      <c r="M18">
        <v>313.56</v>
      </c>
      <c r="O18">
        <f t="shared" si="0"/>
        <v>1</v>
      </c>
      <c r="P18">
        <f t="shared" si="1"/>
        <v>1</v>
      </c>
      <c r="Q18">
        <f t="shared" si="2"/>
        <v>1</v>
      </c>
    </row>
    <row r="19" spans="1:17" x14ac:dyDescent="0.2">
      <c r="A19">
        <v>14</v>
      </c>
      <c r="B19">
        <v>212</v>
      </c>
      <c r="C19">
        <v>1.0244800000000001</v>
      </c>
      <c r="D19">
        <v>323.69</v>
      </c>
      <c r="E19">
        <v>212</v>
      </c>
      <c r="F19">
        <v>1.0244800000000001</v>
      </c>
      <c r="G19">
        <v>316.73</v>
      </c>
      <c r="H19">
        <v>300</v>
      </c>
      <c r="I19">
        <v>1.77555</v>
      </c>
      <c r="J19">
        <v>352.8</v>
      </c>
      <c r="K19">
        <v>212</v>
      </c>
      <c r="L19">
        <v>1.0244800000000001</v>
      </c>
      <c r="M19">
        <v>415.92</v>
      </c>
      <c r="O19">
        <f t="shared" si="0"/>
        <v>1</v>
      </c>
      <c r="P19">
        <f t="shared" si="1"/>
        <v>1.4150943396226414</v>
      </c>
      <c r="Q19">
        <f t="shared" si="2"/>
        <v>1</v>
      </c>
    </row>
    <row r="20" spans="1:17" x14ac:dyDescent="0.2">
      <c r="A20">
        <v>15</v>
      </c>
      <c r="B20">
        <v>212</v>
      </c>
      <c r="C20">
        <v>1.4212</v>
      </c>
      <c r="D20">
        <v>339.91</v>
      </c>
      <c r="E20">
        <v>212</v>
      </c>
      <c r="F20">
        <v>1.4212</v>
      </c>
      <c r="G20">
        <v>331.92</v>
      </c>
      <c r="H20">
        <v>212</v>
      </c>
      <c r="I20">
        <v>1.5773200000000001</v>
      </c>
      <c r="J20">
        <v>334.14</v>
      </c>
      <c r="K20">
        <v>212</v>
      </c>
      <c r="L20">
        <v>1.5773200000000001</v>
      </c>
      <c r="M20">
        <v>317.87</v>
      </c>
      <c r="O20">
        <f t="shared" si="0"/>
        <v>1</v>
      </c>
      <c r="P20">
        <f t="shared" si="1"/>
        <v>1</v>
      </c>
      <c r="Q20">
        <f t="shared" si="2"/>
        <v>1</v>
      </c>
    </row>
    <row r="21" spans="1:17" x14ac:dyDescent="0.2">
      <c r="A21">
        <v>16</v>
      </c>
      <c r="B21">
        <v>211</v>
      </c>
      <c r="C21">
        <v>1.66981</v>
      </c>
      <c r="D21">
        <v>365.32</v>
      </c>
      <c r="E21">
        <v>211</v>
      </c>
      <c r="F21">
        <v>1.66981</v>
      </c>
      <c r="G21">
        <v>459.52</v>
      </c>
      <c r="H21">
        <v>212</v>
      </c>
      <c r="I21">
        <v>1.65726</v>
      </c>
      <c r="J21">
        <v>334.35</v>
      </c>
      <c r="K21">
        <v>212</v>
      </c>
      <c r="L21">
        <v>1.65726</v>
      </c>
      <c r="M21">
        <v>352.17</v>
      </c>
      <c r="O21">
        <f t="shared" si="0"/>
        <v>1</v>
      </c>
      <c r="P21">
        <f t="shared" si="1"/>
        <v>1.0047393364928909</v>
      </c>
      <c r="Q21">
        <f t="shared" si="2"/>
        <v>1.0047393364928909</v>
      </c>
    </row>
    <row r="22" spans="1:17" x14ac:dyDescent="0.2">
      <c r="A22">
        <v>17</v>
      </c>
      <c r="B22">
        <v>211</v>
      </c>
      <c r="C22">
        <v>1.66981</v>
      </c>
      <c r="D22">
        <v>403.2</v>
      </c>
      <c r="E22">
        <v>211</v>
      </c>
      <c r="F22">
        <v>1.66981</v>
      </c>
      <c r="G22">
        <v>380.14</v>
      </c>
      <c r="H22">
        <v>211</v>
      </c>
      <c r="I22">
        <v>1.66981</v>
      </c>
      <c r="J22">
        <v>337.97</v>
      </c>
      <c r="K22">
        <v>211</v>
      </c>
      <c r="L22">
        <v>1.66981</v>
      </c>
      <c r="M22">
        <v>373.46</v>
      </c>
      <c r="O22">
        <f t="shared" si="0"/>
        <v>1</v>
      </c>
      <c r="P22">
        <f t="shared" si="1"/>
        <v>1</v>
      </c>
      <c r="Q22">
        <f t="shared" si="2"/>
        <v>1</v>
      </c>
    </row>
    <row r="23" spans="1:17" x14ac:dyDescent="0.2">
      <c r="A23">
        <v>18</v>
      </c>
      <c r="B23">
        <v>212</v>
      </c>
      <c r="C23">
        <v>1.0011399999999999</v>
      </c>
      <c r="D23">
        <v>326.17</v>
      </c>
      <c r="E23">
        <v>212</v>
      </c>
      <c r="F23">
        <v>1.0011399999999999</v>
      </c>
      <c r="G23">
        <v>369.74</v>
      </c>
      <c r="H23">
        <v>216</v>
      </c>
      <c r="I23">
        <v>1.6569700000000001</v>
      </c>
      <c r="J23">
        <v>311.37</v>
      </c>
      <c r="K23">
        <v>216</v>
      </c>
      <c r="L23">
        <v>1.6569700000000001</v>
      </c>
      <c r="M23">
        <v>401.72</v>
      </c>
      <c r="O23">
        <f t="shared" si="0"/>
        <v>1</v>
      </c>
      <c r="P23">
        <f t="shared" si="1"/>
        <v>1.0188679245283019</v>
      </c>
      <c r="Q23">
        <f t="shared" si="2"/>
        <v>1.0188679245283019</v>
      </c>
    </row>
    <row r="24" spans="1:17" x14ac:dyDescent="0.2">
      <c r="A24">
        <v>19</v>
      </c>
      <c r="B24">
        <v>212</v>
      </c>
      <c r="C24">
        <v>1.1640200000000001</v>
      </c>
      <c r="D24">
        <v>358.64</v>
      </c>
      <c r="E24">
        <v>212</v>
      </c>
      <c r="F24">
        <v>1.1640200000000001</v>
      </c>
      <c r="G24">
        <v>376.88</v>
      </c>
      <c r="H24">
        <v>212</v>
      </c>
      <c r="I24">
        <v>1.1640200000000001</v>
      </c>
      <c r="J24">
        <v>403.71</v>
      </c>
      <c r="K24">
        <v>212</v>
      </c>
      <c r="L24">
        <v>1.1640200000000001</v>
      </c>
      <c r="M24">
        <v>388.21</v>
      </c>
      <c r="O24">
        <f t="shared" si="0"/>
        <v>1</v>
      </c>
      <c r="P24">
        <f t="shared" si="1"/>
        <v>1</v>
      </c>
      <c r="Q24">
        <f t="shared" si="2"/>
        <v>1</v>
      </c>
    </row>
    <row r="25" spans="1:17" x14ac:dyDescent="0.2">
      <c r="A25">
        <v>20</v>
      </c>
      <c r="B25">
        <v>212</v>
      </c>
      <c r="C25">
        <v>1.00047</v>
      </c>
      <c r="D25">
        <v>373.67</v>
      </c>
      <c r="E25">
        <v>212</v>
      </c>
      <c r="F25">
        <v>1.00047</v>
      </c>
      <c r="G25">
        <v>389.4</v>
      </c>
      <c r="H25">
        <v>232</v>
      </c>
      <c r="I25">
        <v>1.3688899999999999</v>
      </c>
      <c r="J25">
        <v>396.85</v>
      </c>
      <c r="K25">
        <v>232</v>
      </c>
      <c r="L25">
        <v>1.3688899999999999</v>
      </c>
      <c r="M25">
        <v>429.32</v>
      </c>
      <c r="O25">
        <f t="shared" si="0"/>
        <v>1</v>
      </c>
      <c r="P25">
        <f t="shared" si="1"/>
        <v>1.0943396226415094</v>
      </c>
      <c r="Q25">
        <f t="shared" si="2"/>
        <v>1.0943396226415094</v>
      </c>
    </row>
    <row r="26" spans="1:17" x14ac:dyDescent="0.2">
      <c r="A26">
        <v>21</v>
      </c>
      <c r="B26">
        <v>211</v>
      </c>
      <c r="C26">
        <v>1.66981</v>
      </c>
      <c r="D26">
        <v>383.39</v>
      </c>
      <c r="E26">
        <v>212</v>
      </c>
      <c r="F26">
        <v>1.4257200000000001</v>
      </c>
      <c r="G26">
        <v>395.28</v>
      </c>
      <c r="H26">
        <v>211</v>
      </c>
      <c r="I26">
        <v>1.66981</v>
      </c>
      <c r="J26">
        <v>307.43</v>
      </c>
      <c r="K26">
        <v>211</v>
      </c>
      <c r="L26">
        <v>1.66981</v>
      </c>
      <c r="M26">
        <v>323.08999999999997</v>
      </c>
      <c r="O26">
        <f t="shared" si="0"/>
        <v>1.0047393364928909</v>
      </c>
      <c r="P26">
        <f t="shared" si="1"/>
        <v>1</v>
      </c>
      <c r="Q26">
        <f t="shared" si="2"/>
        <v>1</v>
      </c>
    </row>
    <row r="27" spans="1:17" x14ac:dyDescent="0.2">
      <c r="A27">
        <v>22</v>
      </c>
      <c r="B27">
        <v>212</v>
      </c>
      <c r="C27">
        <v>1.08856</v>
      </c>
      <c r="D27">
        <v>325.45</v>
      </c>
      <c r="E27">
        <v>244</v>
      </c>
      <c r="F27">
        <v>1.9630000000000001</v>
      </c>
      <c r="G27">
        <v>356.41</v>
      </c>
      <c r="H27">
        <v>212</v>
      </c>
      <c r="I27">
        <v>1.65726</v>
      </c>
      <c r="J27">
        <v>309.05</v>
      </c>
      <c r="K27">
        <v>212</v>
      </c>
      <c r="L27">
        <v>1.65726</v>
      </c>
      <c r="M27">
        <v>388.33</v>
      </c>
      <c r="O27">
        <f t="shared" si="0"/>
        <v>1.1509433962264151</v>
      </c>
      <c r="P27">
        <f t="shared" si="1"/>
        <v>1</v>
      </c>
      <c r="Q27">
        <f t="shared" si="2"/>
        <v>1</v>
      </c>
    </row>
    <row r="28" spans="1:17" x14ac:dyDescent="0.2">
      <c r="A28">
        <v>23</v>
      </c>
      <c r="B28">
        <v>231</v>
      </c>
      <c r="C28">
        <v>1.9821800000000001</v>
      </c>
      <c r="D28">
        <v>413.39</v>
      </c>
      <c r="E28">
        <v>231</v>
      </c>
      <c r="F28">
        <v>1.9821800000000001</v>
      </c>
      <c r="G28">
        <v>467.27</v>
      </c>
      <c r="H28">
        <v>283</v>
      </c>
      <c r="I28">
        <v>1.7452000000000001</v>
      </c>
      <c r="J28">
        <v>364.71</v>
      </c>
      <c r="K28">
        <v>283</v>
      </c>
      <c r="L28">
        <v>1.7452000000000001</v>
      </c>
      <c r="M28">
        <v>347.51</v>
      </c>
      <c r="O28">
        <f t="shared" si="0"/>
        <v>1</v>
      </c>
      <c r="P28">
        <f t="shared" si="1"/>
        <v>1.225108225108225</v>
      </c>
      <c r="Q28">
        <f t="shared" si="2"/>
        <v>1.225108225108225</v>
      </c>
    </row>
    <row r="29" spans="1:17" x14ac:dyDescent="0.2">
      <c r="A29">
        <v>24</v>
      </c>
      <c r="B29">
        <v>212</v>
      </c>
      <c r="C29">
        <v>1.00007</v>
      </c>
      <c r="D29">
        <v>349.56</v>
      </c>
      <c r="E29">
        <v>212</v>
      </c>
      <c r="F29">
        <v>1.00007</v>
      </c>
      <c r="G29">
        <v>333.58</v>
      </c>
      <c r="H29">
        <v>212</v>
      </c>
      <c r="I29">
        <v>1.00007</v>
      </c>
      <c r="J29">
        <v>375.93</v>
      </c>
      <c r="K29">
        <v>212</v>
      </c>
      <c r="L29">
        <v>1.00007</v>
      </c>
      <c r="M29">
        <v>431.31</v>
      </c>
      <c r="O29">
        <f t="shared" si="0"/>
        <v>1</v>
      </c>
      <c r="P29">
        <f t="shared" si="1"/>
        <v>1</v>
      </c>
      <c r="Q29">
        <f t="shared" si="2"/>
        <v>1</v>
      </c>
    </row>
    <row r="30" spans="1:17" x14ac:dyDescent="0.2">
      <c r="A30">
        <v>25</v>
      </c>
      <c r="B30">
        <v>211</v>
      </c>
      <c r="C30">
        <v>1.66981</v>
      </c>
      <c r="D30">
        <v>335.37</v>
      </c>
      <c r="E30">
        <v>211</v>
      </c>
      <c r="F30">
        <v>1.66981</v>
      </c>
      <c r="G30">
        <v>425.4</v>
      </c>
      <c r="H30">
        <v>212</v>
      </c>
      <c r="I30">
        <v>1.65726</v>
      </c>
      <c r="J30">
        <v>361.34</v>
      </c>
      <c r="K30">
        <v>212</v>
      </c>
      <c r="L30">
        <v>1.65726</v>
      </c>
      <c r="M30">
        <v>330.9</v>
      </c>
      <c r="O30">
        <f t="shared" si="0"/>
        <v>1</v>
      </c>
      <c r="P30">
        <f t="shared" si="1"/>
        <v>1.0047393364928909</v>
      </c>
      <c r="Q30">
        <f t="shared" si="2"/>
        <v>1.0047393364928909</v>
      </c>
    </row>
    <row r="31" spans="1:17" x14ac:dyDescent="0.2">
      <c r="A31">
        <v>26</v>
      </c>
      <c r="B31">
        <v>212</v>
      </c>
      <c r="C31">
        <v>1.0022800000000001</v>
      </c>
      <c r="D31">
        <v>333.33</v>
      </c>
      <c r="E31">
        <v>212</v>
      </c>
      <c r="F31">
        <v>1.0022800000000001</v>
      </c>
      <c r="G31">
        <v>321.47000000000003</v>
      </c>
      <c r="H31">
        <v>212</v>
      </c>
      <c r="I31">
        <v>1.5637099999999999</v>
      </c>
      <c r="J31">
        <v>307.26</v>
      </c>
      <c r="K31">
        <v>212</v>
      </c>
      <c r="L31">
        <v>1.5637099999999999</v>
      </c>
      <c r="M31">
        <v>314.17</v>
      </c>
      <c r="O31">
        <f>E31/B31</f>
        <v>1</v>
      </c>
      <c r="P31">
        <f>H31/B31</f>
        <v>1</v>
      </c>
      <c r="Q31">
        <f>K31/B31</f>
        <v>1</v>
      </c>
    </row>
    <row r="32" spans="1:17" x14ac:dyDescent="0.2">
      <c r="A32">
        <v>27</v>
      </c>
      <c r="B32">
        <v>211</v>
      </c>
      <c r="C32">
        <v>1.66981</v>
      </c>
      <c r="D32">
        <v>313.16000000000003</v>
      </c>
      <c r="E32">
        <v>211</v>
      </c>
      <c r="F32">
        <v>1.66981</v>
      </c>
      <c r="G32">
        <v>299.64999999999998</v>
      </c>
      <c r="H32">
        <v>211</v>
      </c>
      <c r="I32">
        <v>1.66981</v>
      </c>
      <c r="J32">
        <v>299.88</v>
      </c>
      <c r="K32">
        <v>211</v>
      </c>
      <c r="L32">
        <v>1.66981</v>
      </c>
      <c r="M32">
        <v>327.45</v>
      </c>
      <c r="O32">
        <f t="shared" ref="O32:O44" si="3">E32/B32</f>
        <v>1</v>
      </c>
      <c r="P32">
        <f t="shared" ref="P32:P44" si="4">H32/B32</f>
        <v>1</v>
      </c>
      <c r="Q32">
        <f t="shared" ref="Q32:Q44" si="5">K32/B32</f>
        <v>1</v>
      </c>
    </row>
    <row r="33" spans="1:17" x14ac:dyDescent="0.2">
      <c r="A33">
        <v>28</v>
      </c>
      <c r="B33">
        <v>211</v>
      </c>
      <c r="C33">
        <v>1.66981</v>
      </c>
      <c r="D33">
        <v>310.29000000000002</v>
      </c>
      <c r="E33">
        <v>211</v>
      </c>
      <c r="F33">
        <v>1.66981</v>
      </c>
      <c r="G33">
        <v>294.42</v>
      </c>
      <c r="H33">
        <v>211</v>
      </c>
      <c r="I33">
        <v>1.66981</v>
      </c>
      <c r="J33">
        <v>325.85000000000002</v>
      </c>
      <c r="K33">
        <v>211</v>
      </c>
      <c r="L33">
        <v>1.66981</v>
      </c>
      <c r="M33">
        <v>385.03</v>
      </c>
      <c r="O33">
        <f t="shared" si="3"/>
        <v>1</v>
      </c>
      <c r="P33">
        <f t="shared" si="4"/>
        <v>1</v>
      </c>
      <c r="Q33">
        <f t="shared" si="5"/>
        <v>1</v>
      </c>
    </row>
    <row r="34" spans="1:17" x14ac:dyDescent="0.2">
      <c r="A34">
        <v>29</v>
      </c>
      <c r="B34">
        <v>266</v>
      </c>
      <c r="C34">
        <v>1.98437</v>
      </c>
      <c r="D34">
        <v>334.12</v>
      </c>
      <c r="E34">
        <v>266</v>
      </c>
      <c r="F34">
        <v>1.98437</v>
      </c>
      <c r="G34">
        <v>335.83</v>
      </c>
      <c r="H34">
        <v>266</v>
      </c>
      <c r="I34">
        <v>1.98437</v>
      </c>
      <c r="J34">
        <v>372.07</v>
      </c>
      <c r="K34">
        <v>266</v>
      </c>
      <c r="L34">
        <v>1.98437</v>
      </c>
      <c r="M34">
        <v>388.04</v>
      </c>
      <c r="O34">
        <f t="shared" si="3"/>
        <v>1</v>
      </c>
      <c r="P34">
        <f t="shared" si="4"/>
        <v>1</v>
      </c>
      <c r="Q34">
        <f t="shared" si="5"/>
        <v>1</v>
      </c>
    </row>
    <row r="35" spans="1:17" x14ac:dyDescent="0.2">
      <c r="A35">
        <v>30</v>
      </c>
      <c r="B35">
        <v>212</v>
      </c>
      <c r="C35">
        <v>1.2480100000000001</v>
      </c>
      <c r="D35">
        <v>402.79</v>
      </c>
      <c r="E35">
        <v>212</v>
      </c>
      <c r="F35">
        <v>1.2480100000000001</v>
      </c>
      <c r="G35">
        <v>396.95</v>
      </c>
      <c r="H35">
        <v>266</v>
      </c>
      <c r="I35">
        <v>1.1098600000000001</v>
      </c>
      <c r="J35">
        <v>367.29</v>
      </c>
      <c r="K35">
        <v>212</v>
      </c>
      <c r="L35">
        <v>1.2480100000000001</v>
      </c>
      <c r="M35">
        <v>398.06</v>
      </c>
      <c r="O35">
        <f t="shared" si="3"/>
        <v>1</v>
      </c>
      <c r="P35">
        <f t="shared" si="4"/>
        <v>1.2547169811320755</v>
      </c>
      <c r="Q35">
        <f t="shared" si="5"/>
        <v>1</v>
      </c>
    </row>
    <row r="36" spans="1:17" x14ac:dyDescent="0.2">
      <c r="A36">
        <v>31</v>
      </c>
      <c r="B36">
        <v>255</v>
      </c>
      <c r="C36">
        <v>1.9823299999999999</v>
      </c>
      <c r="D36">
        <v>367.48</v>
      </c>
      <c r="E36">
        <v>255</v>
      </c>
      <c r="F36">
        <v>1.9823299999999999</v>
      </c>
      <c r="G36">
        <v>376.32</v>
      </c>
      <c r="H36">
        <v>288</v>
      </c>
      <c r="I36">
        <v>1.0912900000000001</v>
      </c>
      <c r="J36">
        <v>335.5</v>
      </c>
      <c r="K36">
        <v>288</v>
      </c>
      <c r="L36">
        <v>1.0912900000000001</v>
      </c>
      <c r="M36">
        <v>348.33</v>
      </c>
      <c r="O36">
        <f t="shared" si="3"/>
        <v>1</v>
      </c>
      <c r="P36">
        <f t="shared" si="4"/>
        <v>1.1294117647058823</v>
      </c>
      <c r="Q36">
        <f t="shared" si="5"/>
        <v>1.1294117647058823</v>
      </c>
    </row>
    <row r="38" spans="1:17" x14ac:dyDescent="0.2">
      <c r="C38" t="s">
        <v>4</v>
      </c>
      <c r="F38" t="s">
        <v>5</v>
      </c>
      <c r="I38" t="s">
        <v>16</v>
      </c>
      <c r="L38" t="s">
        <v>6</v>
      </c>
      <c r="O38" t="s">
        <v>22</v>
      </c>
    </row>
    <row r="39" spans="1:17" x14ac:dyDescent="0.2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</row>
    <row r="40" spans="1:17" x14ac:dyDescent="0.2">
      <c r="A40" t="s">
        <v>11</v>
      </c>
      <c r="B40" s="1">
        <f>MAX(B5:B36)</f>
        <v>266</v>
      </c>
      <c r="C40" s="1">
        <f t="shared" ref="C40:J40" si="6">MAX(C5:C36)</f>
        <v>1.98437</v>
      </c>
      <c r="D40" s="1">
        <f t="shared" si="6"/>
        <v>655.93</v>
      </c>
      <c r="E40" s="1">
        <f t="shared" si="6"/>
        <v>266</v>
      </c>
      <c r="F40" s="1">
        <f t="shared" si="6"/>
        <v>1.9849600000000001</v>
      </c>
      <c r="G40" s="1">
        <f t="shared" si="6"/>
        <v>467.27</v>
      </c>
      <c r="H40" s="1">
        <f t="shared" si="6"/>
        <v>320</v>
      </c>
      <c r="I40" s="1">
        <f t="shared" si="6"/>
        <v>1.9849600000000001</v>
      </c>
      <c r="J40" s="1">
        <f t="shared" si="6"/>
        <v>403.71</v>
      </c>
      <c r="K40" s="1">
        <f t="shared" ref="K40:P40" si="7">MAX(K5:K36)</f>
        <v>288</v>
      </c>
      <c r="L40" s="1">
        <f t="shared" si="7"/>
        <v>1.9849600000000001</v>
      </c>
      <c r="M40" s="1">
        <f t="shared" si="7"/>
        <v>431.31</v>
      </c>
      <c r="N40" s="1">
        <v>1</v>
      </c>
      <c r="O40" s="1">
        <f t="shared" ref="N40:Q40" si="8">MAX(O5:O36)</f>
        <v>1.1509433962264151</v>
      </c>
      <c r="P40" s="1">
        <f t="shared" si="8"/>
        <v>1.5094339622641511</v>
      </c>
      <c r="Q40" s="1">
        <f t="shared" si="8"/>
        <v>1.225108225108225</v>
      </c>
    </row>
    <row r="41" spans="1:17" x14ac:dyDescent="0.2">
      <c r="A41" t="s">
        <v>12</v>
      </c>
      <c r="B41" s="1">
        <f>MIN(B5:B36)</f>
        <v>211</v>
      </c>
      <c r="C41" s="1">
        <f t="shared" ref="C41:J41" si="9">MIN(C5:C36)</f>
        <v>1</v>
      </c>
      <c r="D41" s="1">
        <f t="shared" si="9"/>
        <v>291.43</v>
      </c>
      <c r="E41" s="1">
        <f t="shared" si="9"/>
        <v>211</v>
      </c>
      <c r="F41" s="1">
        <f t="shared" si="9"/>
        <v>1.00007</v>
      </c>
      <c r="G41" s="1">
        <f t="shared" si="9"/>
        <v>290.25</v>
      </c>
      <c r="H41" s="1">
        <f t="shared" si="9"/>
        <v>211</v>
      </c>
      <c r="I41" s="1">
        <f t="shared" si="9"/>
        <v>1.00007</v>
      </c>
      <c r="J41" s="1">
        <f t="shared" si="9"/>
        <v>290.27</v>
      </c>
      <c r="K41" s="1">
        <f t="shared" ref="K41:P41" si="10">MIN(K5:K36)</f>
        <v>211</v>
      </c>
      <c r="L41" s="1">
        <f t="shared" si="10"/>
        <v>1.00007</v>
      </c>
      <c r="M41" s="1">
        <f t="shared" si="10"/>
        <v>303.89</v>
      </c>
      <c r="N41" s="1">
        <v>1</v>
      </c>
      <c r="O41" s="1">
        <f t="shared" ref="N41:Q41" si="11">MIN(O5:O36)</f>
        <v>1</v>
      </c>
      <c r="P41" s="1">
        <f t="shared" si="11"/>
        <v>1</v>
      </c>
      <c r="Q41" s="1">
        <f t="shared" si="11"/>
        <v>1</v>
      </c>
    </row>
    <row r="42" spans="1:17" x14ac:dyDescent="0.2">
      <c r="A42" t="s">
        <v>13</v>
      </c>
      <c r="B42" s="1">
        <f>MEDIAN(B5:B36)</f>
        <v>212</v>
      </c>
      <c r="C42" s="1">
        <f t="shared" ref="C42:J42" si="12">MEDIAN(C5:C36)</f>
        <v>1.5846750000000001</v>
      </c>
      <c r="D42" s="1">
        <f t="shared" si="12"/>
        <v>328.18499999999995</v>
      </c>
      <c r="E42" s="1">
        <f t="shared" si="12"/>
        <v>212</v>
      </c>
      <c r="F42" s="1">
        <f t="shared" si="12"/>
        <v>1.66981</v>
      </c>
      <c r="G42" s="1">
        <f t="shared" si="12"/>
        <v>327.19</v>
      </c>
      <c r="H42" s="1">
        <f t="shared" si="12"/>
        <v>212</v>
      </c>
      <c r="I42" s="1">
        <f t="shared" si="12"/>
        <v>1.663535</v>
      </c>
      <c r="J42" s="1">
        <f t="shared" si="12"/>
        <v>308.24</v>
      </c>
      <c r="K42" s="1">
        <f t="shared" ref="K42:P42" si="13">MEDIAN(K5:K36)</f>
        <v>212</v>
      </c>
      <c r="L42" s="1">
        <f t="shared" si="13"/>
        <v>1.65726</v>
      </c>
      <c r="M42" s="1">
        <f t="shared" si="13"/>
        <v>330.40999999999997</v>
      </c>
      <c r="N42" s="1">
        <v>1</v>
      </c>
      <c r="O42" s="1">
        <f t="shared" ref="N42:Q42" si="14">MEDIAN(O5:O36)</f>
        <v>1</v>
      </c>
      <c r="P42" s="1">
        <f t="shared" si="14"/>
        <v>1</v>
      </c>
      <c r="Q42" s="1">
        <f t="shared" si="14"/>
        <v>1</v>
      </c>
    </row>
    <row r="43" spans="1:17" x14ac:dyDescent="0.2">
      <c r="A43" t="s">
        <v>14</v>
      </c>
      <c r="B43" s="1">
        <f>AVERAGE(B5:B36)</f>
        <v>215.28125</v>
      </c>
      <c r="C43" s="1">
        <f t="shared" ref="C43:J43" si="15">AVERAGE(C5:C36)</f>
        <v>1.4638815624999997</v>
      </c>
      <c r="D43" s="1">
        <f t="shared" si="15"/>
        <v>346.35531250000003</v>
      </c>
      <c r="E43" s="1">
        <f t="shared" si="15"/>
        <v>217.5625</v>
      </c>
      <c r="F43" s="1">
        <f t="shared" si="15"/>
        <v>1.5235306249999998</v>
      </c>
      <c r="G43" s="1">
        <f t="shared" si="15"/>
        <v>343.03874999999994</v>
      </c>
      <c r="H43" s="1">
        <f t="shared" si="15"/>
        <v>230.03125</v>
      </c>
      <c r="I43" s="1">
        <f t="shared" si="15"/>
        <v>1.6045359374999997</v>
      </c>
      <c r="J43" s="1">
        <f t="shared" si="15"/>
        <v>324.51000000000005</v>
      </c>
      <c r="K43" s="1">
        <f t="shared" ref="K43:P43" si="16">AVERAGE(K5:K36)</f>
        <v>219.53125</v>
      </c>
      <c r="L43" s="1">
        <f t="shared" si="16"/>
        <v>1.5359003124999999</v>
      </c>
      <c r="M43" s="1">
        <f t="shared" si="16"/>
        <v>347.1996875000001</v>
      </c>
      <c r="N43" s="5">
        <v>1</v>
      </c>
      <c r="O43" s="5">
        <f t="shared" ref="N43:Q43" si="17">AVERAGE(O5:O36)</f>
        <v>1.0107724894929804</v>
      </c>
      <c r="P43" s="5">
        <f t="shared" si="17"/>
        <v>1.0681268360628051</v>
      </c>
      <c r="Q43" s="5">
        <f t="shared" si="17"/>
        <v>1.0185985341760126</v>
      </c>
    </row>
    <row r="44" spans="1:17" x14ac:dyDescent="0.2">
      <c r="A44" t="s">
        <v>15</v>
      </c>
      <c r="B44" s="1">
        <f>STDEV(B5:B36)</f>
        <v>12.433654576552795</v>
      </c>
      <c r="C44" s="1">
        <f t="shared" ref="C44:J44" si="18">STDEV(C5:C36)</f>
        <v>0.33821276965180574</v>
      </c>
      <c r="D44" s="1">
        <f t="shared" si="18"/>
        <v>65.411527887248809</v>
      </c>
      <c r="E44" s="1">
        <f t="shared" si="18"/>
        <v>13.877197588246187</v>
      </c>
      <c r="F44" s="1">
        <f t="shared" si="18"/>
        <v>0.34912889057174251</v>
      </c>
      <c r="G44" s="1">
        <f t="shared" si="18"/>
        <v>48.722600223927998</v>
      </c>
      <c r="H44" s="1">
        <f t="shared" si="18"/>
        <v>31.315753404481946</v>
      </c>
      <c r="I44" s="1">
        <f t="shared" si="18"/>
        <v>0.26946043655806207</v>
      </c>
      <c r="J44" s="1">
        <f t="shared" si="18"/>
        <v>32.910927099986793</v>
      </c>
      <c r="K44" s="1">
        <f t="shared" ref="K44:P44" si="19">STDEV(K5:K36)</f>
        <v>20.413443348804208</v>
      </c>
      <c r="L44" s="1">
        <f t="shared" si="19"/>
        <v>0.28110183121567056</v>
      </c>
      <c r="M44" s="1">
        <f t="shared" si="19"/>
        <v>39.769852862102915</v>
      </c>
      <c r="N44" s="1">
        <v>1</v>
      </c>
      <c r="O44" s="1">
        <f t="shared" ref="N44:Q44" si="20">STDEV(O5:O36)</f>
        <v>3.4854039158480503E-2</v>
      </c>
      <c r="P44" s="1">
        <f t="shared" si="20"/>
        <v>0.12965706476637301</v>
      </c>
      <c r="Q44" s="1">
        <f t="shared" si="20"/>
        <v>5.0318802471556061E-2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G33"/>
  <sheetViews>
    <sheetView tabSelected="1" workbookViewId="0">
      <selection activeCell="B16" sqref="B16"/>
    </sheetView>
  </sheetViews>
  <sheetFormatPr baseColWidth="10" defaultRowHeight="16" x14ac:dyDescent="0.2"/>
  <cols>
    <col min="1" max="1" width="17.33203125" bestFit="1" customWidth="1"/>
    <col min="2" max="2" width="17.33203125" customWidth="1"/>
    <col min="3" max="3" width="18" bestFit="1" customWidth="1"/>
    <col min="4" max="4" width="17.6640625" bestFit="1" customWidth="1"/>
    <col min="5" max="5" width="17.1640625" bestFit="1" customWidth="1"/>
    <col min="6" max="6" width="9.1640625" bestFit="1" customWidth="1"/>
    <col min="7" max="7" width="12.1640625" bestFit="1" customWidth="1"/>
    <col min="8" max="8" width="11.5" bestFit="1" customWidth="1"/>
    <col min="9" max="9" width="6.83203125" customWidth="1"/>
    <col min="10" max="10" width="11.1640625" bestFit="1" customWidth="1"/>
    <col min="11" max="11" width="12.1640625" bestFit="1" customWidth="1"/>
    <col min="12" max="12" width="20.1640625" bestFit="1" customWidth="1"/>
    <col min="13" max="13" width="6.83203125" bestFit="1" customWidth="1"/>
    <col min="14" max="14" width="12.5" bestFit="1" customWidth="1"/>
    <col min="15" max="19" width="12.1640625" bestFit="1" customWidth="1"/>
    <col min="20" max="23" width="6.83203125" customWidth="1"/>
    <col min="24" max="24" width="12.5" bestFit="1" customWidth="1"/>
    <col min="25" max="29" width="12.1640625" bestFit="1" customWidth="1"/>
    <col min="30" max="33" width="6.83203125" customWidth="1"/>
    <col min="35" max="35" width="9.1640625" bestFit="1" customWidth="1"/>
  </cols>
  <sheetData>
    <row r="1" spans="1:9" x14ac:dyDescent="0.2">
      <c r="A1" t="s">
        <v>23</v>
      </c>
      <c r="B1" t="s">
        <v>18</v>
      </c>
      <c r="C1" t="s">
        <v>19</v>
      </c>
      <c r="D1" t="s">
        <v>20</v>
      </c>
      <c r="E1" t="s">
        <v>21</v>
      </c>
    </row>
    <row r="2" spans="1:9" x14ac:dyDescent="0.2">
      <c r="A2" t="s">
        <v>24</v>
      </c>
      <c r="B2" s="2">
        <v>1</v>
      </c>
      <c r="C2" s="1">
        <v>1.0107724894929804</v>
      </c>
      <c r="D2" s="1">
        <v>1.0681268360628051</v>
      </c>
      <c r="E2">
        <v>1.0185985341760126</v>
      </c>
    </row>
    <row r="3" spans="1:9" x14ac:dyDescent="0.2">
      <c r="A3" t="s">
        <v>25</v>
      </c>
      <c r="B3" s="2">
        <v>1</v>
      </c>
      <c r="C3" s="2"/>
      <c r="D3" s="1"/>
      <c r="E3" s="1"/>
    </row>
    <row r="4" spans="1:9" x14ac:dyDescent="0.2">
      <c r="A4" t="s">
        <v>26</v>
      </c>
      <c r="B4" s="2">
        <v>1</v>
      </c>
      <c r="C4" s="2"/>
      <c r="D4" s="1"/>
      <c r="E4" s="1"/>
    </row>
    <row r="5" spans="1:9" x14ac:dyDescent="0.2">
      <c r="A5" t="s">
        <v>27</v>
      </c>
      <c r="B5" s="2">
        <v>1</v>
      </c>
      <c r="C5" s="2"/>
      <c r="D5" s="1"/>
      <c r="E5" s="1"/>
      <c r="F5" s="1"/>
      <c r="G5" s="1"/>
      <c r="H5" s="1"/>
      <c r="I5" s="1"/>
    </row>
    <row r="6" spans="1:9" x14ac:dyDescent="0.2">
      <c r="A6" t="s">
        <v>28</v>
      </c>
      <c r="B6" s="2">
        <v>1</v>
      </c>
      <c r="C6" s="2"/>
      <c r="D6" s="1"/>
      <c r="E6" s="1"/>
      <c r="F6" s="1"/>
      <c r="G6" s="1"/>
      <c r="H6" s="1"/>
      <c r="I6" s="1"/>
    </row>
    <row r="7" spans="1:9" x14ac:dyDescent="0.2">
      <c r="A7" t="s">
        <v>29</v>
      </c>
      <c r="B7" s="2">
        <v>1</v>
      </c>
      <c r="C7" s="2"/>
      <c r="D7" s="1"/>
      <c r="E7" s="1"/>
      <c r="F7" s="1"/>
      <c r="G7" s="1"/>
      <c r="H7" s="1"/>
      <c r="I7" s="1"/>
    </row>
    <row r="8" spans="1:9" x14ac:dyDescent="0.2">
      <c r="A8" t="s">
        <v>30</v>
      </c>
      <c r="B8" s="2">
        <v>1</v>
      </c>
      <c r="C8" s="2"/>
      <c r="D8" s="1"/>
      <c r="E8" s="1"/>
      <c r="F8" s="1"/>
      <c r="G8" s="1"/>
      <c r="H8" s="1"/>
      <c r="I8" s="1"/>
    </row>
    <row r="9" spans="1:9" x14ac:dyDescent="0.2">
      <c r="C9" s="2"/>
      <c r="D9" s="1"/>
      <c r="E9" s="1"/>
      <c r="F9" s="1"/>
      <c r="G9" s="1"/>
      <c r="H9" s="1"/>
      <c r="I9" s="1"/>
    </row>
    <row r="10" spans="1:9" x14ac:dyDescent="0.2">
      <c r="C10" s="2"/>
      <c r="D10" s="1"/>
      <c r="E10" s="1"/>
      <c r="F10" s="1"/>
      <c r="G10" s="1"/>
      <c r="H10" s="1"/>
      <c r="I10" s="1"/>
    </row>
    <row r="11" spans="1:9" x14ac:dyDescent="0.2">
      <c r="C11" s="2"/>
      <c r="D11" s="1"/>
      <c r="E11" s="1"/>
      <c r="F11" s="1"/>
      <c r="G11" s="1"/>
      <c r="H11" s="1"/>
      <c r="I11" s="1"/>
    </row>
    <row r="12" spans="1:9" x14ac:dyDescent="0.2">
      <c r="C12" s="2"/>
      <c r="D12" s="1"/>
      <c r="E12" s="1"/>
      <c r="F12" s="1"/>
      <c r="G12" s="1"/>
      <c r="H12" s="1"/>
      <c r="I12" s="1"/>
    </row>
    <row r="13" spans="1:9" x14ac:dyDescent="0.2">
      <c r="C13" s="2"/>
      <c r="D13" s="1"/>
      <c r="E13" s="1"/>
      <c r="F13" s="1"/>
      <c r="G13" s="1"/>
      <c r="H13" s="1"/>
      <c r="I13" s="1"/>
    </row>
    <row r="14" spans="1:9" x14ac:dyDescent="0.2">
      <c r="C14" s="2"/>
      <c r="D14" s="1"/>
      <c r="E14" s="1"/>
      <c r="F14" s="1"/>
      <c r="G14" s="1"/>
      <c r="H14" s="1"/>
      <c r="I14" s="1"/>
    </row>
    <row r="28" spans="1:33" x14ac:dyDescent="0.2">
      <c r="D28" s="4"/>
      <c r="E28" s="4"/>
      <c r="F28" s="3"/>
      <c r="G28" s="3"/>
      <c r="H28" s="3"/>
      <c r="I28" s="3"/>
    </row>
    <row r="29" spans="1:33" x14ac:dyDescent="0.2">
      <c r="A29" s="2"/>
      <c r="B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</row>
    <row r="30" spans="1:33" x14ac:dyDescent="0.2">
      <c r="A30" s="2"/>
      <c r="B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3" x14ac:dyDescent="0.2">
      <c r="A31" s="2"/>
      <c r="B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</row>
    <row r="32" spans="1:33" x14ac:dyDescent="0.2">
      <c r="A32" s="2"/>
      <c r="B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</row>
    <row r="33" spans="1:33" x14ac:dyDescent="0.2">
      <c r="A33" s="2"/>
      <c r="B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</row>
  </sheetData>
  <mergeCells count="1">
    <mergeCell ref="D28:E28"/>
  </mergeCells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Zhu, Qixin</cp:lastModifiedBy>
  <dcterms:created xsi:type="dcterms:W3CDTF">2017-12-14T21:33:10Z</dcterms:created>
  <dcterms:modified xsi:type="dcterms:W3CDTF">2018-05-07T21:24:49Z</dcterms:modified>
</cp:coreProperties>
</file>