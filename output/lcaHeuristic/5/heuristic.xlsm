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lcaHeuristic/5/"/>
    </mc:Choice>
  </mc:AlternateContent>
  <xr:revisionPtr revIDLastSave="0" documentId="13_ncr:1_{52F346DF-FD7E-D148-A124-A92306DAB3C9}" xr6:coauthVersionLast="32" xr6:coauthVersionMax="32" xr10:uidLastSave="{00000000-0000-0000-0000-000000000000}"/>
  <bookViews>
    <workbookView xWindow="880" yWindow="460" windowWidth="21800" windowHeight="13940" tabRatio="500" activeTab="7" xr2:uid="{00000000-000D-0000-FFFF-FFFF00000000}"/>
  </bookViews>
  <sheets>
    <sheet name="grids" sheetId="1" r:id="rId1"/>
    <sheet name="sphere_c" sheetId="9" r:id="rId2"/>
    <sheet name="sphere_t" sheetId="10" r:id="rId3"/>
    <sheet name="cylinder_r" sheetId="11" r:id="rId4"/>
    <sheet name="cylinder_s" sheetId="12" r:id="rId5"/>
    <sheet name="cylinder_a" sheetId="13" r:id="rId6"/>
    <sheet name="random" sheetId="8" r:id="rId7"/>
    <sheet name="Summary" sheetId="6" r:id="rId8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4" i="13" l="1"/>
  <c r="L44" i="13"/>
  <c r="K44" i="13"/>
  <c r="J44" i="13"/>
  <c r="I44" i="13"/>
  <c r="H44" i="13"/>
  <c r="G44" i="13"/>
  <c r="F44" i="13"/>
  <c r="E44" i="13"/>
  <c r="D44" i="13"/>
  <c r="C44" i="13"/>
  <c r="B44" i="13"/>
  <c r="M43" i="13"/>
  <c r="L43" i="13"/>
  <c r="K43" i="13"/>
  <c r="J43" i="13"/>
  <c r="I43" i="13"/>
  <c r="H43" i="13"/>
  <c r="G43" i="13"/>
  <c r="F43" i="13"/>
  <c r="E43" i="13"/>
  <c r="D43" i="13"/>
  <c r="C43" i="13"/>
  <c r="B43" i="13"/>
  <c r="M42" i="13"/>
  <c r="L42" i="13"/>
  <c r="K42" i="13"/>
  <c r="J42" i="13"/>
  <c r="I42" i="13"/>
  <c r="H42" i="13"/>
  <c r="G42" i="13"/>
  <c r="F42" i="13"/>
  <c r="E42" i="13"/>
  <c r="D42" i="13"/>
  <c r="C42" i="13"/>
  <c r="B42" i="13"/>
  <c r="M41" i="13"/>
  <c r="L41" i="13"/>
  <c r="K41" i="13"/>
  <c r="J41" i="13"/>
  <c r="I41" i="13"/>
  <c r="H41" i="13"/>
  <c r="G41" i="13"/>
  <c r="F41" i="13"/>
  <c r="E41" i="13"/>
  <c r="D41" i="13"/>
  <c r="C41" i="13"/>
  <c r="B41" i="13"/>
  <c r="M40" i="13"/>
  <c r="L40" i="13"/>
  <c r="K40" i="13"/>
  <c r="J40" i="13"/>
  <c r="I40" i="13"/>
  <c r="H40" i="13"/>
  <c r="G40" i="13"/>
  <c r="F40" i="13"/>
  <c r="E40" i="13"/>
  <c r="D40" i="13"/>
  <c r="C40" i="13"/>
  <c r="B40" i="13"/>
  <c r="Q36" i="13"/>
  <c r="P36" i="13"/>
  <c r="O36" i="13"/>
  <c r="Q35" i="13"/>
  <c r="P35" i="13"/>
  <c r="O35" i="13"/>
  <c r="Q34" i="13"/>
  <c r="P34" i="13"/>
  <c r="O34" i="13"/>
  <c r="Q33" i="13"/>
  <c r="P33" i="13"/>
  <c r="O33" i="13"/>
  <c r="Q32" i="13"/>
  <c r="P32" i="13"/>
  <c r="O32" i="13"/>
  <c r="Q31" i="13"/>
  <c r="P31" i="13"/>
  <c r="O31" i="13"/>
  <c r="Q30" i="13"/>
  <c r="P30" i="13"/>
  <c r="O30" i="13"/>
  <c r="Q29" i="13"/>
  <c r="P29" i="13"/>
  <c r="O29" i="13"/>
  <c r="Q28" i="13"/>
  <c r="P28" i="13"/>
  <c r="O28" i="13"/>
  <c r="Q27" i="13"/>
  <c r="P27" i="13"/>
  <c r="O27" i="13"/>
  <c r="Q26" i="13"/>
  <c r="P26" i="13"/>
  <c r="O26" i="13"/>
  <c r="Q25" i="13"/>
  <c r="P25" i="13"/>
  <c r="O25" i="13"/>
  <c r="Q24" i="13"/>
  <c r="P24" i="13"/>
  <c r="O24" i="13"/>
  <c r="Q23" i="13"/>
  <c r="P23" i="13"/>
  <c r="O23" i="13"/>
  <c r="Q22" i="13"/>
  <c r="P22" i="13"/>
  <c r="O22" i="13"/>
  <c r="Q21" i="13"/>
  <c r="P21" i="13"/>
  <c r="O21" i="13"/>
  <c r="Q20" i="13"/>
  <c r="P20" i="13"/>
  <c r="O20" i="13"/>
  <c r="Q19" i="13"/>
  <c r="P19" i="13"/>
  <c r="O19" i="13"/>
  <c r="Q18" i="13"/>
  <c r="P18" i="13"/>
  <c r="O18" i="13"/>
  <c r="Q17" i="13"/>
  <c r="P17" i="13"/>
  <c r="O17" i="13"/>
  <c r="Q16" i="13"/>
  <c r="P16" i="13"/>
  <c r="O16" i="13"/>
  <c r="Q15" i="13"/>
  <c r="P15" i="13"/>
  <c r="O15" i="13"/>
  <c r="Q14" i="13"/>
  <c r="P14" i="13"/>
  <c r="O14" i="13"/>
  <c r="Q13" i="13"/>
  <c r="P13" i="13"/>
  <c r="O13" i="13"/>
  <c r="Q12" i="13"/>
  <c r="P12" i="13"/>
  <c r="O12" i="13"/>
  <c r="Q11" i="13"/>
  <c r="P11" i="13"/>
  <c r="O11" i="13"/>
  <c r="Q10" i="13"/>
  <c r="P10" i="13"/>
  <c r="O10" i="13"/>
  <c r="Q9" i="13"/>
  <c r="P9" i="13"/>
  <c r="O9" i="13"/>
  <c r="Q8" i="13"/>
  <c r="P8" i="13"/>
  <c r="O8" i="13"/>
  <c r="Q7" i="13"/>
  <c r="P7" i="13"/>
  <c r="O7" i="13"/>
  <c r="Q6" i="13"/>
  <c r="P6" i="13"/>
  <c r="P42" i="13" s="1"/>
  <c r="O6" i="13"/>
  <c r="Q5" i="13"/>
  <c r="P5" i="13"/>
  <c r="O5" i="13"/>
  <c r="O42" i="13" s="1"/>
  <c r="M44" i="12"/>
  <c r="L44" i="12"/>
  <c r="K44" i="12"/>
  <c r="J44" i="12"/>
  <c r="I44" i="12"/>
  <c r="H44" i="12"/>
  <c r="G44" i="12"/>
  <c r="F44" i="12"/>
  <c r="E44" i="12"/>
  <c r="D44" i="12"/>
  <c r="C44" i="12"/>
  <c r="B44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Q36" i="12"/>
  <c r="P36" i="12"/>
  <c r="O36" i="12"/>
  <c r="Q35" i="12"/>
  <c r="P35" i="12"/>
  <c r="O35" i="12"/>
  <c r="Q34" i="12"/>
  <c r="P34" i="12"/>
  <c r="O34" i="12"/>
  <c r="Q33" i="12"/>
  <c r="P33" i="12"/>
  <c r="O33" i="12"/>
  <c r="Q32" i="12"/>
  <c r="P32" i="12"/>
  <c r="O32" i="12"/>
  <c r="Q31" i="12"/>
  <c r="P31" i="12"/>
  <c r="O31" i="12"/>
  <c r="Q30" i="12"/>
  <c r="P30" i="12"/>
  <c r="O30" i="12"/>
  <c r="Q29" i="12"/>
  <c r="P29" i="12"/>
  <c r="O29" i="12"/>
  <c r="Q28" i="12"/>
  <c r="P28" i="12"/>
  <c r="O28" i="12"/>
  <c r="Q27" i="12"/>
  <c r="P27" i="12"/>
  <c r="O27" i="12"/>
  <c r="Q26" i="12"/>
  <c r="P26" i="12"/>
  <c r="O26" i="12"/>
  <c r="Q25" i="12"/>
  <c r="P25" i="12"/>
  <c r="O25" i="12"/>
  <c r="Q24" i="12"/>
  <c r="P24" i="12"/>
  <c r="O24" i="12"/>
  <c r="Q23" i="12"/>
  <c r="P23" i="12"/>
  <c r="O23" i="12"/>
  <c r="Q22" i="12"/>
  <c r="P22" i="12"/>
  <c r="O22" i="12"/>
  <c r="Q21" i="12"/>
  <c r="P21" i="12"/>
  <c r="O21" i="12"/>
  <c r="Q20" i="12"/>
  <c r="P20" i="12"/>
  <c r="O20" i="12"/>
  <c r="Q19" i="12"/>
  <c r="P19" i="12"/>
  <c r="O19" i="12"/>
  <c r="Q18" i="12"/>
  <c r="P18" i="12"/>
  <c r="O18" i="12"/>
  <c r="Q17" i="12"/>
  <c r="P17" i="12"/>
  <c r="O17" i="12"/>
  <c r="Q16" i="12"/>
  <c r="P16" i="12"/>
  <c r="O16" i="12"/>
  <c r="Q15" i="12"/>
  <c r="P15" i="12"/>
  <c r="O15" i="12"/>
  <c r="Q14" i="12"/>
  <c r="P14" i="12"/>
  <c r="O14" i="12"/>
  <c r="Q13" i="12"/>
  <c r="P13" i="12"/>
  <c r="O13" i="12"/>
  <c r="Q12" i="12"/>
  <c r="P12" i="12"/>
  <c r="O12" i="12"/>
  <c r="Q11" i="12"/>
  <c r="P11" i="12"/>
  <c r="O11" i="12"/>
  <c r="Q10" i="12"/>
  <c r="P10" i="12"/>
  <c r="O10" i="12"/>
  <c r="Q9" i="12"/>
  <c r="P9" i="12"/>
  <c r="O9" i="12"/>
  <c r="Q8" i="12"/>
  <c r="P8" i="12"/>
  <c r="O8" i="12"/>
  <c r="Q7" i="12"/>
  <c r="P7" i="12"/>
  <c r="O7" i="12"/>
  <c r="Q6" i="12"/>
  <c r="P6" i="12"/>
  <c r="O6" i="12"/>
  <c r="Q5" i="12"/>
  <c r="P5" i="12"/>
  <c r="O5" i="12"/>
  <c r="O42" i="12" s="1"/>
  <c r="M44" i="11"/>
  <c r="L44" i="11"/>
  <c r="K44" i="11"/>
  <c r="J44" i="11"/>
  <c r="I44" i="11"/>
  <c r="H44" i="11"/>
  <c r="G44" i="11"/>
  <c r="F44" i="11"/>
  <c r="E44" i="11"/>
  <c r="D44" i="11"/>
  <c r="C44" i="11"/>
  <c r="B44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Q36" i="11"/>
  <c r="P36" i="11"/>
  <c r="O36" i="11"/>
  <c r="Q35" i="11"/>
  <c r="P35" i="11"/>
  <c r="O35" i="11"/>
  <c r="Q34" i="11"/>
  <c r="P34" i="11"/>
  <c r="O34" i="11"/>
  <c r="Q33" i="11"/>
  <c r="P33" i="11"/>
  <c r="O33" i="11"/>
  <c r="Q32" i="11"/>
  <c r="P32" i="11"/>
  <c r="O32" i="11"/>
  <c r="Q31" i="11"/>
  <c r="P31" i="11"/>
  <c r="O31" i="11"/>
  <c r="Q30" i="11"/>
  <c r="P30" i="11"/>
  <c r="O30" i="11"/>
  <c r="Q29" i="11"/>
  <c r="P29" i="11"/>
  <c r="O29" i="11"/>
  <c r="Q28" i="11"/>
  <c r="P28" i="11"/>
  <c r="O28" i="11"/>
  <c r="Q27" i="11"/>
  <c r="P27" i="11"/>
  <c r="O27" i="11"/>
  <c r="Q26" i="11"/>
  <c r="P26" i="11"/>
  <c r="O26" i="11"/>
  <c r="Q25" i="11"/>
  <c r="P25" i="11"/>
  <c r="O25" i="11"/>
  <c r="Q24" i="11"/>
  <c r="P24" i="11"/>
  <c r="O24" i="11"/>
  <c r="Q23" i="11"/>
  <c r="P23" i="11"/>
  <c r="O23" i="11"/>
  <c r="Q22" i="11"/>
  <c r="P22" i="11"/>
  <c r="O22" i="11"/>
  <c r="Q21" i="11"/>
  <c r="P21" i="11"/>
  <c r="O21" i="11"/>
  <c r="Q20" i="11"/>
  <c r="P20" i="11"/>
  <c r="O20" i="11"/>
  <c r="Q19" i="11"/>
  <c r="P19" i="11"/>
  <c r="O19" i="11"/>
  <c r="Q18" i="11"/>
  <c r="P18" i="11"/>
  <c r="O18" i="11"/>
  <c r="Q17" i="11"/>
  <c r="P17" i="11"/>
  <c r="O17" i="11"/>
  <c r="Q16" i="11"/>
  <c r="P16" i="11"/>
  <c r="O16" i="11"/>
  <c r="Q15" i="11"/>
  <c r="P15" i="11"/>
  <c r="O15" i="11"/>
  <c r="Q14" i="11"/>
  <c r="P14" i="11"/>
  <c r="O14" i="11"/>
  <c r="Q13" i="11"/>
  <c r="P13" i="11"/>
  <c r="O13" i="11"/>
  <c r="Q12" i="11"/>
  <c r="P12" i="11"/>
  <c r="O12" i="11"/>
  <c r="Q11" i="11"/>
  <c r="P11" i="11"/>
  <c r="O11" i="11"/>
  <c r="Q10" i="11"/>
  <c r="P10" i="11"/>
  <c r="O10" i="11"/>
  <c r="Q9" i="11"/>
  <c r="P9" i="11"/>
  <c r="O9" i="11"/>
  <c r="Q8" i="11"/>
  <c r="P8" i="11"/>
  <c r="O8" i="11"/>
  <c r="Q7" i="11"/>
  <c r="P7" i="11"/>
  <c r="O7" i="11"/>
  <c r="Q6" i="11"/>
  <c r="P6" i="11"/>
  <c r="O6" i="11"/>
  <c r="Q5" i="11"/>
  <c r="P5" i="11"/>
  <c r="O5" i="11"/>
  <c r="O42" i="11" s="1"/>
  <c r="M44" i="10"/>
  <c r="L44" i="10"/>
  <c r="K44" i="10"/>
  <c r="J44" i="10"/>
  <c r="I44" i="10"/>
  <c r="H44" i="10"/>
  <c r="G44" i="10"/>
  <c r="F44" i="10"/>
  <c r="E44" i="10"/>
  <c r="D44" i="10"/>
  <c r="C44" i="10"/>
  <c r="B44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Q36" i="10"/>
  <c r="P36" i="10"/>
  <c r="O36" i="10"/>
  <c r="Q35" i="10"/>
  <c r="P35" i="10"/>
  <c r="O35" i="10"/>
  <c r="Q34" i="10"/>
  <c r="P34" i="10"/>
  <c r="O34" i="10"/>
  <c r="Q33" i="10"/>
  <c r="P33" i="10"/>
  <c r="O33" i="10"/>
  <c r="Q32" i="10"/>
  <c r="P32" i="10"/>
  <c r="O32" i="10"/>
  <c r="Q31" i="10"/>
  <c r="P31" i="10"/>
  <c r="O31" i="10"/>
  <c r="Q30" i="10"/>
  <c r="P30" i="10"/>
  <c r="O30" i="10"/>
  <c r="Q29" i="10"/>
  <c r="P29" i="10"/>
  <c r="O29" i="10"/>
  <c r="Q28" i="10"/>
  <c r="P28" i="10"/>
  <c r="O28" i="10"/>
  <c r="Q27" i="10"/>
  <c r="P27" i="10"/>
  <c r="O27" i="10"/>
  <c r="Q26" i="10"/>
  <c r="P26" i="10"/>
  <c r="O26" i="10"/>
  <c r="Q25" i="10"/>
  <c r="P25" i="10"/>
  <c r="O25" i="10"/>
  <c r="Q24" i="10"/>
  <c r="P24" i="10"/>
  <c r="O24" i="10"/>
  <c r="Q23" i="10"/>
  <c r="P23" i="10"/>
  <c r="O23" i="10"/>
  <c r="Q22" i="10"/>
  <c r="P22" i="10"/>
  <c r="O22" i="10"/>
  <c r="Q21" i="10"/>
  <c r="P21" i="10"/>
  <c r="O21" i="10"/>
  <c r="Q20" i="10"/>
  <c r="P20" i="10"/>
  <c r="O20" i="10"/>
  <c r="Q19" i="10"/>
  <c r="P19" i="10"/>
  <c r="O19" i="10"/>
  <c r="Q18" i="10"/>
  <c r="P18" i="10"/>
  <c r="O18" i="10"/>
  <c r="Q17" i="10"/>
  <c r="P17" i="10"/>
  <c r="O17" i="10"/>
  <c r="Q16" i="10"/>
  <c r="P16" i="10"/>
  <c r="O16" i="10"/>
  <c r="Q15" i="10"/>
  <c r="P15" i="10"/>
  <c r="O15" i="10"/>
  <c r="Q14" i="10"/>
  <c r="P14" i="10"/>
  <c r="O14" i="10"/>
  <c r="Q13" i="10"/>
  <c r="P13" i="10"/>
  <c r="O13" i="10"/>
  <c r="Q12" i="10"/>
  <c r="P12" i="10"/>
  <c r="O12" i="10"/>
  <c r="Q11" i="10"/>
  <c r="P11" i="10"/>
  <c r="O11" i="10"/>
  <c r="Q10" i="10"/>
  <c r="P10" i="10"/>
  <c r="O10" i="10"/>
  <c r="Q9" i="10"/>
  <c r="P9" i="10"/>
  <c r="O9" i="10"/>
  <c r="Q8" i="10"/>
  <c r="P8" i="10"/>
  <c r="O8" i="10"/>
  <c r="Q7" i="10"/>
  <c r="P7" i="10"/>
  <c r="O7" i="10"/>
  <c r="Q6" i="10"/>
  <c r="P6" i="10"/>
  <c r="O6" i="10"/>
  <c r="Q5" i="10"/>
  <c r="P5" i="10"/>
  <c r="O5" i="10"/>
  <c r="O42" i="10" s="1"/>
  <c r="M44" i="9"/>
  <c r="L44" i="9"/>
  <c r="K44" i="9"/>
  <c r="J44" i="9"/>
  <c r="I44" i="9"/>
  <c r="H44" i="9"/>
  <c r="G44" i="9"/>
  <c r="F44" i="9"/>
  <c r="E44" i="9"/>
  <c r="D44" i="9"/>
  <c r="C44" i="9"/>
  <c r="B44" i="9"/>
  <c r="M43" i="9"/>
  <c r="L43" i="9"/>
  <c r="K43" i="9"/>
  <c r="J43" i="9"/>
  <c r="I43" i="9"/>
  <c r="H43" i="9"/>
  <c r="G43" i="9"/>
  <c r="F43" i="9"/>
  <c r="E43" i="9"/>
  <c r="D43" i="9"/>
  <c r="C43" i="9"/>
  <c r="B43" i="9"/>
  <c r="M42" i="9"/>
  <c r="L42" i="9"/>
  <c r="K42" i="9"/>
  <c r="J42" i="9"/>
  <c r="I42" i="9"/>
  <c r="H42" i="9"/>
  <c r="G42" i="9"/>
  <c r="F42" i="9"/>
  <c r="E42" i="9"/>
  <c r="D42" i="9"/>
  <c r="C42" i="9"/>
  <c r="B42" i="9"/>
  <c r="M41" i="9"/>
  <c r="L41" i="9"/>
  <c r="K41" i="9"/>
  <c r="J41" i="9"/>
  <c r="I41" i="9"/>
  <c r="H41" i="9"/>
  <c r="G41" i="9"/>
  <c r="F41" i="9"/>
  <c r="E41" i="9"/>
  <c r="D41" i="9"/>
  <c r="C41" i="9"/>
  <c r="B41" i="9"/>
  <c r="M40" i="9"/>
  <c r="L40" i="9"/>
  <c r="K40" i="9"/>
  <c r="J40" i="9"/>
  <c r="I40" i="9"/>
  <c r="H40" i="9"/>
  <c r="G40" i="9"/>
  <c r="F40" i="9"/>
  <c r="E40" i="9"/>
  <c r="D40" i="9"/>
  <c r="C40" i="9"/>
  <c r="B40" i="9"/>
  <c r="Q36" i="9"/>
  <c r="P36" i="9"/>
  <c r="O36" i="9"/>
  <c r="Q35" i="9"/>
  <c r="P35" i="9"/>
  <c r="O35" i="9"/>
  <c r="Q34" i="9"/>
  <c r="P34" i="9"/>
  <c r="O34" i="9"/>
  <c r="Q33" i="9"/>
  <c r="P33" i="9"/>
  <c r="O33" i="9"/>
  <c r="Q32" i="9"/>
  <c r="P32" i="9"/>
  <c r="O32" i="9"/>
  <c r="Q31" i="9"/>
  <c r="P31" i="9"/>
  <c r="O31" i="9"/>
  <c r="Q30" i="9"/>
  <c r="P30" i="9"/>
  <c r="O30" i="9"/>
  <c r="Q29" i="9"/>
  <c r="P29" i="9"/>
  <c r="O29" i="9"/>
  <c r="Q28" i="9"/>
  <c r="P28" i="9"/>
  <c r="O28" i="9"/>
  <c r="Q27" i="9"/>
  <c r="P27" i="9"/>
  <c r="O27" i="9"/>
  <c r="Q26" i="9"/>
  <c r="P26" i="9"/>
  <c r="O26" i="9"/>
  <c r="Q25" i="9"/>
  <c r="P25" i="9"/>
  <c r="O25" i="9"/>
  <c r="Q24" i="9"/>
  <c r="P24" i="9"/>
  <c r="O24" i="9"/>
  <c r="Q23" i="9"/>
  <c r="P23" i="9"/>
  <c r="O23" i="9"/>
  <c r="Q22" i="9"/>
  <c r="P22" i="9"/>
  <c r="O22" i="9"/>
  <c r="Q21" i="9"/>
  <c r="P21" i="9"/>
  <c r="O21" i="9"/>
  <c r="Q20" i="9"/>
  <c r="P20" i="9"/>
  <c r="O20" i="9"/>
  <c r="Q19" i="9"/>
  <c r="P19" i="9"/>
  <c r="O19" i="9"/>
  <c r="Q18" i="9"/>
  <c r="P18" i="9"/>
  <c r="O18" i="9"/>
  <c r="Q17" i="9"/>
  <c r="P17" i="9"/>
  <c r="O17" i="9"/>
  <c r="Q16" i="9"/>
  <c r="P16" i="9"/>
  <c r="O16" i="9"/>
  <c r="Q15" i="9"/>
  <c r="P15" i="9"/>
  <c r="O15" i="9"/>
  <c r="Q14" i="9"/>
  <c r="P14" i="9"/>
  <c r="O14" i="9"/>
  <c r="Q13" i="9"/>
  <c r="P13" i="9"/>
  <c r="O13" i="9"/>
  <c r="Q12" i="9"/>
  <c r="P12" i="9"/>
  <c r="O12" i="9"/>
  <c r="Q11" i="9"/>
  <c r="P11" i="9"/>
  <c r="O11" i="9"/>
  <c r="Q10" i="9"/>
  <c r="P10" i="9"/>
  <c r="O10" i="9"/>
  <c r="Q9" i="9"/>
  <c r="P9" i="9"/>
  <c r="O9" i="9"/>
  <c r="Q8" i="9"/>
  <c r="P8" i="9"/>
  <c r="O8" i="9"/>
  <c r="Q7" i="9"/>
  <c r="P7" i="9"/>
  <c r="O7" i="9"/>
  <c r="Q6" i="9"/>
  <c r="P6" i="9"/>
  <c r="O6" i="9"/>
  <c r="Q5" i="9"/>
  <c r="P5" i="9"/>
  <c r="O5" i="9"/>
  <c r="P43" i="13" l="1"/>
  <c r="Q44" i="13"/>
  <c r="O41" i="13"/>
  <c r="Q43" i="13"/>
  <c r="O40" i="13"/>
  <c r="P41" i="13"/>
  <c r="Q42" i="13"/>
  <c r="O44" i="13"/>
  <c r="P40" i="13"/>
  <c r="Q41" i="13"/>
  <c r="O43" i="13"/>
  <c r="P44" i="13"/>
  <c r="Q40" i="13"/>
  <c r="Q41" i="12"/>
  <c r="P43" i="12"/>
  <c r="Q44" i="12"/>
  <c r="O41" i="12"/>
  <c r="P42" i="12"/>
  <c r="Q43" i="12"/>
  <c r="O40" i="12"/>
  <c r="P41" i="12"/>
  <c r="Q42" i="12"/>
  <c r="O44" i="12"/>
  <c r="P40" i="12"/>
  <c r="O43" i="12"/>
  <c r="P44" i="12"/>
  <c r="Q40" i="12"/>
  <c r="P43" i="11"/>
  <c r="Q44" i="11"/>
  <c r="O41" i="11"/>
  <c r="P42" i="11"/>
  <c r="Q43" i="11"/>
  <c r="O40" i="11"/>
  <c r="P41" i="11"/>
  <c r="Q42" i="11"/>
  <c r="O44" i="11"/>
  <c r="P40" i="11"/>
  <c r="Q41" i="11"/>
  <c r="O43" i="11"/>
  <c r="P44" i="11"/>
  <c r="Q40" i="11"/>
  <c r="P43" i="10"/>
  <c r="Q41" i="10"/>
  <c r="Q44" i="10"/>
  <c r="O41" i="10"/>
  <c r="P42" i="10"/>
  <c r="Q43" i="10"/>
  <c r="O40" i="10"/>
  <c r="P41" i="10"/>
  <c r="Q42" i="10"/>
  <c r="O44" i="10"/>
  <c r="P40" i="10"/>
  <c r="O43" i="10"/>
  <c r="P44" i="10"/>
  <c r="Q40" i="10"/>
  <c r="O42" i="9"/>
  <c r="P43" i="9"/>
  <c r="Q44" i="9"/>
  <c r="O41" i="9"/>
  <c r="P42" i="9"/>
  <c r="Q43" i="9"/>
  <c r="O40" i="9"/>
  <c r="P41" i="9"/>
  <c r="Q42" i="9"/>
  <c r="O44" i="9"/>
  <c r="P40" i="9"/>
  <c r="Q41" i="9"/>
  <c r="O43" i="9"/>
  <c r="P44" i="9"/>
  <c r="Q40" i="9"/>
  <c r="M44" i="8"/>
  <c r="L44" i="8"/>
  <c r="K44" i="8"/>
  <c r="J44" i="8"/>
  <c r="I44" i="8"/>
  <c r="H44" i="8"/>
  <c r="G44" i="8"/>
  <c r="F44" i="8"/>
  <c r="E44" i="8"/>
  <c r="D44" i="8"/>
  <c r="C44" i="8"/>
  <c r="B44" i="8"/>
  <c r="M43" i="8"/>
  <c r="L43" i="8"/>
  <c r="K43" i="8"/>
  <c r="J43" i="8"/>
  <c r="I43" i="8"/>
  <c r="H43" i="8"/>
  <c r="G43" i="8"/>
  <c r="F43" i="8"/>
  <c r="E43" i="8"/>
  <c r="D43" i="8"/>
  <c r="C43" i="8"/>
  <c r="B43" i="8"/>
  <c r="M42" i="8"/>
  <c r="L42" i="8"/>
  <c r="K42" i="8"/>
  <c r="J42" i="8"/>
  <c r="I42" i="8"/>
  <c r="H42" i="8"/>
  <c r="G42" i="8"/>
  <c r="F42" i="8"/>
  <c r="E42" i="8"/>
  <c r="D42" i="8"/>
  <c r="C42" i="8"/>
  <c r="B42" i="8"/>
  <c r="M41" i="8"/>
  <c r="L41" i="8"/>
  <c r="K41" i="8"/>
  <c r="J41" i="8"/>
  <c r="I41" i="8"/>
  <c r="H41" i="8"/>
  <c r="G41" i="8"/>
  <c r="F41" i="8"/>
  <c r="E41" i="8"/>
  <c r="D41" i="8"/>
  <c r="C41" i="8"/>
  <c r="B41" i="8"/>
  <c r="M40" i="8"/>
  <c r="L40" i="8"/>
  <c r="K40" i="8"/>
  <c r="J40" i="8"/>
  <c r="I40" i="8"/>
  <c r="H40" i="8"/>
  <c r="G40" i="8"/>
  <c r="F40" i="8"/>
  <c r="E40" i="8"/>
  <c r="D40" i="8"/>
  <c r="C40" i="8"/>
  <c r="B40" i="8"/>
  <c r="Q36" i="8"/>
  <c r="P36" i="8"/>
  <c r="O36" i="8"/>
  <c r="Q35" i="8"/>
  <c r="P35" i="8"/>
  <c r="O35" i="8"/>
  <c r="Q34" i="8"/>
  <c r="P34" i="8"/>
  <c r="O34" i="8"/>
  <c r="Q33" i="8"/>
  <c r="P33" i="8"/>
  <c r="O33" i="8"/>
  <c r="Q32" i="8"/>
  <c r="P32" i="8"/>
  <c r="O32" i="8"/>
  <c r="Q31" i="8"/>
  <c r="P31" i="8"/>
  <c r="O31" i="8"/>
  <c r="Q30" i="8"/>
  <c r="P30" i="8"/>
  <c r="O30" i="8"/>
  <c r="Q29" i="8"/>
  <c r="P29" i="8"/>
  <c r="O29" i="8"/>
  <c r="Q28" i="8"/>
  <c r="P28" i="8"/>
  <c r="O28" i="8"/>
  <c r="Q27" i="8"/>
  <c r="P27" i="8"/>
  <c r="O27" i="8"/>
  <c r="Q26" i="8"/>
  <c r="P26" i="8"/>
  <c r="O26" i="8"/>
  <c r="Q25" i="8"/>
  <c r="P25" i="8"/>
  <c r="O25" i="8"/>
  <c r="Q24" i="8"/>
  <c r="P24" i="8"/>
  <c r="O24" i="8"/>
  <c r="Q23" i="8"/>
  <c r="P23" i="8"/>
  <c r="O23" i="8"/>
  <c r="Q22" i="8"/>
  <c r="P22" i="8"/>
  <c r="O22" i="8"/>
  <c r="Q21" i="8"/>
  <c r="P21" i="8"/>
  <c r="O21" i="8"/>
  <c r="Q20" i="8"/>
  <c r="P20" i="8"/>
  <c r="O20" i="8"/>
  <c r="Q19" i="8"/>
  <c r="P19" i="8"/>
  <c r="O19" i="8"/>
  <c r="Q18" i="8"/>
  <c r="P18" i="8"/>
  <c r="O18" i="8"/>
  <c r="Q17" i="8"/>
  <c r="P17" i="8"/>
  <c r="O17" i="8"/>
  <c r="Q16" i="8"/>
  <c r="P16" i="8"/>
  <c r="O16" i="8"/>
  <c r="Q15" i="8"/>
  <c r="P15" i="8"/>
  <c r="O15" i="8"/>
  <c r="Q14" i="8"/>
  <c r="P14" i="8"/>
  <c r="O14" i="8"/>
  <c r="Q13" i="8"/>
  <c r="P13" i="8"/>
  <c r="O13" i="8"/>
  <c r="Q12" i="8"/>
  <c r="P12" i="8"/>
  <c r="O12" i="8"/>
  <c r="Q11" i="8"/>
  <c r="P11" i="8"/>
  <c r="O11" i="8"/>
  <c r="Q10" i="8"/>
  <c r="P10" i="8"/>
  <c r="O10" i="8"/>
  <c r="Q9" i="8"/>
  <c r="P9" i="8"/>
  <c r="O9" i="8"/>
  <c r="Q8" i="8"/>
  <c r="P8" i="8"/>
  <c r="O8" i="8"/>
  <c r="Q7" i="8"/>
  <c r="P7" i="8"/>
  <c r="O7" i="8"/>
  <c r="Q6" i="8"/>
  <c r="P6" i="8"/>
  <c r="P41" i="8" s="1"/>
  <c r="O6" i="8"/>
  <c r="Q5" i="8"/>
  <c r="P5" i="8"/>
  <c r="O5" i="8"/>
  <c r="O42" i="8" s="1"/>
  <c r="O40" i="1"/>
  <c r="P40" i="1"/>
  <c r="Q40" i="1"/>
  <c r="O41" i="1"/>
  <c r="P41" i="1"/>
  <c r="Q41" i="1"/>
  <c r="O42" i="1"/>
  <c r="P42" i="1"/>
  <c r="Q42" i="1"/>
  <c r="O43" i="1"/>
  <c r="P43" i="1"/>
  <c r="Q43" i="1"/>
  <c r="O44" i="1"/>
  <c r="P44" i="1"/>
  <c r="Q44" i="1"/>
  <c r="O31" i="1"/>
  <c r="P31" i="1"/>
  <c r="Q31" i="1"/>
  <c r="O32" i="1"/>
  <c r="P32" i="1"/>
  <c r="Q32" i="1"/>
  <c r="O33" i="1"/>
  <c r="P33" i="1"/>
  <c r="Q33" i="1"/>
  <c r="O34" i="1"/>
  <c r="P34" i="1"/>
  <c r="Q34" i="1"/>
  <c r="O35" i="1"/>
  <c r="P35" i="1"/>
  <c r="Q35" i="1"/>
  <c r="O36" i="1"/>
  <c r="P36" i="1"/>
  <c r="Q36" i="1"/>
  <c r="O6" i="1"/>
  <c r="P6" i="1"/>
  <c r="Q6" i="1"/>
  <c r="O7" i="1"/>
  <c r="P7" i="1"/>
  <c r="Q7" i="1"/>
  <c r="O8" i="1"/>
  <c r="P8" i="1"/>
  <c r="Q8" i="1"/>
  <c r="O9" i="1"/>
  <c r="P9" i="1"/>
  <c r="Q9" i="1"/>
  <c r="O10" i="1"/>
  <c r="P10" i="1"/>
  <c r="Q10" i="1"/>
  <c r="O11" i="1"/>
  <c r="P11" i="1"/>
  <c r="Q11" i="1"/>
  <c r="O12" i="1"/>
  <c r="P12" i="1"/>
  <c r="Q12" i="1"/>
  <c r="O13" i="1"/>
  <c r="P13" i="1"/>
  <c r="Q13" i="1"/>
  <c r="O14" i="1"/>
  <c r="P14" i="1"/>
  <c r="Q14" i="1"/>
  <c r="O15" i="1"/>
  <c r="P15" i="1"/>
  <c r="Q15" i="1"/>
  <c r="O16" i="1"/>
  <c r="P16" i="1"/>
  <c r="Q16" i="1"/>
  <c r="O17" i="1"/>
  <c r="P17" i="1"/>
  <c r="Q17" i="1"/>
  <c r="O18" i="1"/>
  <c r="P18" i="1"/>
  <c r="Q18" i="1"/>
  <c r="O19" i="1"/>
  <c r="P19" i="1"/>
  <c r="Q19" i="1"/>
  <c r="O20" i="1"/>
  <c r="P20" i="1"/>
  <c r="Q20" i="1"/>
  <c r="O21" i="1"/>
  <c r="P21" i="1"/>
  <c r="Q21" i="1"/>
  <c r="O22" i="1"/>
  <c r="P22" i="1"/>
  <c r="Q22" i="1"/>
  <c r="O23" i="1"/>
  <c r="P23" i="1"/>
  <c r="Q23" i="1"/>
  <c r="O24" i="1"/>
  <c r="P24" i="1"/>
  <c r="Q24" i="1"/>
  <c r="O25" i="1"/>
  <c r="P25" i="1"/>
  <c r="Q25" i="1"/>
  <c r="O26" i="1"/>
  <c r="P26" i="1"/>
  <c r="Q26" i="1"/>
  <c r="O27" i="1"/>
  <c r="P27" i="1"/>
  <c r="Q27" i="1"/>
  <c r="O28" i="1"/>
  <c r="P28" i="1"/>
  <c r="Q28" i="1"/>
  <c r="O29" i="1"/>
  <c r="P29" i="1"/>
  <c r="Q29" i="1"/>
  <c r="O30" i="1"/>
  <c r="P30" i="1"/>
  <c r="Q30" i="1"/>
  <c r="Q5" i="1"/>
  <c r="P5" i="1"/>
  <c r="O5" i="1"/>
  <c r="Q43" i="8" l="1"/>
  <c r="P43" i="8"/>
  <c r="Q44" i="8"/>
  <c r="O41" i="8"/>
  <c r="P42" i="8"/>
  <c r="O40" i="8"/>
  <c r="Q42" i="8"/>
  <c r="O44" i="8"/>
  <c r="P40" i="8"/>
  <c r="Q41" i="8"/>
  <c r="O43" i="8"/>
  <c r="P44" i="8"/>
  <c r="Q40" i="8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<sst xmlns="http://schemas.openxmlformats.org/spreadsheetml/2006/main" count="342" uniqueCount="32">
  <si>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</si>
  <si>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</si>
  <si>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</si>
  <si>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</si>
  <si>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</si>
  <si>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</si>
  <si>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</si>
  <si>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</si>
  <si>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</si>
  <si>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</si>
  <si>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</si>
  <si>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</si>
  <si>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</si>
  <si>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</si>
  <si>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</si>
  <si>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</si>
  <si>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ModifiedFCS</t>
  </si>
  <si>
    <t>x</t>
  </si>
  <si>
    <t>Exact LCA</t>
  </si>
  <si>
    <t>DistToRoot Heuristic</t>
  </si>
  <si>
    <t>DistToLeaf Heuristic</t>
  </si>
  <si>
    <t>Combined Heuristic</t>
  </si>
  <si>
    <t>ratio</t>
  </si>
  <si>
    <t>Grids</t>
  </si>
  <si>
    <t>Sphere Cube</t>
  </si>
  <si>
    <t>Random</t>
  </si>
  <si>
    <t>Graph #</t>
  </si>
  <si>
    <t>Graph Info</t>
  </si>
  <si>
    <t>Sphere Tetrahedron</t>
  </si>
  <si>
    <t>Cylinder Random</t>
  </si>
  <si>
    <t>Cylinder Symmetric</t>
  </si>
  <si>
    <t>Cylinder Asymmetric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</si>
</sst>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2" fontId="3" fillId="2" borderId="0" xfId="0" applyNumberFormat="1" applyFont="1" applyFill="1"/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Separator Size Ratio for MFCS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1"/>
          <c:order val="0"/>
          <c:tx>
            <c:strRef>
              <c:f>Summary!$C$1</c:f>
              <c:strCache>
                <c:ptCount val="1"/>
                <c:pt idx="0">
                  <c:v>Exact LCA</c:v>
                </c:pt>
              </c:strCache>
            </c:strRef>
          </c:tx>
          <c:xVal>
            <c:strRef>
              <c:f>Summary!$B$2:$B$8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Tetrahedron</c:v>
                </c:pt>
                <c:pt idx="3">
                  <c:v>Cylinder Random</c:v>
                </c:pt>
                <c:pt idx="4">
                  <c:v>Cylinder Symmetric</c:v>
                </c:pt>
                <c:pt idx="5">
                  <c:v>Cylinder Asymmetric</c:v>
                </c:pt>
                <c:pt idx="6">
                  <c:v>Random</c:v>
                </c:pt>
              </c:strCache>
            </c:strRef>
          </c:xVal>
          <c:yVal>
            <c:numRef>
              <c:f>Summary!$C$2:$C$8</c:f>
              <c:numCache>
                <c:formatCode>0.000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6-4C4B-9D3A-420E95F32F4B}"/>
            </c:ext>
          </c:extLst>
        </c:ser>
        <c:ser>
          <c:idx val="0"/>
          <c:order val="1"/>
          <c:tx>
            <c:strRef>
              <c:f>Summary!$D$1</c:f>
              <c:strCache>
                <c:ptCount val="1"/>
                <c:pt idx="0">
                  <c:v>DistToRoot Heuristic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Summary!$B$2:$B$8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Tetrahedron</c:v>
                </c:pt>
                <c:pt idx="3">
                  <c:v>Cylinder Random</c:v>
                </c:pt>
                <c:pt idx="4">
                  <c:v>Cylinder Symmetric</c:v>
                </c:pt>
                <c:pt idx="5">
                  <c:v>Cylinder Asymmetric</c:v>
                </c:pt>
                <c:pt idx="6">
                  <c:v>Random</c:v>
                </c:pt>
              </c:strCache>
            </c:strRef>
          </c:xVal>
          <c:yVal>
            <c:numRef>
              <c:f>Summary!$D$2:$D$8</c:f>
              <c:numCache>
                <c:formatCode>0.000</c:formatCode>
                <c:ptCount val="7"/>
                <c:pt idx="0" formatCode="0.00">
                  <c:v>1.0107724894929804</c:v>
                </c:pt>
                <c:pt idx="1">
                  <c:v>1</c:v>
                </c:pt>
                <c:pt idx="2">
                  <c:v>1.01875</c:v>
                </c:pt>
                <c:pt idx="3">
                  <c:v>1.5</c:v>
                </c:pt>
                <c:pt idx="4">
                  <c:v>1</c:v>
                </c:pt>
                <c:pt idx="5">
                  <c:v>1.0416666666666665</c:v>
                </c:pt>
                <c:pt idx="6">
                  <c:v>1.0390625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6-4C4B-9D3A-420E95F32F4B}"/>
            </c:ext>
          </c:extLst>
        </c:ser>
        <c:ser>
          <c:idx val="2"/>
          <c:order val="2"/>
          <c:tx>
            <c:strRef>
              <c:f>Summary!$E$1</c:f>
              <c:strCache>
                <c:ptCount val="1"/>
                <c:pt idx="0">
                  <c:v>DistToLeaf Heuristic</c:v>
                </c:pt>
              </c:strCache>
            </c:strRef>
          </c:tx>
          <c:xVal>
            <c:strRef>
              <c:f>Summary!$B$2:$B$8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Tetrahedron</c:v>
                </c:pt>
                <c:pt idx="3">
                  <c:v>Cylinder Random</c:v>
                </c:pt>
                <c:pt idx="4">
                  <c:v>Cylinder Symmetric</c:v>
                </c:pt>
                <c:pt idx="5">
                  <c:v>Cylinder Asymmetric</c:v>
                </c:pt>
                <c:pt idx="6">
                  <c:v>Random</c:v>
                </c:pt>
              </c:strCache>
            </c:strRef>
          </c:xVal>
          <c:yVal>
            <c:numRef>
              <c:f>Summary!$E$2:$E$8</c:f>
              <c:numCache>
                <c:formatCode>0.00</c:formatCode>
                <c:ptCount val="7"/>
                <c:pt idx="0">
                  <c:v>1.0681268360628051</c:v>
                </c:pt>
                <c:pt idx="1">
                  <c:v>1.8701884920634921</c:v>
                </c:pt>
                <c:pt idx="2">
                  <c:v>1.384114583333333</c:v>
                </c:pt>
                <c:pt idx="3">
                  <c:v>2.5000000000000004</c:v>
                </c:pt>
                <c:pt idx="4">
                  <c:v>1.4750000000000005</c:v>
                </c:pt>
                <c:pt idx="5">
                  <c:v>1.8572956367036626</c:v>
                </c:pt>
                <c:pt idx="6">
                  <c:v>2.031324404761905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6-4C4B-9D3A-420E95F32F4B}"/>
            </c:ext>
          </c:extLst>
        </c:ser>
        <c:ser>
          <c:idx val="3"/>
          <c:order val="3"/>
          <c:tx>
            <c:strRef>
              <c:f>Summary!$F$1</c:f>
              <c:strCache>
                <c:ptCount val="1"/>
                <c:pt idx="0">
                  <c:v>Combined Heuristic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strRef>
              <c:f>Summary!$B$2:$B$8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Tetrahedron</c:v>
                </c:pt>
                <c:pt idx="3">
                  <c:v>Cylinder Random</c:v>
                </c:pt>
                <c:pt idx="4">
                  <c:v>Cylinder Symmetric</c:v>
                </c:pt>
                <c:pt idx="5">
                  <c:v>Cylinder Asymmetric</c:v>
                </c:pt>
                <c:pt idx="6">
                  <c:v>Random</c:v>
                </c:pt>
              </c:strCache>
            </c:strRef>
          </c:xVal>
          <c:yVal>
            <c:numRef>
              <c:f>Summary!$F$2:$F$9</c:f>
              <c:numCache>
                <c:formatCode>0.00</c:formatCode>
                <c:ptCount val="8"/>
                <c:pt idx="0" formatCode="General">
                  <c:v>1.0185985341760126</c:v>
                </c:pt>
                <c:pt idx="1">
                  <c:v>1</c:v>
                </c:pt>
                <c:pt idx="2">
                  <c:v>1.01875</c:v>
                </c:pt>
                <c:pt idx="3">
                  <c:v>1.6250000000000002</c:v>
                </c:pt>
                <c:pt idx="4">
                  <c:v>1.04375</c:v>
                </c:pt>
                <c:pt idx="5">
                  <c:v>1.0729166666666665</c:v>
                </c:pt>
                <c:pt idx="6">
                  <c:v>1.0390625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6-4C4B-9D3A-420E95F32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orientation val="minMax"/>
          <c:max val="7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Graph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</a:t>
                </a:r>
                <a:r>
                  <a:rPr lang="en-US" sz="1600" baseline="0"/>
                  <a:t> Size Ratio Over Optimum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5.8922790901137369E-2"/>
              <c:y val="0.1679499125109361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166028725576001"/>
          <c:y val="0.15125847550306201"/>
          <c:w val="0.30937718722659668"/>
          <c:h val="0.22965529308836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11</xdr:row>
      <xdr:rowOff>190500</xdr:rowOff>
    </xdr:from>
    <xdr:to>
      <xdr:col>10</xdr:col>
      <xdr:colOff>457200</xdr:colOff>
      <xdr:row>34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4"/>
  <sheetViews>
    <sheetView topLeftCell="D36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59502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212</v>
      </c>
      <c r="C5">
        <v>1.33067</v>
      </c>
      <c r="D5">
        <v>355.74</v>
      </c>
      <c r="E5">
        <v>212</v>
      </c>
      <c r="F5">
        <v>1.33067</v>
      </c>
      <c r="G5">
        <v>363.97</v>
      </c>
      <c r="H5">
        <v>212</v>
      </c>
      <c r="I5">
        <v>1.33067</v>
      </c>
      <c r="J5">
        <v>306.73</v>
      </c>
      <c r="K5">
        <v>212</v>
      </c>
      <c r="L5">
        <v>1.33067</v>
      </c>
      <c r="M5">
        <v>328.65</v>
      </c>
      <c r="O5">
        <f>E5/B5</f>
        <v>1</v>
      </c>
      <c r="P5">
        <f>H5/B5</f>
        <v>1</v>
      </c>
      <c r="Q5">
        <f>K5/B5</f>
        <v>1</v>
      </c>
    </row>
    <row r="6" spans="1:17" x14ac:dyDescent="0.2">
      <c r="A6">
        <v>1</v>
      </c>
      <c r="B6">
        <v>211</v>
      </c>
      <c r="C6">
        <v>1.66981</v>
      </c>
      <c r="D6">
        <v>655.93</v>
      </c>
      <c r="E6">
        <v>211</v>
      </c>
      <c r="F6">
        <v>1.66981</v>
      </c>
      <c r="G6">
        <v>290.25</v>
      </c>
      <c r="H6">
        <v>211</v>
      </c>
      <c r="I6">
        <v>1.66981</v>
      </c>
      <c r="J6">
        <v>297.02999999999997</v>
      </c>
      <c r="K6">
        <v>211</v>
      </c>
      <c r="L6">
        <v>1.66981</v>
      </c>
      <c r="M6">
        <v>303.89</v>
      </c>
      <c r="O6">
        <f t="shared" ref="O6:O30" si="0">E6/B6</f>
        <v>1</v>
      </c>
      <c r="P6">
        <f t="shared" ref="P6:P30" si="1">H6/B6</f>
        <v>1</v>
      </c>
      <c r="Q6">
        <f t="shared" ref="Q6:Q30" si="2">K6/B6</f>
        <v>1</v>
      </c>
    </row>
    <row r="7" spans="1:17" x14ac:dyDescent="0.2">
      <c r="A7">
        <v>2</v>
      </c>
      <c r="B7">
        <v>212</v>
      </c>
      <c r="C7">
        <v>1.97218</v>
      </c>
      <c r="D7">
        <v>301.27999999999997</v>
      </c>
      <c r="E7">
        <v>212</v>
      </c>
      <c r="F7">
        <v>1.97218</v>
      </c>
      <c r="G7">
        <v>291.26</v>
      </c>
      <c r="H7">
        <v>212</v>
      </c>
      <c r="I7">
        <v>1.97218</v>
      </c>
      <c r="J7">
        <v>298.22000000000003</v>
      </c>
      <c r="K7">
        <v>212</v>
      </c>
      <c r="L7">
        <v>1.97218</v>
      </c>
      <c r="M7">
        <v>311.06</v>
      </c>
      <c r="O7">
        <f t="shared" si="0"/>
        <v>1</v>
      </c>
      <c r="P7">
        <f t="shared" si="1"/>
        <v>1</v>
      </c>
      <c r="Q7">
        <f t="shared" si="2"/>
        <v>1</v>
      </c>
    </row>
    <row r="8" spans="1:17" x14ac:dyDescent="0.2">
      <c r="A8">
        <v>3</v>
      </c>
      <c r="B8">
        <v>212</v>
      </c>
      <c r="C8">
        <v>1.0005999999999999</v>
      </c>
      <c r="D8">
        <v>318.56</v>
      </c>
      <c r="E8">
        <v>212</v>
      </c>
      <c r="F8">
        <v>1.0005999999999999</v>
      </c>
      <c r="G8">
        <v>316.38</v>
      </c>
      <c r="H8">
        <v>250</v>
      </c>
      <c r="I8">
        <v>1.97451</v>
      </c>
      <c r="J8">
        <v>290.27</v>
      </c>
      <c r="K8">
        <v>212</v>
      </c>
      <c r="L8">
        <v>1.0005999999999999</v>
      </c>
      <c r="M8">
        <v>328.9</v>
      </c>
      <c r="O8">
        <f t="shared" si="0"/>
        <v>1</v>
      </c>
      <c r="P8">
        <f t="shared" si="1"/>
        <v>1.179245283018868</v>
      </c>
      <c r="Q8">
        <f t="shared" si="2"/>
        <v>1</v>
      </c>
    </row>
    <row r="9" spans="1:17" x14ac:dyDescent="0.2">
      <c r="A9">
        <v>4</v>
      </c>
      <c r="B9">
        <v>211</v>
      </c>
      <c r="C9">
        <v>1.66981</v>
      </c>
      <c r="D9">
        <v>298.14</v>
      </c>
      <c r="E9">
        <v>227</v>
      </c>
      <c r="F9">
        <v>1.9782599999999999</v>
      </c>
      <c r="G9">
        <v>327.81</v>
      </c>
      <c r="H9">
        <v>211</v>
      </c>
      <c r="I9">
        <v>1.66981</v>
      </c>
      <c r="J9">
        <v>302.25</v>
      </c>
      <c r="K9">
        <v>211</v>
      </c>
      <c r="L9">
        <v>1.66981</v>
      </c>
      <c r="M9">
        <v>306.61</v>
      </c>
      <c r="O9">
        <f t="shared" si="0"/>
        <v>1.0758293838862558</v>
      </c>
      <c r="P9">
        <f t="shared" si="1"/>
        <v>1</v>
      </c>
      <c r="Q9">
        <f t="shared" si="2"/>
        <v>1</v>
      </c>
    </row>
    <row r="10" spans="1:17" x14ac:dyDescent="0.2">
      <c r="A10">
        <v>5</v>
      </c>
      <c r="B10">
        <v>211</v>
      </c>
      <c r="C10">
        <v>1.66981</v>
      </c>
      <c r="D10">
        <v>291.43</v>
      </c>
      <c r="E10">
        <v>211</v>
      </c>
      <c r="F10">
        <v>1.66981</v>
      </c>
      <c r="G10">
        <v>305.3</v>
      </c>
      <c r="H10">
        <v>211</v>
      </c>
      <c r="I10">
        <v>1.66981</v>
      </c>
      <c r="J10">
        <v>297.41000000000003</v>
      </c>
      <c r="K10">
        <v>211</v>
      </c>
      <c r="L10">
        <v>1.66981</v>
      </c>
      <c r="M10">
        <v>305.02999999999997</v>
      </c>
      <c r="O10">
        <f t="shared" si="0"/>
        <v>1</v>
      </c>
      <c r="P10">
        <f t="shared" si="1"/>
        <v>1</v>
      </c>
      <c r="Q10">
        <f t="shared" si="2"/>
        <v>1</v>
      </c>
    </row>
    <row r="11" spans="1:17" x14ac:dyDescent="0.2">
      <c r="A11">
        <v>6</v>
      </c>
      <c r="B11">
        <v>212</v>
      </c>
      <c r="C11">
        <v>1.8098099999999999</v>
      </c>
      <c r="D11">
        <v>302.61</v>
      </c>
      <c r="E11">
        <v>212</v>
      </c>
      <c r="F11">
        <v>1.8098099999999999</v>
      </c>
      <c r="G11">
        <v>292.24</v>
      </c>
      <c r="H11">
        <v>212</v>
      </c>
      <c r="I11">
        <v>1.8098099999999999</v>
      </c>
      <c r="J11">
        <v>299.97000000000003</v>
      </c>
      <c r="K11">
        <v>212</v>
      </c>
      <c r="L11">
        <v>1.8098099999999999</v>
      </c>
      <c r="M11">
        <v>306.7</v>
      </c>
      <c r="O11">
        <f t="shared" si="0"/>
        <v>1</v>
      </c>
      <c r="P11">
        <f t="shared" si="1"/>
        <v>1</v>
      </c>
      <c r="Q11">
        <f t="shared" si="2"/>
        <v>1</v>
      </c>
    </row>
    <row r="12" spans="1:17" x14ac:dyDescent="0.2">
      <c r="A12">
        <v>7</v>
      </c>
      <c r="B12">
        <v>212</v>
      </c>
      <c r="C12">
        <v>1.4995400000000001</v>
      </c>
      <c r="D12">
        <v>309.3</v>
      </c>
      <c r="E12">
        <v>212</v>
      </c>
      <c r="F12">
        <v>1.4995400000000001</v>
      </c>
      <c r="G12">
        <v>294.27</v>
      </c>
      <c r="H12">
        <v>212</v>
      </c>
      <c r="I12">
        <v>1.4995400000000001</v>
      </c>
      <c r="J12">
        <v>295.95</v>
      </c>
      <c r="K12">
        <v>212</v>
      </c>
      <c r="L12">
        <v>1.4995400000000001</v>
      </c>
      <c r="M12">
        <v>329.92</v>
      </c>
      <c r="O12">
        <f t="shared" si="0"/>
        <v>1</v>
      </c>
      <c r="P12">
        <f t="shared" si="1"/>
        <v>1</v>
      </c>
      <c r="Q12">
        <f t="shared" si="2"/>
        <v>1</v>
      </c>
    </row>
    <row r="13" spans="1:17" x14ac:dyDescent="0.2">
      <c r="A13">
        <v>8</v>
      </c>
      <c r="B13">
        <v>211</v>
      </c>
      <c r="C13">
        <v>1.66981</v>
      </c>
      <c r="D13">
        <v>329.53</v>
      </c>
      <c r="E13">
        <v>211</v>
      </c>
      <c r="F13">
        <v>1.66981</v>
      </c>
      <c r="G13">
        <v>326.57</v>
      </c>
      <c r="H13">
        <v>212</v>
      </c>
      <c r="I13">
        <v>1.65726</v>
      </c>
      <c r="J13">
        <v>299.74</v>
      </c>
      <c r="K13">
        <v>212</v>
      </c>
      <c r="L13">
        <v>1.65726</v>
      </c>
      <c r="M13">
        <v>319.29000000000002</v>
      </c>
      <c r="O13">
        <f t="shared" si="0"/>
        <v>1</v>
      </c>
      <c r="P13">
        <f t="shared" si="1"/>
        <v>1.0047393364928909</v>
      </c>
      <c r="Q13">
        <f t="shared" si="2"/>
        <v>1.0047393364928909</v>
      </c>
    </row>
    <row r="14" spans="1:17" x14ac:dyDescent="0.2">
      <c r="A14">
        <v>9</v>
      </c>
      <c r="B14">
        <v>212</v>
      </c>
      <c r="C14">
        <v>1.3781000000000001</v>
      </c>
      <c r="D14">
        <v>326.83999999999997</v>
      </c>
      <c r="E14">
        <v>212</v>
      </c>
      <c r="F14">
        <v>1.3781000000000001</v>
      </c>
      <c r="G14">
        <v>320.18</v>
      </c>
      <c r="H14">
        <v>320</v>
      </c>
      <c r="I14">
        <v>1.97119</v>
      </c>
      <c r="J14">
        <v>296.89999999999998</v>
      </c>
      <c r="K14">
        <v>212</v>
      </c>
      <c r="L14">
        <v>1.3781000000000001</v>
      </c>
      <c r="M14">
        <v>333.8</v>
      </c>
      <c r="O14">
        <f t="shared" si="0"/>
        <v>1</v>
      </c>
      <c r="P14">
        <f t="shared" si="1"/>
        <v>1.5094339622641511</v>
      </c>
      <c r="Q14">
        <f t="shared" si="2"/>
        <v>1</v>
      </c>
    </row>
    <row r="15" spans="1:17" x14ac:dyDescent="0.2">
      <c r="A15">
        <v>10</v>
      </c>
      <c r="B15">
        <v>212</v>
      </c>
      <c r="C15">
        <v>1.45021</v>
      </c>
      <c r="D15">
        <v>297.02</v>
      </c>
      <c r="E15">
        <v>236</v>
      </c>
      <c r="F15">
        <v>1.9849600000000001</v>
      </c>
      <c r="G15">
        <v>305.37</v>
      </c>
      <c r="H15">
        <v>236</v>
      </c>
      <c r="I15">
        <v>1.9849600000000001</v>
      </c>
      <c r="J15">
        <v>296.52</v>
      </c>
      <c r="K15">
        <v>236</v>
      </c>
      <c r="L15">
        <v>1.9849600000000001</v>
      </c>
      <c r="M15">
        <v>306.23</v>
      </c>
      <c r="O15">
        <f t="shared" si="0"/>
        <v>1.1132075471698113</v>
      </c>
      <c r="P15">
        <f t="shared" si="1"/>
        <v>1.1132075471698113</v>
      </c>
      <c r="Q15">
        <f t="shared" si="2"/>
        <v>1.1132075471698113</v>
      </c>
    </row>
    <row r="16" spans="1:17" x14ac:dyDescent="0.2">
      <c r="A16">
        <v>11</v>
      </c>
      <c r="B16">
        <v>211</v>
      </c>
      <c r="C16">
        <v>1.66981</v>
      </c>
      <c r="D16">
        <v>294.44</v>
      </c>
      <c r="E16">
        <v>211</v>
      </c>
      <c r="F16">
        <v>1.66981</v>
      </c>
      <c r="G16">
        <v>300.24</v>
      </c>
      <c r="H16">
        <v>211</v>
      </c>
      <c r="I16">
        <v>1.66981</v>
      </c>
      <c r="J16">
        <v>296.38</v>
      </c>
      <c r="K16">
        <v>211</v>
      </c>
      <c r="L16">
        <v>1.66981</v>
      </c>
      <c r="M16">
        <v>307.70999999999998</v>
      </c>
      <c r="O16">
        <f t="shared" si="0"/>
        <v>1</v>
      </c>
      <c r="P16">
        <f t="shared" si="1"/>
        <v>1</v>
      </c>
      <c r="Q16">
        <f t="shared" si="2"/>
        <v>1</v>
      </c>
    </row>
    <row r="17" spans="1:17" x14ac:dyDescent="0.2">
      <c r="A17">
        <v>12</v>
      </c>
      <c r="B17">
        <v>212</v>
      </c>
      <c r="C17">
        <v>1.13608</v>
      </c>
      <c r="D17">
        <v>326.63</v>
      </c>
      <c r="E17">
        <v>212</v>
      </c>
      <c r="F17">
        <v>1.13608</v>
      </c>
      <c r="G17">
        <v>316.43</v>
      </c>
      <c r="H17">
        <v>260</v>
      </c>
      <c r="I17">
        <v>1.1525000000000001</v>
      </c>
      <c r="J17">
        <v>313.25</v>
      </c>
      <c r="K17">
        <v>212</v>
      </c>
      <c r="L17">
        <v>1.13608</v>
      </c>
      <c r="M17">
        <v>348.15</v>
      </c>
      <c r="O17">
        <f t="shared" si="0"/>
        <v>1</v>
      </c>
      <c r="P17">
        <f t="shared" si="1"/>
        <v>1.2264150943396226</v>
      </c>
      <c r="Q17">
        <f t="shared" si="2"/>
        <v>1</v>
      </c>
    </row>
    <row r="18" spans="1:17" x14ac:dyDescent="0.2">
      <c r="A18">
        <v>13</v>
      </c>
      <c r="B18">
        <v>212</v>
      </c>
      <c r="C18">
        <v>1</v>
      </c>
      <c r="D18">
        <v>316.99</v>
      </c>
      <c r="E18">
        <v>212</v>
      </c>
      <c r="F18">
        <v>1.4352199999999999</v>
      </c>
      <c r="G18">
        <v>300.06</v>
      </c>
      <c r="H18">
        <v>212</v>
      </c>
      <c r="I18">
        <v>1.6250199999999999</v>
      </c>
      <c r="J18">
        <v>296.2</v>
      </c>
      <c r="K18">
        <v>212</v>
      </c>
      <c r="L18">
        <v>1.6250199999999999</v>
      </c>
      <c r="M18">
        <v>313.56</v>
      </c>
      <c r="O18">
        <f t="shared" si="0"/>
        <v>1</v>
      </c>
      <c r="P18">
        <f t="shared" si="1"/>
        <v>1</v>
      </c>
      <c r="Q18">
        <f t="shared" si="2"/>
        <v>1</v>
      </c>
    </row>
    <row r="19" spans="1:17" x14ac:dyDescent="0.2">
      <c r="A19">
        <v>14</v>
      </c>
      <c r="B19">
        <v>212</v>
      </c>
      <c r="C19">
        <v>1.0244800000000001</v>
      </c>
      <c r="D19">
        <v>323.69</v>
      </c>
      <c r="E19">
        <v>212</v>
      </c>
      <c r="F19">
        <v>1.0244800000000001</v>
      </c>
      <c r="G19">
        <v>316.73</v>
      </c>
      <c r="H19">
        <v>300</v>
      </c>
      <c r="I19">
        <v>1.77555</v>
      </c>
      <c r="J19">
        <v>352.8</v>
      </c>
      <c r="K19">
        <v>212</v>
      </c>
      <c r="L19">
        <v>1.0244800000000001</v>
      </c>
      <c r="M19">
        <v>415.92</v>
      </c>
      <c r="O19">
        <f t="shared" si="0"/>
        <v>1</v>
      </c>
      <c r="P19">
        <f t="shared" si="1"/>
        <v>1.4150943396226414</v>
      </c>
      <c r="Q19">
        <f t="shared" si="2"/>
        <v>1</v>
      </c>
    </row>
    <row r="20" spans="1:17" x14ac:dyDescent="0.2">
      <c r="A20">
        <v>15</v>
      </c>
      <c r="B20">
        <v>212</v>
      </c>
      <c r="C20">
        <v>1.4212</v>
      </c>
      <c r="D20">
        <v>339.91</v>
      </c>
      <c r="E20">
        <v>212</v>
      </c>
      <c r="F20">
        <v>1.4212</v>
      </c>
      <c r="G20">
        <v>331.92</v>
      </c>
      <c r="H20">
        <v>212</v>
      </c>
      <c r="I20">
        <v>1.5773200000000001</v>
      </c>
      <c r="J20">
        <v>334.14</v>
      </c>
      <c r="K20">
        <v>212</v>
      </c>
      <c r="L20">
        <v>1.5773200000000001</v>
      </c>
      <c r="M20">
        <v>317.87</v>
      </c>
      <c r="O20">
        <f t="shared" si="0"/>
        <v>1</v>
      </c>
      <c r="P20">
        <f t="shared" si="1"/>
        <v>1</v>
      </c>
      <c r="Q20">
        <f t="shared" si="2"/>
        <v>1</v>
      </c>
    </row>
    <row r="21" spans="1:17" x14ac:dyDescent="0.2">
      <c r="A21">
        <v>16</v>
      </c>
      <c r="B21">
        <v>211</v>
      </c>
      <c r="C21">
        <v>1.66981</v>
      </c>
      <c r="D21">
        <v>365.32</v>
      </c>
      <c r="E21">
        <v>211</v>
      </c>
      <c r="F21">
        <v>1.66981</v>
      </c>
      <c r="G21">
        <v>459.52</v>
      </c>
      <c r="H21">
        <v>212</v>
      </c>
      <c r="I21">
        <v>1.65726</v>
      </c>
      <c r="J21">
        <v>334.35</v>
      </c>
      <c r="K21">
        <v>212</v>
      </c>
      <c r="L21">
        <v>1.65726</v>
      </c>
      <c r="M21">
        <v>352.17</v>
      </c>
      <c r="O21">
        <f t="shared" si="0"/>
        <v>1</v>
      </c>
      <c r="P21">
        <f t="shared" si="1"/>
        <v>1.0047393364928909</v>
      </c>
      <c r="Q21">
        <f t="shared" si="2"/>
        <v>1.0047393364928909</v>
      </c>
    </row>
    <row r="22" spans="1:17" x14ac:dyDescent="0.2">
      <c r="A22">
        <v>17</v>
      </c>
      <c r="B22">
        <v>211</v>
      </c>
      <c r="C22">
        <v>1.66981</v>
      </c>
      <c r="D22">
        <v>403.2</v>
      </c>
      <c r="E22">
        <v>211</v>
      </c>
      <c r="F22">
        <v>1.66981</v>
      </c>
      <c r="G22">
        <v>380.14</v>
      </c>
      <c r="H22">
        <v>211</v>
      </c>
      <c r="I22">
        <v>1.66981</v>
      </c>
      <c r="J22">
        <v>337.97</v>
      </c>
      <c r="K22">
        <v>211</v>
      </c>
      <c r="L22">
        <v>1.66981</v>
      </c>
      <c r="M22">
        <v>373.46</v>
      </c>
      <c r="O22">
        <f t="shared" si="0"/>
        <v>1</v>
      </c>
      <c r="P22">
        <f t="shared" si="1"/>
        <v>1</v>
      </c>
      <c r="Q22">
        <f t="shared" si="2"/>
        <v>1</v>
      </c>
    </row>
    <row r="23" spans="1:17" x14ac:dyDescent="0.2">
      <c r="A23">
        <v>18</v>
      </c>
      <c r="B23">
        <v>212</v>
      </c>
      <c r="C23">
        <v>1.0011399999999999</v>
      </c>
      <c r="D23">
        <v>326.17</v>
      </c>
      <c r="E23">
        <v>212</v>
      </c>
      <c r="F23">
        <v>1.0011399999999999</v>
      </c>
      <c r="G23">
        <v>369.74</v>
      </c>
      <c r="H23">
        <v>216</v>
      </c>
      <c r="I23">
        <v>1.6569700000000001</v>
      </c>
      <c r="J23">
        <v>311.37</v>
      </c>
      <c r="K23">
        <v>216</v>
      </c>
      <c r="L23">
        <v>1.6569700000000001</v>
      </c>
      <c r="M23">
        <v>401.72</v>
      </c>
      <c r="O23">
        <f t="shared" si="0"/>
        <v>1</v>
      </c>
      <c r="P23">
        <f t="shared" si="1"/>
        <v>1.0188679245283019</v>
      </c>
      <c r="Q23">
        <f t="shared" si="2"/>
        <v>1.0188679245283019</v>
      </c>
    </row>
    <row r="24" spans="1:17" x14ac:dyDescent="0.2">
      <c r="A24">
        <v>19</v>
      </c>
      <c r="B24">
        <v>212</v>
      </c>
      <c r="C24">
        <v>1.1640200000000001</v>
      </c>
      <c r="D24">
        <v>358.64</v>
      </c>
      <c r="E24">
        <v>212</v>
      </c>
      <c r="F24">
        <v>1.1640200000000001</v>
      </c>
      <c r="G24">
        <v>376.88</v>
      </c>
      <c r="H24">
        <v>212</v>
      </c>
      <c r="I24">
        <v>1.1640200000000001</v>
      </c>
      <c r="J24">
        <v>403.71</v>
      </c>
      <c r="K24">
        <v>212</v>
      </c>
      <c r="L24">
        <v>1.1640200000000001</v>
      </c>
      <c r="M24">
        <v>388.21</v>
      </c>
      <c r="O24">
        <f t="shared" si="0"/>
        <v>1</v>
      </c>
      <c r="P24">
        <f t="shared" si="1"/>
        <v>1</v>
      </c>
      <c r="Q24">
        <f t="shared" si="2"/>
        <v>1</v>
      </c>
    </row>
    <row r="25" spans="1:17" x14ac:dyDescent="0.2">
      <c r="A25">
        <v>20</v>
      </c>
      <c r="B25">
        <v>212</v>
      </c>
      <c r="C25">
        <v>1.00047</v>
      </c>
      <c r="D25">
        <v>373.67</v>
      </c>
      <c r="E25">
        <v>212</v>
      </c>
      <c r="F25">
        <v>1.00047</v>
      </c>
      <c r="G25">
        <v>389.4</v>
      </c>
      <c r="H25">
        <v>232</v>
      </c>
      <c r="I25">
        <v>1.3688899999999999</v>
      </c>
      <c r="J25">
        <v>396.85</v>
      </c>
      <c r="K25">
        <v>232</v>
      </c>
      <c r="L25">
        <v>1.3688899999999999</v>
      </c>
      <c r="M25">
        <v>429.32</v>
      </c>
      <c r="O25">
        <f t="shared" si="0"/>
        <v>1</v>
      </c>
      <c r="P25">
        <f t="shared" si="1"/>
        <v>1.0943396226415094</v>
      </c>
      <c r="Q25">
        <f t="shared" si="2"/>
        <v>1.0943396226415094</v>
      </c>
    </row>
    <row r="26" spans="1:17" x14ac:dyDescent="0.2">
      <c r="A26">
        <v>21</v>
      </c>
      <c r="B26">
        <v>211</v>
      </c>
      <c r="C26">
        <v>1.66981</v>
      </c>
      <c r="D26">
        <v>383.39</v>
      </c>
      <c r="E26">
        <v>212</v>
      </c>
      <c r="F26">
        <v>1.4257200000000001</v>
      </c>
      <c r="G26">
        <v>395.28</v>
      </c>
      <c r="H26">
        <v>211</v>
      </c>
      <c r="I26">
        <v>1.66981</v>
      </c>
      <c r="J26">
        <v>307.43</v>
      </c>
      <c r="K26">
        <v>211</v>
      </c>
      <c r="L26">
        <v>1.66981</v>
      </c>
      <c r="M26">
        <v>323.08999999999997</v>
      </c>
      <c r="O26">
        <f t="shared" si="0"/>
        <v>1.0047393364928909</v>
      </c>
      <c r="P26">
        <f t="shared" si="1"/>
        <v>1</v>
      </c>
      <c r="Q26">
        <f t="shared" si="2"/>
        <v>1</v>
      </c>
    </row>
    <row r="27" spans="1:17" x14ac:dyDescent="0.2">
      <c r="A27">
        <v>22</v>
      </c>
      <c r="B27">
        <v>212</v>
      </c>
      <c r="C27">
        <v>1.08856</v>
      </c>
      <c r="D27">
        <v>325.45</v>
      </c>
      <c r="E27">
        <v>244</v>
      </c>
      <c r="F27">
        <v>1.9630000000000001</v>
      </c>
      <c r="G27">
        <v>356.41</v>
      </c>
      <c r="H27">
        <v>212</v>
      </c>
      <c r="I27">
        <v>1.65726</v>
      </c>
      <c r="J27">
        <v>309.05</v>
      </c>
      <c r="K27">
        <v>212</v>
      </c>
      <c r="L27">
        <v>1.65726</v>
      </c>
      <c r="M27">
        <v>388.33</v>
      </c>
      <c r="O27">
        <f t="shared" si="0"/>
        <v>1.1509433962264151</v>
      </c>
      <c r="P27">
        <f t="shared" si="1"/>
        <v>1</v>
      </c>
      <c r="Q27">
        <f t="shared" si="2"/>
        <v>1</v>
      </c>
    </row>
    <row r="28" spans="1:17" x14ac:dyDescent="0.2">
      <c r="A28">
        <v>23</v>
      </c>
      <c r="B28">
        <v>231</v>
      </c>
      <c r="C28">
        <v>1.9821800000000001</v>
      </c>
      <c r="D28">
        <v>413.39</v>
      </c>
      <c r="E28">
        <v>231</v>
      </c>
      <c r="F28">
        <v>1.9821800000000001</v>
      </c>
      <c r="G28">
        <v>467.27</v>
      </c>
      <c r="H28">
        <v>283</v>
      </c>
      <c r="I28">
        <v>1.7452000000000001</v>
      </c>
      <c r="J28">
        <v>364.71</v>
      </c>
      <c r="K28">
        <v>283</v>
      </c>
      <c r="L28">
        <v>1.7452000000000001</v>
      </c>
      <c r="M28">
        <v>347.51</v>
      </c>
      <c r="O28">
        <f t="shared" si="0"/>
        <v>1</v>
      </c>
      <c r="P28">
        <f t="shared" si="1"/>
        <v>1.225108225108225</v>
      </c>
      <c r="Q28">
        <f t="shared" si="2"/>
        <v>1.225108225108225</v>
      </c>
    </row>
    <row r="29" spans="1:17" x14ac:dyDescent="0.2">
      <c r="A29">
        <v>24</v>
      </c>
      <c r="B29">
        <v>212</v>
      </c>
      <c r="C29">
        <v>1.00007</v>
      </c>
      <c r="D29">
        <v>349.56</v>
      </c>
      <c r="E29">
        <v>212</v>
      </c>
      <c r="F29">
        <v>1.00007</v>
      </c>
      <c r="G29">
        <v>333.58</v>
      </c>
      <c r="H29">
        <v>212</v>
      </c>
      <c r="I29">
        <v>1.00007</v>
      </c>
      <c r="J29">
        <v>375.93</v>
      </c>
      <c r="K29">
        <v>212</v>
      </c>
      <c r="L29">
        <v>1.00007</v>
      </c>
      <c r="M29">
        <v>431.31</v>
      </c>
      <c r="O29">
        <f t="shared" si="0"/>
        <v>1</v>
      </c>
      <c r="P29">
        <f t="shared" si="1"/>
        <v>1</v>
      </c>
      <c r="Q29">
        <f t="shared" si="2"/>
        <v>1</v>
      </c>
    </row>
    <row r="30" spans="1:17" x14ac:dyDescent="0.2">
      <c r="A30">
        <v>25</v>
      </c>
      <c r="B30">
        <v>211</v>
      </c>
      <c r="C30">
        <v>1.66981</v>
      </c>
      <c r="D30">
        <v>335.37</v>
      </c>
      <c r="E30">
        <v>211</v>
      </c>
      <c r="F30">
        <v>1.66981</v>
      </c>
      <c r="G30">
        <v>425.4</v>
      </c>
      <c r="H30">
        <v>212</v>
      </c>
      <c r="I30">
        <v>1.65726</v>
      </c>
      <c r="J30">
        <v>361.34</v>
      </c>
      <c r="K30">
        <v>212</v>
      </c>
      <c r="L30">
        <v>1.65726</v>
      </c>
      <c r="M30">
        <v>330.9</v>
      </c>
      <c r="O30">
        <f t="shared" si="0"/>
        <v>1</v>
      </c>
      <c r="P30">
        <f t="shared" si="1"/>
        <v>1.0047393364928909</v>
      </c>
      <c r="Q30">
        <f t="shared" si="2"/>
        <v>1.0047393364928909</v>
      </c>
    </row>
    <row r="31" spans="1:17" x14ac:dyDescent="0.2">
      <c r="A31">
        <v>26</v>
      </c>
      <c r="B31">
        <v>212</v>
      </c>
      <c r="C31">
        <v>1.0022800000000001</v>
      </c>
      <c r="D31">
        <v>333.33</v>
      </c>
      <c r="E31">
        <v>212</v>
      </c>
      <c r="F31">
        <v>1.0022800000000001</v>
      </c>
      <c r="G31">
        <v>321.47000000000003</v>
      </c>
      <c r="H31">
        <v>212</v>
      </c>
      <c r="I31">
        <v>1.5637099999999999</v>
      </c>
      <c r="J31">
        <v>307.26</v>
      </c>
      <c r="K31">
        <v>212</v>
      </c>
      <c r="L31">
        <v>1.5637099999999999</v>
      </c>
      <c r="M31">
        <v>314.17</v>
      </c>
      <c r="O31">
        <f>E31/B31</f>
        <v>1</v>
      </c>
      <c r="P31">
        <f>H31/B31</f>
        <v>1</v>
      </c>
      <c r="Q31">
        <f>K31/B31</f>
        <v>1</v>
      </c>
    </row>
    <row r="32" spans="1:17" x14ac:dyDescent="0.2">
      <c r="A32">
        <v>27</v>
      </c>
      <c r="B32">
        <v>211</v>
      </c>
      <c r="C32">
        <v>1.66981</v>
      </c>
      <c r="D32">
        <v>313.16000000000003</v>
      </c>
      <c r="E32">
        <v>211</v>
      </c>
      <c r="F32">
        <v>1.66981</v>
      </c>
      <c r="G32">
        <v>299.64999999999998</v>
      </c>
      <c r="H32">
        <v>211</v>
      </c>
      <c r="I32">
        <v>1.66981</v>
      </c>
      <c r="J32">
        <v>299.88</v>
      </c>
      <c r="K32">
        <v>211</v>
      </c>
      <c r="L32">
        <v>1.66981</v>
      </c>
      <c r="M32">
        <v>327.45</v>
      </c>
      <c r="O32">
        <f t="shared" ref="O32:O36" si="3">E32/B32</f>
        <v>1</v>
      </c>
      <c r="P32">
        <f t="shared" ref="P32:P36" si="4">H32/B32</f>
        <v>1</v>
      </c>
      <c r="Q32">
        <f t="shared" ref="Q32:Q36" si="5">K32/B32</f>
        <v>1</v>
      </c>
    </row>
    <row r="33" spans="1:17" x14ac:dyDescent="0.2">
      <c r="A33">
        <v>28</v>
      </c>
      <c r="B33">
        <v>211</v>
      </c>
      <c r="C33">
        <v>1.66981</v>
      </c>
      <c r="D33">
        <v>310.29000000000002</v>
      </c>
      <c r="E33">
        <v>211</v>
      </c>
      <c r="F33">
        <v>1.66981</v>
      </c>
      <c r="G33">
        <v>294.42</v>
      </c>
      <c r="H33">
        <v>211</v>
      </c>
      <c r="I33">
        <v>1.66981</v>
      </c>
      <c r="J33">
        <v>325.85000000000002</v>
      </c>
      <c r="K33">
        <v>211</v>
      </c>
      <c r="L33">
        <v>1.66981</v>
      </c>
      <c r="M33">
        <v>385.03</v>
      </c>
      <c r="O33">
        <f t="shared" si="3"/>
        <v>1</v>
      </c>
      <c r="P33">
        <f t="shared" si="4"/>
        <v>1</v>
      </c>
      <c r="Q33">
        <f t="shared" si="5"/>
        <v>1</v>
      </c>
    </row>
    <row r="34" spans="1:17" x14ac:dyDescent="0.2">
      <c r="A34">
        <v>29</v>
      </c>
      <c r="B34">
        <v>266</v>
      </c>
      <c r="C34">
        <v>1.98437</v>
      </c>
      <c r="D34">
        <v>334.12</v>
      </c>
      <c r="E34">
        <v>266</v>
      </c>
      <c r="F34">
        <v>1.98437</v>
      </c>
      <c r="G34">
        <v>335.83</v>
      </c>
      <c r="H34">
        <v>266</v>
      </c>
      <c r="I34">
        <v>1.98437</v>
      </c>
      <c r="J34">
        <v>372.07</v>
      </c>
      <c r="K34">
        <v>266</v>
      </c>
      <c r="L34">
        <v>1.98437</v>
      </c>
      <c r="M34">
        <v>388.04</v>
      </c>
      <c r="O34">
        <f t="shared" si="3"/>
        <v>1</v>
      </c>
      <c r="P34">
        <f t="shared" si="4"/>
        <v>1</v>
      </c>
      <c r="Q34">
        <f t="shared" si="5"/>
        <v>1</v>
      </c>
    </row>
    <row r="35" spans="1:17" x14ac:dyDescent="0.2">
      <c r="A35">
        <v>30</v>
      </c>
      <c r="B35">
        <v>212</v>
      </c>
      <c r="C35">
        <v>1.2480100000000001</v>
      </c>
      <c r="D35">
        <v>402.79</v>
      </c>
      <c r="E35">
        <v>212</v>
      </c>
      <c r="F35">
        <v>1.2480100000000001</v>
      </c>
      <c r="G35">
        <v>396.95</v>
      </c>
      <c r="H35">
        <v>266</v>
      </c>
      <c r="I35">
        <v>1.1098600000000001</v>
      </c>
      <c r="J35">
        <v>367.29</v>
      </c>
      <c r="K35">
        <v>212</v>
      </c>
      <c r="L35">
        <v>1.2480100000000001</v>
      </c>
      <c r="M35">
        <v>398.06</v>
      </c>
      <c r="O35">
        <f t="shared" si="3"/>
        <v>1</v>
      </c>
      <c r="P35">
        <f t="shared" si="4"/>
        <v>1.2547169811320755</v>
      </c>
      <c r="Q35">
        <f t="shared" si="5"/>
        <v>1</v>
      </c>
    </row>
    <row r="36" spans="1:17" x14ac:dyDescent="0.2">
      <c r="A36">
        <v>31</v>
      </c>
      <c r="B36">
        <v>255</v>
      </c>
      <c r="C36">
        <v>1.9823299999999999</v>
      </c>
      <c r="D36">
        <v>367.48</v>
      </c>
      <c r="E36">
        <v>255</v>
      </c>
      <c r="F36">
        <v>1.9823299999999999</v>
      </c>
      <c r="G36">
        <v>376.32</v>
      </c>
      <c r="H36">
        <v>288</v>
      </c>
      <c r="I36">
        <v>1.0912900000000001</v>
      </c>
      <c r="J36">
        <v>335.5</v>
      </c>
      <c r="K36">
        <v>288</v>
      </c>
      <c r="L36">
        <v>1.0912900000000001</v>
      </c>
      <c r="M36">
        <v>348.33</v>
      </c>
      <c r="O36">
        <f t="shared" si="3"/>
        <v>1</v>
      </c>
      <c r="P36">
        <f t="shared" si="4"/>
        <v>1.1294117647058823</v>
      </c>
      <c r="Q36">
        <f t="shared" si="5"/>
        <v>1.1294117647058823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266</v>
      </c>
      <c r="C40" s="1">
        <f t="shared" ref="C40:J40" si="6">MAX(C5:C36)</f>
        <v>1.98437</v>
      </c>
      <c r="D40" s="1">
        <f t="shared" si="6"/>
        <v>655.93</v>
      </c>
      <c r="E40" s="1">
        <f t="shared" si="6"/>
        <v>266</v>
      </c>
      <c r="F40" s="1">
        <f t="shared" si="6"/>
        <v>1.9849600000000001</v>
      </c>
      <c r="G40" s="1">
        <f t="shared" si="6"/>
        <v>467.27</v>
      </c>
      <c r="H40" s="1">
        <f t="shared" si="6"/>
        <v>320</v>
      </c>
      <c r="I40" s="1">
        <f t="shared" si="6"/>
        <v>1.9849600000000001</v>
      </c>
      <c r="J40" s="1">
        <f t="shared" si="6"/>
        <v>403.71</v>
      </c>
      <c r="K40" s="1">
        <f t="shared" ref="K40:M40" si="7">MAX(K5:K36)</f>
        <v>288</v>
      </c>
      <c r="L40" s="1">
        <f t="shared" si="7"/>
        <v>1.9849600000000001</v>
      </c>
      <c r="M40" s="1">
        <f t="shared" si="7"/>
        <v>431.31</v>
      </c>
      <c r="N40" s="1">
        <v>1</v>
      </c>
      <c r="O40" s="1">
        <f t="shared" ref="O40:Q40" si="8">MAX(O5:O36)</f>
        <v>1.1509433962264151</v>
      </c>
      <c r="P40" s="1">
        <f t="shared" si="8"/>
        <v>1.5094339622641511</v>
      </c>
      <c r="Q40" s="1">
        <f t="shared" si="8"/>
        <v>1.225108225108225</v>
      </c>
    </row>
    <row r="41" spans="1:17" x14ac:dyDescent="0.2">
      <c r="A41" t="s">
        <v>12</v>
      </c>
      <c r="B41" s="1">
        <f>MIN(B5:B36)</f>
        <v>211</v>
      </c>
      <c r="C41" s="1">
        <f t="shared" ref="C41:J41" si="9">MIN(C5:C36)</f>
        <v>1</v>
      </c>
      <c r="D41" s="1">
        <f t="shared" si="9"/>
        <v>291.43</v>
      </c>
      <c r="E41" s="1">
        <f t="shared" si="9"/>
        <v>211</v>
      </c>
      <c r="F41" s="1">
        <f t="shared" si="9"/>
        <v>1.00007</v>
      </c>
      <c r="G41" s="1">
        <f t="shared" si="9"/>
        <v>290.25</v>
      </c>
      <c r="H41" s="1">
        <f t="shared" si="9"/>
        <v>211</v>
      </c>
      <c r="I41" s="1">
        <f t="shared" si="9"/>
        <v>1.00007</v>
      </c>
      <c r="J41" s="1">
        <f t="shared" si="9"/>
        <v>290.27</v>
      </c>
      <c r="K41" s="1">
        <f t="shared" ref="K41:M41" si="10">MIN(K5:K36)</f>
        <v>211</v>
      </c>
      <c r="L41" s="1">
        <f t="shared" si="10"/>
        <v>1.00007</v>
      </c>
      <c r="M41" s="1">
        <f t="shared" si="10"/>
        <v>303.89</v>
      </c>
      <c r="N41" s="1">
        <v>1</v>
      </c>
      <c r="O41" s="1">
        <f t="shared" ref="O41:Q41" si="11">MIN(O5:O36)</f>
        <v>1</v>
      </c>
      <c r="P41" s="1">
        <f t="shared" si="11"/>
        <v>1</v>
      </c>
      <c r="Q41" s="1">
        <f t="shared" si="11"/>
        <v>1</v>
      </c>
    </row>
    <row r="42" spans="1:17" x14ac:dyDescent="0.2">
      <c r="A42" t="s">
        <v>13</v>
      </c>
      <c r="B42" s="1">
        <f>MEDIAN(B5:B36)</f>
        <v>212</v>
      </c>
      <c r="C42" s="1">
        <f t="shared" ref="C42:J42" si="12">MEDIAN(C5:C36)</f>
        <v>1.5846750000000001</v>
      </c>
      <c r="D42" s="1">
        <f t="shared" si="12"/>
        <v>328.18499999999995</v>
      </c>
      <c r="E42" s="1">
        <f t="shared" si="12"/>
        <v>212</v>
      </c>
      <c r="F42" s="1">
        <f t="shared" si="12"/>
        <v>1.66981</v>
      </c>
      <c r="G42" s="1">
        <f t="shared" si="12"/>
        <v>327.19</v>
      </c>
      <c r="H42" s="1">
        <f t="shared" si="12"/>
        <v>212</v>
      </c>
      <c r="I42" s="1">
        <f t="shared" si="12"/>
        <v>1.663535</v>
      </c>
      <c r="J42" s="1">
        <f t="shared" si="12"/>
        <v>308.24</v>
      </c>
      <c r="K42" s="1">
        <f t="shared" ref="K42:M42" si="13">MEDIAN(K5:K36)</f>
        <v>212</v>
      </c>
      <c r="L42" s="1">
        <f t="shared" si="13"/>
        <v>1.65726</v>
      </c>
      <c r="M42" s="1">
        <f t="shared" si="13"/>
        <v>330.40999999999997</v>
      </c>
      <c r="N42" s="1">
        <v>1</v>
      </c>
      <c r="O42" s="1">
        <f t="shared" ref="O42:Q42" si="14">MEDIAN(O5:O36)</f>
        <v>1</v>
      </c>
      <c r="P42" s="1">
        <f t="shared" si="14"/>
        <v>1</v>
      </c>
      <c r="Q42" s="1">
        <f t="shared" si="14"/>
        <v>1</v>
      </c>
    </row>
    <row r="43" spans="1:17" x14ac:dyDescent="0.2">
      <c r="A43" t="s">
        <v>14</v>
      </c>
      <c r="B43" s="1">
        <f>AVERAGE(B5:B36)</f>
        <v>215.28125</v>
      </c>
      <c r="C43" s="1">
        <f t="shared" ref="C43:J43" si="15">AVERAGE(C5:C36)</f>
        <v>1.4638815624999997</v>
      </c>
      <c r="D43" s="1">
        <f t="shared" si="15"/>
        <v>346.35531250000003</v>
      </c>
      <c r="E43" s="1">
        <f t="shared" si="15"/>
        <v>217.5625</v>
      </c>
      <c r="F43" s="1">
        <f t="shared" si="15"/>
        <v>1.5235306249999998</v>
      </c>
      <c r="G43" s="1">
        <f t="shared" si="15"/>
        <v>343.03874999999994</v>
      </c>
      <c r="H43" s="1">
        <f t="shared" si="15"/>
        <v>230.03125</v>
      </c>
      <c r="I43" s="1">
        <f t="shared" si="15"/>
        <v>1.6045359374999997</v>
      </c>
      <c r="J43" s="1">
        <f t="shared" si="15"/>
        <v>324.51000000000005</v>
      </c>
      <c r="K43" s="1">
        <f t="shared" ref="K43:M43" si="16">AVERAGE(K5:K36)</f>
        <v>219.53125</v>
      </c>
      <c r="L43" s="1">
        <f t="shared" si="16"/>
        <v>1.5359003124999999</v>
      </c>
      <c r="M43" s="1">
        <f t="shared" si="16"/>
        <v>347.1996875000001</v>
      </c>
      <c r="N43" s="4">
        <v>1</v>
      </c>
      <c r="O43" s="4">
        <f t="shared" ref="O43:Q43" si="17">AVERAGE(O5:O36)</f>
        <v>1.0107724894929804</v>
      </c>
      <c r="P43" s="4">
        <f t="shared" si="17"/>
        <v>1.0681268360628051</v>
      </c>
      <c r="Q43" s="4">
        <f t="shared" si="17"/>
        <v>1.0185985341760126</v>
      </c>
    </row>
    <row r="44" spans="1:17" x14ac:dyDescent="0.2">
      <c r="A44" t="s">
        <v>15</v>
      </c>
      <c r="B44" s="1">
        <f>STDEV(B5:B36)</f>
        <v>12.433654576552795</v>
      </c>
      <c r="C44" s="1">
        <f t="shared" ref="C44:J44" si="18">STDEV(C5:C36)</f>
        <v>0.33821276965180574</v>
      </c>
      <c r="D44" s="1">
        <f t="shared" si="18"/>
        <v>65.411527887248809</v>
      </c>
      <c r="E44" s="1">
        <f t="shared" si="18"/>
        <v>13.877197588246187</v>
      </c>
      <c r="F44" s="1">
        <f t="shared" si="18"/>
        <v>0.34912889057174251</v>
      </c>
      <c r="G44" s="1">
        <f t="shared" si="18"/>
        <v>48.722600223927998</v>
      </c>
      <c r="H44" s="1">
        <f t="shared" si="18"/>
        <v>31.315753404481946</v>
      </c>
      <c r="I44" s="1">
        <f t="shared" si="18"/>
        <v>0.26946043655806207</v>
      </c>
      <c r="J44" s="1">
        <f t="shared" si="18"/>
        <v>32.910927099986793</v>
      </c>
      <c r="K44" s="1">
        <f t="shared" ref="K44:M44" si="19">STDEV(K5:K36)</f>
        <v>20.413443348804208</v>
      </c>
      <c r="L44" s="1">
        <f t="shared" si="19"/>
        <v>0.28110183121567056</v>
      </c>
      <c r="M44" s="1">
        <f t="shared" si="19"/>
        <v>39.769852862102915</v>
      </c>
      <c r="N44" s="1">
        <v>1</v>
      </c>
      <c r="O44" s="1">
        <f t="shared" ref="O44:Q44" si="20">STDEV(O5:O36)</f>
        <v>3.4854039158480503E-2</v>
      </c>
      <c r="P44" s="1">
        <f t="shared" si="20"/>
        <v>0.12965706476637301</v>
      </c>
      <c r="Q44" s="1">
        <f t="shared" si="20"/>
        <v>5.0318802471556061E-2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85333-07F2-1E42-8578-1FCDE8BEDF8F}">
  <sheetPr codeName="Sheet3"/>
  <dimension ref="A1:Q44"/>
  <sheetViews>
    <sheetView topLeftCell="C20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708590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7</v>
      </c>
      <c r="C5">
        <v>1.0186900000000001</v>
      </c>
      <c r="D5">
        <v>8918.65</v>
      </c>
      <c r="E5">
        <v>7</v>
      </c>
      <c r="F5">
        <v>1.0186900000000001</v>
      </c>
      <c r="G5">
        <v>7110.08</v>
      </c>
      <c r="H5">
        <v>13</v>
      </c>
      <c r="I5">
        <v>1.0071399999999999</v>
      </c>
      <c r="J5">
        <v>6913.08</v>
      </c>
      <c r="K5">
        <v>7</v>
      </c>
      <c r="L5">
        <v>1.0186900000000001</v>
      </c>
      <c r="M5">
        <v>7529.79</v>
      </c>
      <c r="O5">
        <f>E5/B5</f>
        <v>1</v>
      </c>
      <c r="P5">
        <f>H5/B5</f>
        <v>1.8571428571428572</v>
      </c>
      <c r="Q5">
        <f>K5/B5</f>
        <v>1</v>
      </c>
    </row>
    <row r="6" spans="1:17" x14ac:dyDescent="0.2">
      <c r="A6">
        <v>1</v>
      </c>
      <c r="B6">
        <v>6</v>
      </c>
      <c r="C6">
        <v>1</v>
      </c>
      <c r="D6">
        <v>8300.4699999999993</v>
      </c>
      <c r="E6">
        <v>6</v>
      </c>
      <c r="F6">
        <v>1</v>
      </c>
      <c r="G6">
        <v>8017.53</v>
      </c>
      <c r="H6">
        <v>13</v>
      </c>
      <c r="I6">
        <v>1.0662199999999999</v>
      </c>
      <c r="J6">
        <v>7885.92</v>
      </c>
      <c r="K6">
        <v>6</v>
      </c>
      <c r="L6">
        <v>1</v>
      </c>
      <c r="M6">
        <v>8427.52</v>
      </c>
      <c r="O6">
        <f t="shared" ref="O6:O30" si="0">E6/B6</f>
        <v>1</v>
      </c>
      <c r="P6">
        <f t="shared" ref="P6:P30" si="1">H6/B6</f>
        <v>2.1666666666666665</v>
      </c>
      <c r="Q6">
        <f t="shared" ref="Q6:Q30" si="2">K6/B6</f>
        <v>1</v>
      </c>
    </row>
    <row r="7" spans="1:17" x14ac:dyDescent="0.2">
      <c r="A7">
        <v>2</v>
      </c>
      <c r="B7">
        <v>7</v>
      </c>
      <c r="C7">
        <v>1.0186900000000001</v>
      </c>
      <c r="D7">
        <v>9198.2099999999991</v>
      </c>
      <c r="E7">
        <v>7</v>
      </c>
      <c r="F7">
        <v>1.0186900000000001</v>
      </c>
      <c r="G7">
        <v>7378.12</v>
      </c>
      <c r="H7">
        <v>13</v>
      </c>
      <c r="I7">
        <v>1.0071399999999999</v>
      </c>
      <c r="J7">
        <v>6679.31</v>
      </c>
      <c r="K7">
        <v>7</v>
      </c>
      <c r="L7">
        <v>1.0186900000000001</v>
      </c>
      <c r="M7">
        <v>13980.75</v>
      </c>
      <c r="O7">
        <f t="shared" si="0"/>
        <v>1</v>
      </c>
      <c r="P7">
        <f t="shared" si="1"/>
        <v>1.8571428571428572</v>
      </c>
      <c r="Q7">
        <f t="shared" si="2"/>
        <v>1</v>
      </c>
    </row>
    <row r="8" spans="1:17" x14ac:dyDescent="0.2">
      <c r="A8">
        <v>3</v>
      </c>
      <c r="B8">
        <v>10</v>
      </c>
      <c r="C8">
        <v>1.0210999999999999</v>
      </c>
      <c r="D8">
        <v>7240.93</v>
      </c>
      <c r="E8">
        <v>10</v>
      </c>
      <c r="F8">
        <v>1.0210999999999999</v>
      </c>
      <c r="G8">
        <v>9092.36</v>
      </c>
      <c r="H8">
        <v>17</v>
      </c>
      <c r="I8">
        <v>1.04417</v>
      </c>
      <c r="J8">
        <v>8534.27</v>
      </c>
      <c r="K8">
        <v>10</v>
      </c>
      <c r="L8">
        <v>1.0210999999999999</v>
      </c>
      <c r="M8">
        <v>10448.24</v>
      </c>
      <c r="O8">
        <f t="shared" si="0"/>
        <v>1</v>
      </c>
      <c r="P8">
        <f t="shared" si="1"/>
        <v>1.7</v>
      </c>
      <c r="Q8">
        <f t="shared" si="2"/>
        <v>1</v>
      </c>
    </row>
    <row r="9" spans="1:17" x14ac:dyDescent="0.2">
      <c r="A9">
        <v>4</v>
      </c>
      <c r="B9">
        <v>6</v>
      </c>
      <c r="C9">
        <v>1</v>
      </c>
      <c r="D9">
        <v>7291.11</v>
      </c>
      <c r="E9">
        <v>6</v>
      </c>
      <c r="F9">
        <v>1</v>
      </c>
      <c r="G9">
        <v>8683.77</v>
      </c>
      <c r="H9">
        <v>12</v>
      </c>
      <c r="I9">
        <v>1.02597</v>
      </c>
      <c r="J9">
        <v>8768.2000000000007</v>
      </c>
      <c r="K9">
        <v>6</v>
      </c>
      <c r="L9">
        <v>1</v>
      </c>
      <c r="M9">
        <v>11646.11</v>
      </c>
      <c r="O9">
        <f t="shared" si="0"/>
        <v>1</v>
      </c>
      <c r="P9">
        <f t="shared" si="1"/>
        <v>2</v>
      </c>
      <c r="Q9">
        <f t="shared" si="2"/>
        <v>1</v>
      </c>
    </row>
    <row r="10" spans="1:17" x14ac:dyDescent="0.2">
      <c r="A10">
        <v>5</v>
      </c>
      <c r="B10">
        <v>6</v>
      </c>
      <c r="C10">
        <v>1</v>
      </c>
      <c r="D10">
        <v>6811.61</v>
      </c>
      <c r="E10">
        <v>6</v>
      </c>
      <c r="F10">
        <v>1</v>
      </c>
      <c r="G10">
        <v>7527.42</v>
      </c>
      <c r="H10">
        <v>13</v>
      </c>
      <c r="I10">
        <v>1.0662199999999999</v>
      </c>
      <c r="J10">
        <v>7920.81</v>
      </c>
      <c r="K10">
        <v>6</v>
      </c>
      <c r="L10">
        <v>1</v>
      </c>
      <c r="M10">
        <v>8763.0400000000009</v>
      </c>
      <c r="O10">
        <f t="shared" si="0"/>
        <v>1</v>
      </c>
      <c r="P10">
        <f t="shared" si="1"/>
        <v>2.1666666666666665</v>
      </c>
      <c r="Q10">
        <f t="shared" si="2"/>
        <v>1</v>
      </c>
    </row>
    <row r="11" spans="1:17" x14ac:dyDescent="0.2">
      <c r="A11">
        <v>6</v>
      </c>
      <c r="B11">
        <v>9</v>
      </c>
      <c r="C11">
        <v>1.00092</v>
      </c>
      <c r="D11">
        <v>9563.58</v>
      </c>
      <c r="E11">
        <v>9</v>
      </c>
      <c r="F11">
        <v>1.00092</v>
      </c>
      <c r="G11">
        <v>7241.73</v>
      </c>
      <c r="H11">
        <v>16</v>
      </c>
      <c r="I11">
        <v>1.06524</v>
      </c>
      <c r="J11">
        <v>8028.03</v>
      </c>
      <c r="K11">
        <v>9</v>
      </c>
      <c r="L11">
        <v>1.00092</v>
      </c>
      <c r="M11">
        <v>10126.629999999999</v>
      </c>
      <c r="O11">
        <f t="shared" si="0"/>
        <v>1</v>
      </c>
      <c r="P11">
        <f t="shared" si="1"/>
        <v>1.7777777777777777</v>
      </c>
      <c r="Q11">
        <f t="shared" si="2"/>
        <v>1</v>
      </c>
    </row>
    <row r="12" spans="1:17" x14ac:dyDescent="0.2">
      <c r="A12">
        <v>7</v>
      </c>
      <c r="B12">
        <v>7</v>
      </c>
      <c r="C12">
        <v>1.05714</v>
      </c>
      <c r="D12">
        <v>10173.33</v>
      </c>
      <c r="E12">
        <v>7</v>
      </c>
      <c r="F12">
        <v>1.05714</v>
      </c>
      <c r="G12">
        <v>7289.88</v>
      </c>
      <c r="H12">
        <v>13</v>
      </c>
      <c r="I12">
        <v>1.03037</v>
      </c>
      <c r="J12">
        <v>7467.2</v>
      </c>
      <c r="K12">
        <v>7</v>
      </c>
      <c r="L12">
        <v>1.05714</v>
      </c>
      <c r="M12">
        <v>9141.58</v>
      </c>
      <c r="O12">
        <f t="shared" si="0"/>
        <v>1</v>
      </c>
      <c r="P12">
        <f t="shared" si="1"/>
        <v>1.8571428571428572</v>
      </c>
      <c r="Q12">
        <f t="shared" si="2"/>
        <v>1</v>
      </c>
    </row>
    <row r="13" spans="1:17" x14ac:dyDescent="0.2">
      <c r="A13">
        <v>8</v>
      </c>
      <c r="B13">
        <v>7</v>
      </c>
      <c r="C13">
        <v>1.0186900000000001</v>
      </c>
      <c r="D13">
        <v>9961.1299999999992</v>
      </c>
      <c r="E13">
        <v>7</v>
      </c>
      <c r="F13">
        <v>1.0186900000000001</v>
      </c>
      <c r="G13">
        <v>8070.76</v>
      </c>
      <c r="H13">
        <v>14</v>
      </c>
      <c r="I13">
        <v>1.0466500000000001</v>
      </c>
      <c r="J13">
        <v>7399.17</v>
      </c>
      <c r="K13">
        <v>7</v>
      </c>
      <c r="L13">
        <v>1.0186900000000001</v>
      </c>
      <c r="M13">
        <v>8952.23</v>
      </c>
      <c r="O13">
        <f t="shared" si="0"/>
        <v>1</v>
      </c>
      <c r="P13">
        <f t="shared" si="1"/>
        <v>2</v>
      </c>
      <c r="Q13">
        <f t="shared" si="2"/>
        <v>1</v>
      </c>
    </row>
    <row r="14" spans="1:17" x14ac:dyDescent="0.2">
      <c r="A14">
        <v>9</v>
      </c>
      <c r="B14">
        <v>7</v>
      </c>
      <c r="C14">
        <v>1.0061899999999999</v>
      </c>
      <c r="D14">
        <v>9664.5300000000007</v>
      </c>
      <c r="E14">
        <v>7</v>
      </c>
      <c r="F14">
        <v>1.0061899999999999</v>
      </c>
      <c r="G14">
        <v>8998.09</v>
      </c>
      <c r="H14">
        <v>13</v>
      </c>
      <c r="I14">
        <v>1.0323199999999999</v>
      </c>
      <c r="J14">
        <v>7655.49</v>
      </c>
      <c r="K14">
        <v>7</v>
      </c>
      <c r="L14">
        <v>1.0061899999999999</v>
      </c>
      <c r="M14">
        <v>10430.969999999999</v>
      </c>
      <c r="O14">
        <f t="shared" si="0"/>
        <v>1</v>
      </c>
      <c r="P14">
        <f t="shared" si="1"/>
        <v>1.8571428571428572</v>
      </c>
      <c r="Q14">
        <f t="shared" si="2"/>
        <v>1</v>
      </c>
    </row>
    <row r="15" spans="1:17" x14ac:dyDescent="0.2">
      <c r="A15">
        <v>10</v>
      </c>
      <c r="B15">
        <v>7</v>
      </c>
      <c r="C15">
        <v>1.05714</v>
      </c>
      <c r="D15">
        <v>6759.6</v>
      </c>
      <c r="E15">
        <v>7</v>
      </c>
      <c r="F15">
        <v>1.05714</v>
      </c>
      <c r="G15">
        <v>8995.98</v>
      </c>
      <c r="H15">
        <v>14</v>
      </c>
      <c r="I15">
        <v>1.00858</v>
      </c>
      <c r="J15">
        <v>8929.1200000000008</v>
      </c>
      <c r="K15">
        <v>7</v>
      </c>
      <c r="L15">
        <v>1.05714</v>
      </c>
      <c r="M15">
        <v>11357.01</v>
      </c>
      <c r="O15">
        <f t="shared" si="0"/>
        <v>1</v>
      </c>
      <c r="P15">
        <f t="shared" si="1"/>
        <v>2</v>
      </c>
      <c r="Q15">
        <f t="shared" si="2"/>
        <v>1</v>
      </c>
    </row>
    <row r="16" spans="1:17" x14ac:dyDescent="0.2">
      <c r="A16">
        <v>11</v>
      </c>
      <c r="B16">
        <v>7</v>
      </c>
      <c r="C16">
        <v>1.00206</v>
      </c>
      <c r="D16">
        <v>6859.43</v>
      </c>
      <c r="E16">
        <v>7</v>
      </c>
      <c r="F16">
        <v>1.00206</v>
      </c>
      <c r="G16">
        <v>7911.76</v>
      </c>
      <c r="H16">
        <v>13</v>
      </c>
      <c r="I16">
        <v>1.0280800000000001</v>
      </c>
      <c r="J16">
        <v>8373.26</v>
      </c>
      <c r="K16">
        <v>7</v>
      </c>
      <c r="L16">
        <v>1.00206</v>
      </c>
      <c r="M16">
        <v>11629.83</v>
      </c>
      <c r="O16">
        <f t="shared" si="0"/>
        <v>1</v>
      </c>
      <c r="P16">
        <f t="shared" si="1"/>
        <v>1.8571428571428572</v>
      </c>
      <c r="Q16">
        <f t="shared" si="2"/>
        <v>1</v>
      </c>
    </row>
    <row r="17" spans="1:17" x14ac:dyDescent="0.2">
      <c r="A17">
        <v>12</v>
      </c>
      <c r="B17">
        <v>7</v>
      </c>
      <c r="C17">
        <v>1.05714</v>
      </c>
      <c r="D17">
        <v>7541.5</v>
      </c>
      <c r="E17">
        <v>7</v>
      </c>
      <c r="F17">
        <v>1.05714</v>
      </c>
      <c r="G17">
        <v>8897.2800000000007</v>
      </c>
      <c r="H17">
        <v>13</v>
      </c>
      <c r="I17">
        <v>1.0846199999999999</v>
      </c>
      <c r="J17">
        <v>9437.52</v>
      </c>
      <c r="K17">
        <v>7</v>
      </c>
      <c r="L17">
        <v>1.05714</v>
      </c>
      <c r="M17">
        <v>10104.469999999999</v>
      </c>
      <c r="O17">
        <f t="shared" si="0"/>
        <v>1</v>
      </c>
      <c r="P17">
        <f t="shared" si="1"/>
        <v>1.8571428571428572</v>
      </c>
      <c r="Q17">
        <f t="shared" si="2"/>
        <v>1</v>
      </c>
    </row>
    <row r="18" spans="1:17" x14ac:dyDescent="0.2">
      <c r="A18">
        <v>13</v>
      </c>
      <c r="B18">
        <v>9</v>
      </c>
      <c r="C18">
        <v>1.36208</v>
      </c>
      <c r="D18">
        <v>7430.35</v>
      </c>
      <c r="E18">
        <v>9</v>
      </c>
      <c r="F18">
        <v>1.36208</v>
      </c>
      <c r="G18">
        <v>6973.98</v>
      </c>
      <c r="H18">
        <v>15</v>
      </c>
      <c r="I18">
        <v>1.39838</v>
      </c>
      <c r="J18">
        <v>7450.21</v>
      </c>
      <c r="K18">
        <v>9</v>
      </c>
      <c r="L18">
        <v>1.36208</v>
      </c>
      <c r="M18">
        <v>9065.92</v>
      </c>
      <c r="O18">
        <f t="shared" si="0"/>
        <v>1</v>
      </c>
      <c r="P18">
        <f t="shared" si="1"/>
        <v>1.6666666666666667</v>
      </c>
      <c r="Q18">
        <f t="shared" si="2"/>
        <v>1</v>
      </c>
    </row>
    <row r="19" spans="1:17" x14ac:dyDescent="0.2">
      <c r="A19">
        <v>14</v>
      </c>
      <c r="B19">
        <v>7</v>
      </c>
      <c r="C19">
        <v>1.00206</v>
      </c>
      <c r="D19">
        <v>9870.85</v>
      </c>
      <c r="E19">
        <v>7</v>
      </c>
      <c r="F19">
        <v>1.00206</v>
      </c>
      <c r="G19">
        <v>8376.6</v>
      </c>
      <c r="H19">
        <v>13</v>
      </c>
      <c r="I19">
        <v>1.0280800000000001</v>
      </c>
      <c r="J19">
        <v>8055.11</v>
      </c>
      <c r="K19">
        <v>7</v>
      </c>
      <c r="L19">
        <v>1.00206</v>
      </c>
      <c r="M19">
        <v>10354.32</v>
      </c>
      <c r="O19">
        <f t="shared" si="0"/>
        <v>1</v>
      </c>
      <c r="P19">
        <f t="shared" si="1"/>
        <v>1.8571428571428572</v>
      </c>
      <c r="Q19">
        <f t="shared" si="2"/>
        <v>1</v>
      </c>
    </row>
    <row r="20" spans="1:17" x14ac:dyDescent="0.2">
      <c r="A20">
        <v>15</v>
      </c>
      <c r="B20">
        <v>10</v>
      </c>
      <c r="C20">
        <v>1.0270900000000001</v>
      </c>
      <c r="D20">
        <v>8183.12</v>
      </c>
      <c r="E20">
        <v>10</v>
      </c>
      <c r="F20">
        <v>1.0270900000000001</v>
      </c>
      <c r="G20">
        <v>7973.06</v>
      </c>
      <c r="H20">
        <v>16</v>
      </c>
      <c r="I20">
        <v>1.05376</v>
      </c>
      <c r="J20">
        <v>7983.25</v>
      </c>
      <c r="K20">
        <v>10</v>
      </c>
      <c r="L20">
        <v>1.0270900000000001</v>
      </c>
      <c r="M20">
        <v>9224.4699999999993</v>
      </c>
      <c r="O20">
        <f t="shared" si="0"/>
        <v>1</v>
      </c>
      <c r="P20">
        <f t="shared" si="1"/>
        <v>1.6</v>
      </c>
      <c r="Q20">
        <f t="shared" si="2"/>
        <v>1</v>
      </c>
    </row>
    <row r="21" spans="1:17" x14ac:dyDescent="0.2">
      <c r="A21">
        <v>16</v>
      </c>
      <c r="B21">
        <v>8</v>
      </c>
      <c r="C21">
        <v>1.05932</v>
      </c>
      <c r="D21">
        <v>8620.5</v>
      </c>
      <c r="E21">
        <v>8</v>
      </c>
      <c r="F21">
        <v>1.05932</v>
      </c>
      <c r="G21">
        <v>8360.99</v>
      </c>
      <c r="H21">
        <v>14</v>
      </c>
      <c r="I21">
        <v>1.0324899999999999</v>
      </c>
      <c r="J21">
        <v>8424.9500000000007</v>
      </c>
      <c r="K21">
        <v>8</v>
      </c>
      <c r="L21">
        <v>1.05932</v>
      </c>
      <c r="M21">
        <v>8756.9599999999991</v>
      </c>
      <c r="O21">
        <f t="shared" si="0"/>
        <v>1</v>
      </c>
      <c r="P21">
        <f t="shared" si="1"/>
        <v>1.75</v>
      </c>
      <c r="Q21">
        <f t="shared" si="2"/>
        <v>1</v>
      </c>
    </row>
    <row r="22" spans="1:17" x14ac:dyDescent="0.2">
      <c r="A22">
        <v>17</v>
      </c>
      <c r="B22">
        <v>8</v>
      </c>
      <c r="C22">
        <v>1.0082599999999999</v>
      </c>
      <c r="D22">
        <v>8273.17</v>
      </c>
      <c r="E22">
        <v>8</v>
      </c>
      <c r="F22">
        <v>1.0082599999999999</v>
      </c>
      <c r="G22">
        <v>7824.72</v>
      </c>
      <c r="H22">
        <v>14</v>
      </c>
      <c r="I22">
        <v>1.01756</v>
      </c>
      <c r="J22">
        <v>8042.44</v>
      </c>
      <c r="K22">
        <v>8</v>
      </c>
      <c r="L22">
        <v>1.0082599999999999</v>
      </c>
      <c r="M22">
        <v>8774.83</v>
      </c>
      <c r="O22">
        <f t="shared" si="0"/>
        <v>1</v>
      </c>
      <c r="P22">
        <f t="shared" si="1"/>
        <v>1.75</v>
      </c>
      <c r="Q22">
        <f t="shared" si="2"/>
        <v>1</v>
      </c>
    </row>
    <row r="23" spans="1:17" x14ac:dyDescent="0.2">
      <c r="A23">
        <v>18</v>
      </c>
      <c r="B23">
        <v>7</v>
      </c>
      <c r="C23">
        <v>1.0186900000000001</v>
      </c>
      <c r="D23">
        <v>7879.58</v>
      </c>
      <c r="E23">
        <v>7</v>
      </c>
      <c r="F23">
        <v>1.0186900000000001</v>
      </c>
      <c r="G23">
        <v>7686.94</v>
      </c>
      <c r="H23">
        <v>14</v>
      </c>
      <c r="I23">
        <v>1.4674700000000001</v>
      </c>
      <c r="J23">
        <v>10411.620000000001</v>
      </c>
      <c r="K23">
        <v>7</v>
      </c>
      <c r="L23">
        <v>1.0186900000000001</v>
      </c>
      <c r="M23">
        <v>8919.2800000000007</v>
      </c>
      <c r="O23">
        <f t="shared" si="0"/>
        <v>1</v>
      </c>
      <c r="P23">
        <f t="shared" si="1"/>
        <v>2</v>
      </c>
      <c r="Q23">
        <f t="shared" si="2"/>
        <v>1</v>
      </c>
    </row>
    <row r="24" spans="1:17" x14ac:dyDescent="0.2">
      <c r="A24">
        <v>19</v>
      </c>
      <c r="B24">
        <v>10</v>
      </c>
      <c r="C24">
        <v>1.05742</v>
      </c>
      <c r="D24">
        <v>10962.73</v>
      </c>
      <c r="E24">
        <v>10</v>
      </c>
      <c r="F24">
        <v>1.05742</v>
      </c>
      <c r="G24">
        <v>8961.8799999999992</v>
      </c>
      <c r="H24">
        <v>16</v>
      </c>
      <c r="I24">
        <v>1.08491</v>
      </c>
      <c r="J24">
        <v>7953.6</v>
      </c>
      <c r="K24">
        <v>10</v>
      </c>
      <c r="L24">
        <v>1.05742</v>
      </c>
      <c r="M24">
        <v>6993.39</v>
      </c>
      <c r="O24">
        <f t="shared" si="0"/>
        <v>1</v>
      </c>
      <c r="P24">
        <f t="shared" si="1"/>
        <v>1.6</v>
      </c>
      <c r="Q24">
        <f t="shared" si="2"/>
        <v>1</v>
      </c>
    </row>
    <row r="25" spans="1:17" x14ac:dyDescent="0.2">
      <c r="A25">
        <v>20</v>
      </c>
      <c r="B25">
        <v>8</v>
      </c>
      <c r="C25">
        <v>1.0578700000000001</v>
      </c>
      <c r="D25">
        <v>6997.78</v>
      </c>
      <c r="E25">
        <v>8</v>
      </c>
      <c r="F25">
        <v>1.0578700000000001</v>
      </c>
      <c r="G25">
        <v>7082.84</v>
      </c>
      <c r="H25">
        <v>14</v>
      </c>
      <c r="I25">
        <v>1.0853699999999999</v>
      </c>
      <c r="J25">
        <v>7233.67</v>
      </c>
      <c r="K25">
        <v>8</v>
      </c>
      <c r="L25">
        <v>1.0578700000000001</v>
      </c>
      <c r="M25">
        <v>7239.21</v>
      </c>
      <c r="O25">
        <f t="shared" si="0"/>
        <v>1</v>
      </c>
      <c r="P25">
        <f t="shared" si="1"/>
        <v>1.75</v>
      </c>
      <c r="Q25">
        <f t="shared" si="2"/>
        <v>1</v>
      </c>
    </row>
    <row r="26" spans="1:17" x14ac:dyDescent="0.2">
      <c r="A26">
        <v>21</v>
      </c>
      <c r="B26">
        <v>10</v>
      </c>
      <c r="C26">
        <v>1.05505</v>
      </c>
      <c r="D26">
        <v>8446.19</v>
      </c>
      <c r="E26">
        <v>10</v>
      </c>
      <c r="F26">
        <v>1.05505</v>
      </c>
      <c r="G26">
        <v>8082.71</v>
      </c>
      <c r="H26">
        <v>17</v>
      </c>
      <c r="I26">
        <v>1.4152400000000001</v>
      </c>
      <c r="J26">
        <v>7573.94</v>
      </c>
      <c r="K26">
        <v>10</v>
      </c>
      <c r="L26">
        <v>1.05505</v>
      </c>
      <c r="M26">
        <v>8724.83</v>
      </c>
      <c r="O26">
        <f t="shared" si="0"/>
        <v>1</v>
      </c>
      <c r="P26">
        <f t="shared" si="1"/>
        <v>1.7</v>
      </c>
      <c r="Q26">
        <f t="shared" si="2"/>
        <v>1</v>
      </c>
    </row>
    <row r="27" spans="1:17" x14ac:dyDescent="0.2">
      <c r="A27">
        <v>22</v>
      </c>
      <c r="B27">
        <v>7</v>
      </c>
      <c r="C27">
        <v>1.0061899999999999</v>
      </c>
      <c r="D27">
        <v>8539.01</v>
      </c>
      <c r="E27">
        <v>7</v>
      </c>
      <c r="F27">
        <v>1.0061899999999999</v>
      </c>
      <c r="G27">
        <v>7808.91</v>
      </c>
      <c r="H27">
        <v>14</v>
      </c>
      <c r="I27">
        <v>1.05966</v>
      </c>
      <c r="J27">
        <v>7203.53</v>
      </c>
      <c r="K27">
        <v>7</v>
      </c>
      <c r="L27">
        <v>1.0061899999999999</v>
      </c>
      <c r="M27">
        <v>6923.06</v>
      </c>
      <c r="O27">
        <f t="shared" si="0"/>
        <v>1</v>
      </c>
      <c r="P27">
        <f t="shared" si="1"/>
        <v>2</v>
      </c>
      <c r="Q27">
        <f t="shared" si="2"/>
        <v>1</v>
      </c>
    </row>
    <row r="28" spans="1:17" x14ac:dyDescent="0.2">
      <c r="A28">
        <v>23</v>
      </c>
      <c r="B28">
        <v>6</v>
      </c>
      <c r="C28">
        <v>1</v>
      </c>
      <c r="D28">
        <v>7109.94</v>
      </c>
      <c r="E28">
        <v>6</v>
      </c>
      <c r="F28">
        <v>1</v>
      </c>
      <c r="G28">
        <v>6787.4</v>
      </c>
      <c r="H28">
        <v>12</v>
      </c>
      <c r="I28">
        <v>1.02597</v>
      </c>
      <c r="J28">
        <v>7621.09</v>
      </c>
      <c r="K28">
        <v>6</v>
      </c>
      <c r="L28">
        <v>1</v>
      </c>
      <c r="M28">
        <v>8432.34</v>
      </c>
      <c r="O28">
        <f t="shared" si="0"/>
        <v>1</v>
      </c>
      <c r="P28">
        <f t="shared" si="1"/>
        <v>2</v>
      </c>
      <c r="Q28">
        <f t="shared" si="2"/>
        <v>1</v>
      </c>
    </row>
    <row r="29" spans="1:17" x14ac:dyDescent="0.2">
      <c r="A29">
        <v>24</v>
      </c>
      <c r="B29">
        <v>7</v>
      </c>
      <c r="C29">
        <v>1.0186900000000001</v>
      </c>
      <c r="D29">
        <v>7736</v>
      </c>
      <c r="E29">
        <v>7</v>
      </c>
      <c r="F29">
        <v>1.0186900000000001</v>
      </c>
      <c r="G29">
        <v>7577.66</v>
      </c>
      <c r="H29">
        <v>14</v>
      </c>
      <c r="I29">
        <v>1.5251600000000001</v>
      </c>
      <c r="J29">
        <v>7468.54</v>
      </c>
      <c r="K29">
        <v>7</v>
      </c>
      <c r="L29">
        <v>1.0186900000000001</v>
      </c>
      <c r="M29">
        <v>8055.27</v>
      </c>
      <c r="O29">
        <f t="shared" si="0"/>
        <v>1</v>
      </c>
      <c r="P29">
        <f t="shared" si="1"/>
        <v>2</v>
      </c>
      <c r="Q29">
        <f t="shared" si="2"/>
        <v>1</v>
      </c>
    </row>
    <row r="30" spans="1:17" x14ac:dyDescent="0.2">
      <c r="A30">
        <v>25</v>
      </c>
      <c r="B30">
        <v>9</v>
      </c>
      <c r="C30">
        <v>1.0581100000000001</v>
      </c>
      <c r="D30">
        <v>8208.64</v>
      </c>
      <c r="E30">
        <v>9</v>
      </c>
      <c r="F30">
        <v>1.0581100000000001</v>
      </c>
      <c r="G30">
        <v>7823.26</v>
      </c>
      <c r="H30">
        <v>15</v>
      </c>
      <c r="I30">
        <v>1.0313099999999999</v>
      </c>
      <c r="J30">
        <v>8178.3</v>
      </c>
      <c r="K30">
        <v>9</v>
      </c>
      <c r="L30">
        <v>1.0581100000000001</v>
      </c>
      <c r="M30">
        <v>7566.01</v>
      </c>
      <c r="O30">
        <f t="shared" si="0"/>
        <v>1</v>
      </c>
      <c r="P30">
        <f t="shared" si="1"/>
        <v>1.6666666666666667</v>
      </c>
      <c r="Q30">
        <f t="shared" si="2"/>
        <v>1</v>
      </c>
    </row>
    <row r="31" spans="1:17" x14ac:dyDescent="0.2">
      <c r="A31">
        <v>26</v>
      </c>
      <c r="B31">
        <v>7</v>
      </c>
      <c r="C31">
        <v>1.05714</v>
      </c>
      <c r="D31">
        <v>7353.24</v>
      </c>
      <c r="E31">
        <v>7</v>
      </c>
      <c r="F31">
        <v>1.05714</v>
      </c>
      <c r="G31">
        <v>7455.78</v>
      </c>
      <c r="H31">
        <v>13</v>
      </c>
      <c r="I31">
        <v>1.03037</v>
      </c>
      <c r="J31">
        <v>8257.6200000000008</v>
      </c>
      <c r="K31">
        <v>7</v>
      </c>
      <c r="L31">
        <v>1.05714</v>
      </c>
      <c r="M31">
        <v>8192.1299999999992</v>
      </c>
      <c r="O31">
        <f>E31/B31</f>
        <v>1</v>
      </c>
      <c r="P31">
        <f>H31/B31</f>
        <v>1.8571428571428572</v>
      </c>
      <c r="Q31">
        <f>K31/B31</f>
        <v>1</v>
      </c>
    </row>
    <row r="32" spans="1:17" x14ac:dyDescent="0.2">
      <c r="A32">
        <v>27</v>
      </c>
      <c r="B32">
        <v>6</v>
      </c>
      <c r="C32">
        <v>1</v>
      </c>
      <c r="D32">
        <v>7792.51</v>
      </c>
      <c r="E32">
        <v>6</v>
      </c>
      <c r="F32">
        <v>1</v>
      </c>
      <c r="G32">
        <v>6835.18</v>
      </c>
      <c r="H32">
        <v>12</v>
      </c>
      <c r="I32">
        <v>1.4374800000000001</v>
      </c>
      <c r="J32">
        <v>6875.15</v>
      </c>
      <c r="K32">
        <v>6</v>
      </c>
      <c r="L32">
        <v>1</v>
      </c>
      <c r="M32">
        <v>7296.24</v>
      </c>
      <c r="O32">
        <f t="shared" ref="O32:O36" si="3">E32/B32</f>
        <v>1</v>
      </c>
      <c r="P32">
        <f t="shared" ref="P32:P36" si="4">H32/B32</f>
        <v>2</v>
      </c>
      <c r="Q32">
        <f t="shared" ref="Q32:Q36" si="5">K32/B32</f>
        <v>1</v>
      </c>
    </row>
    <row r="33" spans="1:17" x14ac:dyDescent="0.2">
      <c r="A33">
        <v>28</v>
      </c>
      <c r="B33">
        <v>9</v>
      </c>
      <c r="C33">
        <v>1.0052700000000001</v>
      </c>
      <c r="D33">
        <v>7625.81</v>
      </c>
      <c r="E33">
        <v>9</v>
      </c>
      <c r="F33">
        <v>1.0052700000000001</v>
      </c>
      <c r="G33">
        <v>8047.79</v>
      </c>
      <c r="H33">
        <v>16</v>
      </c>
      <c r="I33">
        <v>1.5042</v>
      </c>
      <c r="J33">
        <v>7512.67</v>
      </c>
      <c r="K33">
        <v>9</v>
      </c>
      <c r="L33">
        <v>1.0052700000000001</v>
      </c>
      <c r="M33">
        <v>6941.91</v>
      </c>
      <c r="O33">
        <f t="shared" si="3"/>
        <v>1</v>
      </c>
      <c r="P33">
        <f t="shared" si="4"/>
        <v>1.7777777777777777</v>
      </c>
      <c r="Q33">
        <f t="shared" si="5"/>
        <v>1</v>
      </c>
    </row>
    <row r="34" spans="1:17" x14ac:dyDescent="0.2">
      <c r="A34">
        <v>29</v>
      </c>
      <c r="B34">
        <v>6</v>
      </c>
      <c r="C34">
        <v>1</v>
      </c>
      <c r="D34">
        <v>7638.53</v>
      </c>
      <c r="E34">
        <v>6</v>
      </c>
      <c r="F34">
        <v>1</v>
      </c>
      <c r="G34">
        <v>6941.74</v>
      </c>
      <c r="H34">
        <v>13</v>
      </c>
      <c r="I34">
        <v>1.0662199999999999</v>
      </c>
      <c r="J34">
        <v>7014.01</v>
      </c>
      <c r="K34">
        <v>6</v>
      </c>
      <c r="L34">
        <v>1</v>
      </c>
      <c r="M34">
        <v>7561.16</v>
      </c>
      <c r="O34">
        <f t="shared" si="3"/>
        <v>1</v>
      </c>
      <c r="P34">
        <f t="shared" si="4"/>
        <v>2.1666666666666665</v>
      </c>
      <c r="Q34">
        <f t="shared" si="5"/>
        <v>1</v>
      </c>
    </row>
    <row r="35" spans="1:17" x14ac:dyDescent="0.2">
      <c r="A35">
        <v>30</v>
      </c>
      <c r="B35">
        <v>8</v>
      </c>
      <c r="C35">
        <v>1.01799</v>
      </c>
      <c r="D35">
        <v>7306.11</v>
      </c>
      <c r="E35">
        <v>8</v>
      </c>
      <c r="F35">
        <v>1.01799</v>
      </c>
      <c r="G35">
        <v>7404.35</v>
      </c>
      <c r="H35">
        <v>14</v>
      </c>
      <c r="I35">
        <v>1.04443</v>
      </c>
      <c r="J35">
        <v>7086.73</v>
      </c>
      <c r="K35">
        <v>8</v>
      </c>
      <c r="L35">
        <v>1.01799</v>
      </c>
      <c r="M35">
        <v>8451.76</v>
      </c>
      <c r="O35">
        <f t="shared" si="3"/>
        <v>1</v>
      </c>
      <c r="P35">
        <f t="shared" si="4"/>
        <v>1.75</v>
      </c>
      <c r="Q35">
        <f t="shared" si="5"/>
        <v>1</v>
      </c>
    </row>
    <row r="36" spans="1:17" x14ac:dyDescent="0.2">
      <c r="A36">
        <v>31</v>
      </c>
      <c r="B36">
        <v>7</v>
      </c>
      <c r="C36">
        <v>1.0186900000000001</v>
      </c>
      <c r="D36">
        <v>7369.32</v>
      </c>
      <c r="E36">
        <v>7</v>
      </c>
      <c r="F36">
        <v>1.0186900000000001</v>
      </c>
      <c r="G36">
        <v>7845.15</v>
      </c>
      <c r="H36">
        <v>14</v>
      </c>
      <c r="I36">
        <v>1.4674700000000001</v>
      </c>
      <c r="J36">
        <v>7203.88</v>
      </c>
      <c r="K36">
        <v>7</v>
      </c>
      <c r="L36">
        <v>1.0186900000000001</v>
      </c>
      <c r="M36">
        <v>8009.7</v>
      </c>
      <c r="O36">
        <f t="shared" si="3"/>
        <v>1</v>
      </c>
      <c r="P36">
        <f t="shared" si="4"/>
        <v>2</v>
      </c>
      <c r="Q36">
        <f t="shared" si="5"/>
        <v>1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10</v>
      </c>
      <c r="C40" s="1">
        <f t="shared" ref="C40:M40" si="6">MAX(C5:C36)</f>
        <v>1.36208</v>
      </c>
      <c r="D40" s="1">
        <f t="shared" si="6"/>
        <v>10962.73</v>
      </c>
      <c r="E40" s="1">
        <f t="shared" si="6"/>
        <v>10</v>
      </c>
      <c r="F40" s="1">
        <f t="shared" si="6"/>
        <v>1.36208</v>
      </c>
      <c r="G40" s="1">
        <f t="shared" si="6"/>
        <v>9092.36</v>
      </c>
      <c r="H40" s="1">
        <f t="shared" si="6"/>
        <v>17</v>
      </c>
      <c r="I40" s="1">
        <f t="shared" si="6"/>
        <v>1.5251600000000001</v>
      </c>
      <c r="J40" s="1">
        <f t="shared" si="6"/>
        <v>10411.620000000001</v>
      </c>
      <c r="K40" s="1">
        <f t="shared" si="6"/>
        <v>10</v>
      </c>
      <c r="L40" s="1">
        <f t="shared" si="6"/>
        <v>1.36208</v>
      </c>
      <c r="M40" s="1">
        <f t="shared" si="6"/>
        <v>13980.75</v>
      </c>
      <c r="N40" s="1">
        <v>1</v>
      </c>
      <c r="O40" s="1">
        <f t="shared" ref="O40:Q40" si="7">MAX(O5:O36)</f>
        <v>1</v>
      </c>
      <c r="P40" s="1">
        <f t="shared" si="7"/>
        <v>2.1666666666666665</v>
      </c>
      <c r="Q40" s="1">
        <f t="shared" si="7"/>
        <v>1</v>
      </c>
    </row>
    <row r="41" spans="1:17" x14ac:dyDescent="0.2">
      <c r="A41" t="s">
        <v>12</v>
      </c>
      <c r="B41" s="1">
        <f>MIN(B5:B36)</f>
        <v>6</v>
      </c>
      <c r="C41" s="1">
        <f t="shared" ref="C41:M41" si="8">MIN(C5:C36)</f>
        <v>1</v>
      </c>
      <c r="D41" s="1">
        <f t="shared" si="8"/>
        <v>6759.6</v>
      </c>
      <c r="E41" s="1">
        <f t="shared" si="8"/>
        <v>6</v>
      </c>
      <c r="F41" s="1">
        <f t="shared" si="8"/>
        <v>1</v>
      </c>
      <c r="G41" s="1">
        <f t="shared" si="8"/>
        <v>6787.4</v>
      </c>
      <c r="H41" s="1">
        <f t="shared" si="8"/>
        <v>12</v>
      </c>
      <c r="I41" s="1">
        <f t="shared" si="8"/>
        <v>1.0071399999999999</v>
      </c>
      <c r="J41" s="1">
        <f t="shared" si="8"/>
        <v>6679.31</v>
      </c>
      <c r="K41" s="1">
        <f t="shared" si="8"/>
        <v>6</v>
      </c>
      <c r="L41" s="1">
        <f t="shared" si="8"/>
        <v>1</v>
      </c>
      <c r="M41" s="1">
        <f t="shared" si="8"/>
        <v>6923.06</v>
      </c>
      <c r="N41" s="1">
        <v>1</v>
      </c>
      <c r="O41" s="1">
        <f t="shared" ref="O41:Q41" si="9">MIN(O5:O36)</f>
        <v>1</v>
      </c>
      <c r="P41" s="1">
        <f t="shared" si="9"/>
        <v>1.6</v>
      </c>
      <c r="Q41" s="1">
        <f t="shared" si="9"/>
        <v>1</v>
      </c>
    </row>
    <row r="42" spans="1:17" x14ac:dyDescent="0.2">
      <c r="A42" t="s">
        <v>13</v>
      </c>
      <c r="B42" s="1">
        <f>MEDIAN(B5:B36)</f>
        <v>7</v>
      </c>
      <c r="C42" s="1">
        <f t="shared" ref="C42:M42" si="10">MEDIAN(C5:C36)</f>
        <v>1.0186900000000001</v>
      </c>
      <c r="D42" s="1">
        <f t="shared" si="10"/>
        <v>7836.0450000000001</v>
      </c>
      <c r="E42" s="1">
        <f t="shared" si="10"/>
        <v>7</v>
      </c>
      <c r="F42" s="1">
        <f t="shared" si="10"/>
        <v>1.0186900000000001</v>
      </c>
      <c r="G42" s="1">
        <f t="shared" si="10"/>
        <v>7823.99</v>
      </c>
      <c r="H42" s="1">
        <f t="shared" si="10"/>
        <v>14</v>
      </c>
      <c r="I42" s="1">
        <f t="shared" si="10"/>
        <v>1.0502050000000001</v>
      </c>
      <c r="J42" s="1">
        <f t="shared" si="10"/>
        <v>7770.7049999999999</v>
      </c>
      <c r="K42" s="1">
        <f t="shared" si="10"/>
        <v>7</v>
      </c>
      <c r="L42" s="1">
        <f t="shared" si="10"/>
        <v>1.0186900000000001</v>
      </c>
      <c r="M42" s="1">
        <f t="shared" si="10"/>
        <v>8760</v>
      </c>
      <c r="N42" s="1">
        <v>1</v>
      </c>
      <c r="O42" s="1">
        <f t="shared" ref="O42:Q42" si="11">MEDIAN(O5:O36)</f>
        <v>1</v>
      </c>
      <c r="P42" s="1">
        <f t="shared" si="11"/>
        <v>1.8571428571428572</v>
      </c>
      <c r="Q42" s="1">
        <f t="shared" si="11"/>
        <v>1</v>
      </c>
    </row>
    <row r="43" spans="1:17" x14ac:dyDescent="0.2">
      <c r="A43" t="s">
        <v>14</v>
      </c>
      <c r="B43" s="1">
        <f>AVERAGE(B5:B36)</f>
        <v>7.5625</v>
      </c>
      <c r="C43" s="1">
        <f t="shared" ref="C43:M43" si="12">AVERAGE(C5:C36)</f>
        <v>1.03399</v>
      </c>
      <c r="D43" s="1">
        <f t="shared" si="12"/>
        <v>8175.8581250000016</v>
      </c>
      <c r="E43" s="1">
        <f t="shared" si="12"/>
        <v>7.5625</v>
      </c>
      <c r="F43" s="1">
        <f t="shared" si="12"/>
        <v>1.03399</v>
      </c>
      <c r="G43" s="1">
        <f t="shared" si="12"/>
        <v>7845.8031249999995</v>
      </c>
      <c r="H43" s="1">
        <f t="shared" si="12"/>
        <v>13.96875</v>
      </c>
      <c r="I43" s="1">
        <f t="shared" si="12"/>
        <v>1.1340078125000002</v>
      </c>
      <c r="J43" s="1">
        <f t="shared" si="12"/>
        <v>7860.677812500001</v>
      </c>
      <c r="K43" s="1">
        <f t="shared" si="12"/>
        <v>7.5625</v>
      </c>
      <c r="L43" s="1">
        <f t="shared" si="12"/>
        <v>1.03399</v>
      </c>
      <c r="M43" s="1">
        <f t="shared" si="12"/>
        <v>9000.6549999999988</v>
      </c>
      <c r="N43" s="4">
        <v>1</v>
      </c>
      <c r="O43" s="4">
        <f t="shared" ref="O43:Q43" si="13">AVERAGE(O5:O36)</f>
        <v>1</v>
      </c>
      <c r="P43" s="4">
        <f t="shared" si="13"/>
        <v>1.8701884920634921</v>
      </c>
      <c r="Q43" s="4">
        <f t="shared" si="13"/>
        <v>1</v>
      </c>
    </row>
    <row r="44" spans="1:17" x14ac:dyDescent="0.2">
      <c r="A44" t="s">
        <v>15</v>
      </c>
      <c r="B44" s="1">
        <f>STDEV(B5:B36)</f>
        <v>1.2935946415992119</v>
      </c>
      <c r="C44" s="1">
        <f t="shared" ref="C44:M44" si="14">STDEV(C5:C36)</f>
        <v>6.4143064141178624E-2</v>
      </c>
      <c r="D44" s="1">
        <f t="shared" si="14"/>
        <v>1104.6324495284412</v>
      </c>
      <c r="E44" s="1">
        <f t="shared" si="14"/>
        <v>1.2935946415992119</v>
      </c>
      <c r="F44" s="1">
        <f t="shared" si="14"/>
        <v>6.4143064141178624E-2</v>
      </c>
      <c r="G44" s="1">
        <f t="shared" si="14"/>
        <v>678.84168681962444</v>
      </c>
      <c r="H44" s="1">
        <f t="shared" si="14"/>
        <v>1.3792091001496052</v>
      </c>
      <c r="I44" s="1">
        <f t="shared" si="14"/>
        <v>0.17733539898669382</v>
      </c>
      <c r="J44" s="1">
        <f t="shared" si="14"/>
        <v>787.17390184140515</v>
      </c>
      <c r="K44" s="1">
        <f t="shared" si="14"/>
        <v>1.2935946415992119</v>
      </c>
      <c r="L44" s="1">
        <f t="shared" si="14"/>
        <v>6.4143064141178624E-2</v>
      </c>
      <c r="M44" s="1">
        <f t="shared" si="14"/>
        <v>1620.6177658057409</v>
      </c>
      <c r="N44" s="1">
        <v>1</v>
      </c>
      <c r="O44" s="1">
        <f t="shared" ref="O44:Q44" si="15">STDEV(O5:O36)</f>
        <v>0</v>
      </c>
      <c r="P44" s="1">
        <f t="shared" si="15"/>
        <v>0.15845559170385345</v>
      </c>
      <c r="Q44" s="1">
        <f t="shared" si="15"/>
        <v>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2F55B-90FA-3749-BD60-8097ED6762B3}">
  <sheetPr codeName="Sheet4"/>
  <dimension ref="A1:Q44"/>
  <sheetViews>
    <sheetView topLeftCell="D28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354296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5</v>
      </c>
      <c r="C5">
        <v>1.7692099999999999</v>
      </c>
      <c r="D5">
        <v>7837.83</v>
      </c>
      <c r="E5">
        <v>5</v>
      </c>
      <c r="F5">
        <v>1.7692099999999999</v>
      </c>
      <c r="G5">
        <v>2633.55</v>
      </c>
      <c r="H5">
        <v>7</v>
      </c>
      <c r="I5">
        <v>1.9999199999999999</v>
      </c>
      <c r="J5">
        <v>2278.52</v>
      </c>
      <c r="K5">
        <v>5</v>
      </c>
      <c r="L5">
        <v>1.7692099999999999</v>
      </c>
      <c r="M5">
        <v>2681.04</v>
      </c>
      <c r="O5">
        <f>E5/B5</f>
        <v>1</v>
      </c>
      <c r="P5">
        <f>H5/B5</f>
        <v>1.4</v>
      </c>
      <c r="Q5">
        <f>K5/B5</f>
        <v>1</v>
      </c>
    </row>
    <row r="6" spans="1:17" x14ac:dyDescent="0.2">
      <c r="A6">
        <v>1</v>
      </c>
      <c r="B6">
        <v>4</v>
      </c>
      <c r="C6">
        <v>1.99997</v>
      </c>
      <c r="D6">
        <v>2901.16</v>
      </c>
      <c r="E6">
        <v>4</v>
      </c>
      <c r="F6">
        <v>1.99997</v>
      </c>
      <c r="G6">
        <v>2792.22</v>
      </c>
      <c r="H6">
        <v>5</v>
      </c>
      <c r="I6">
        <v>1.99993</v>
      </c>
      <c r="J6">
        <v>2255.7600000000002</v>
      </c>
      <c r="K6">
        <v>4</v>
      </c>
      <c r="L6">
        <v>1.99997</v>
      </c>
      <c r="M6">
        <v>2740.51</v>
      </c>
      <c r="O6">
        <f t="shared" ref="O6:O30" si="0">E6/B6</f>
        <v>1</v>
      </c>
      <c r="P6">
        <f t="shared" ref="P6:P30" si="1">H6/B6</f>
        <v>1.25</v>
      </c>
      <c r="Q6">
        <f t="shared" ref="Q6:Q30" si="2">K6/B6</f>
        <v>1</v>
      </c>
    </row>
    <row r="7" spans="1:17" x14ac:dyDescent="0.2">
      <c r="A7">
        <v>2</v>
      </c>
      <c r="B7">
        <v>4</v>
      </c>
      <c r="C7">
        <v>1.99997</v>
      </c>
      <c r="D7">
        <v>2644.09</v>
      </c>
      <c r="E7">
        <v>4</v>
      </c>
      <c r="F7">
        <v>1.99997</v>
      </c>
      <c r="G7">
        <v>2631.75</v>
      </c>
      <c r="H7">
        <v>5</v>
      </c>
      <c r="I7">
        <v>1.99993</v>
      </c>
      <c r="J7">
        <v>2355.59</v>
      </c>
      <c r="K7">
        <v>4</v>
      </c>
      <c r="L7">
        <v>1.99997</v>
      </c>
      <c r="M7">
        <v>2782.14</v>
      </c>
      <c r="O7">
        <f t="shared" si="0"/>
        <v>1</v>
      </c>
      <c r="P7">
        <f t="shared" si="1"/>
        <v>1.25</v>
      </c>
      <c r="Q7">
        <f t="shared" si="2"/>
        <v>1</v>
      </c>
    </row>
    <row r="8" spans="1:17" x14ac:dyDescent="0.2">
      <c r="A8">
        <v>3</v>
      </c>
      <c r="B8">
        <v>4</v>
      </c>
      <c r="C8">
        <v>1.99997</v>
      </c>
      <c r="D8">
        <v>2830.41</v>
      </c>
      <c r="E8">
        <v>4</v>
      </c>
      <c r="F8">
        <v>1.99997</v>
      </c>
      <c r="G8">
        <v>2886.24</v>
      </c>
      <c r="H8">
        <v>5</v>
      </c>
      <c r="I8">
        <v>1.99993</v>
      </c>
      <c r="J8">
        <v>2284.5300000000002</v>
      </c>
      <c r="K8">
        <v>4</v>
      </c>
      <c r="L8">
        <v>1.99997</v>
      </c>
      <c r="M8">
        <v>2770.92</v>
      </c>
      <c r="O8">
        <f t="shared" si="0"/>
        <v>1</v>
      </c>
      <c r="P8">
        <f t="shared" si="1"/>
        <v>1.25</v>
      </c>
      <c r="Q8">
        <f t="shared" si="2"/>
        <v>1</v>
      </c>
    </row>
    <row r="9" spans="1:17" x14ac:dyDescent="0.2">
      <c r="A9">
        <v>4</v>
      </c>
      <c r="B9">
        <v>5</v>
      </c>
      <c r="C9">
        <v>1.7692099999999999</v>
      </c>
      <c r="D9">
        <v>2239.71</v>
      </c>
      <c r="E9">
        <v>8</v>
      </c>
      <c r="F9">
        <v>1.7960499999999999</v>
      </c>
      <c r="G9">
        <v>2613.9499999999998</v>
      </c>
      <c r="H9">
        <v>11</v>
      </c>
      <c r="I9">
        <v>1.85361</v>
      </c>
      <c r="J9">
        <v>2215.16</v>
      </c>
      <c r="K9">
        <v>8</v>
      </c>
      <c r="L9">
        <v>1.7960499999999999</v>
      </c>
      <c r="M9">
        <v>2662.64</v>
      </c>
      <c r="O9">
        <f t="shared" si="0"/>
        <v>1.6</v>
      </c>
      <c r="P9">
        <f t="shared" si="1"/>
        <v>2.2000000000000002</v>
      </c>
      <c r="Q9">
        <f t="shared" si="2"/>
        <v>1.6</v>
      </c>
    </row>
    <row r="10" spans="1:17" x14ac:dyDescent="0.2">
      <c r="A10">
        <v>5</v>
      </c>
      <c r="B10">
        <v>5</v>
      </c>
      <c r="C10">
        <v>1.7692099999999999</v>
      </c>
      <c r="D10">
        <v>2575.87</v>
      </c>
      <c r="E10">
        <v>5</v>
      </c>
      <c r="F10">
        <v>1.7692099999999999</v>
      </c>
      <c r="G10">
        <v>2612.46</v>
      </c>
      <c r="H10">
        <v>7</v>
      </c>
      <c r="I10">
        <v>1.9999199999999999</v>
      </c>
      <c r="J10">
        <v>2223.9899999999998</v>
      </c>
      <c r="K10">
        <v>5</v>
      </c>
      <c r="L10">
        <v>1.7692099999999999</v>
      </c>
      <c r="M10">
        <v>2664.26</v>
      </c>
      <c r="O10">
        <f t="shared" si="0"/>
        <v>1</v>
      </c>
      <c r="P10">
        <f t="shared" si="1"/>
        <v>1.4</v>
      </c>
      <c r="Q10">
        <f t="shared" si="2"/>
        <v>1</v>
      </c>
    </row>
    <row r="11" spans="1:17" x14ac:dyDescent="0.2">
      <c r="A11">
        <v>6</v>
      </c>
      <c r="B11">
        <v>4</v>
      </c>
      <c r="C11">
        <v>1.99997</v>
      </c>
      <c r="D11">
        <v>2610.37</v>
      </c>
      <c r="E11">
        <v>4</v>
      </c>
      <c r="F11">
        <v>1.99997</v>
      </c>
      <c r="G11">
        <v>2607.2399999999998</v>
      </c>
      <c r="H11">
        <v>5</v>
      </c>
      <c r="I11">
        <v>1.99993</v>
      </c>
      <c r="J11">
        <v>2229.34</v>
      </c>
      <c r="K11">
        <v>4</v>
      </c>
      <c r="L11">
        <v>1.99997</v>
      </c>
      <c r="M11">
        <v>2695.15</v>
      </c>
      <c r="O11">
        <f t="shared" si="0"/>
        <v>1</v>
      </c>
      <c r="P11">
        <f t="shared" si="1"/>
        <v>1.25</v>
      </c>
      <c r="Q11">
        <f t="shared" si="2"/>
        <v>1</v>
      </c>
    </row>
    <row r="12" spans="1:17" x14ac:dyDescent="0.2">
      <c r="A12">
        <v>7</v>
      </c>
      <c r="B12">
        <v>4</v>
      </c>
      <c r="C12">
        <v>1.99997</v>
      </c>
      <c r="D12">
        <v>2607.98</v>
      </c>
      <c r="E12">
        <v>4</v>
      </c>
      <c r="F12">
        <v>1.99997</v>
      </c>
      <c r="G12">
        <v>2630.52</v>
      </c>
      <c r="H12">
        <v>5</v>
      </c>
      <c r="I12">
        <v>1.99993</v>
      </c>
      <c r="J12">
        <v>2228.48</v>
      </c>
      <c r="K12">
        <v>4</v>
      </c>
      <c r="L12">
        <v>1.99997</v>
      </c>
      <c r="M12">
        <v>2726.51</v>
      </c>
      <c r="O12">
        <f t="shared" si="0"/>
        <v>1</v>
      </c>
      <c r="P12">
        <f t="shared" si="1"/>
        <v>1.25</v>
      </c>
      <c r="Q12">
        <f t="shared" si="2"/>
        <v>1</v>
      </c>
    </row>
    <row r="13" spans="1:17" x14ac:dyDescent="0.2">
      <c r="A13">
        <v>8</v>
      </c>
      <c r="B13">
        <v>8</v>
      </c>
      <c r="C13">
        <v>1.99552</v>
      </c>
      <c r="D13">
        <v>2658.27</v>
      </c>
      <c r="E13">
        <v>8</v>
      </c>
      <c r="F13">
        <v>1.99552</v>
      </c>
      <c r="G13">
        <v>2647.35</v>
      </c>
      <c r="H13">
        <v>11</v>
      </c>
      <c r="I13">
        <v>1.99993</v>
      </c>
      <c r="J13">
        <v>2166.6</v>
      </c>
      <c r="K13">
        <v>8</v>
      </c>
      <c r="L13">
        <v>1.99552</v>
      </c>
      <c r="M13">
        <v>2830.89</v>
      </c>
      <c r="O13">
        <f t="shared" si="0"/>
        <v>1</v>
      </c>
      <c r="P13">
        <f t="shared" si="1"/>
        <v>1.375</v>
      </c>
      <c r="Q13">
        <f t="shared" si="2"/>
        <v>1</v>
      </c>
    </row>
    <row r="14" spans="1:17" x14ac:dyDescent="0.2">
      <c r="A14">
        <v>9</v>
      </c>
      <c r="B14">
        <v>5</v>
      </c>
      <c r="C14">
        <v>1.7692099999999999</v>
      </c>
      <c r="D14">
        <v>2247.3000000000002</v>
      </c>
      <c r="E14">
        <v>5</v>
      </c>
      <c r="F14">
        <v>1.7692099999999999</v>
      </c>
      <c r="G14">
        <v>2404.7800000000002</v>
      </c>
      <c r="H14">
        <v>5</v>
      </c>
      <c r="I14">
        <v>1.99993</v>
      </c>
      <c r="J14">
        <v>2768.35</v>
      </c>
      <c r="K14">
        <v>5</v>
      </c>
      <c r="L14">
        <v>1.7692099999999999</v>
      </c>
      <c r="M14">
        <v>2710.46</v>
      </c>
      <c r="O14">
        <f t="shared" si="0"/>
        <v>1</v>
      </c>
      <c r="P14">
        <f t="shared" si="1"/>
        <v>1</v>
      </c>
      <c r="Q14">
        <f t="shared" si="2"/>
        <v>1</v>
      </c>
    </row>
    <row r="15" spans="1:17" x14ac:dyDescent="0.2">
      <c r="A15">
        <v>10</v>
      </c>
      <c r="B15">
        <v>4</v>
      </c>
      <c r="C15">
        <v>1.99997</v>
      </c>
      <c r="D15">
        <v>2604.15</v>
      </c>
      <c r="E15">
        <v>4</v>
      </c>
      <c r="F15">
        <v>1.99997</v>
      </c>
      <c r="G15">
        <v>2568.1799999999998</v>
      </c>
      <c r="H15">
        <v>5</v>
      </c>
      <c r="I15">
        <v>1.99993</v>
      </c>
      <c r="J15">
        <v>2261.48</v>
      </c>
      <c r="K15">
        <v>4</v>
      </c>
      <c r="L15">
        <v>1.99997</v>
      </c>
      <c r="M15">
        <v>2746.96</v>
      </c>
      <c r="O15">
        <f t="shared" si="0"/>
        <v>1</v>
      </c>
      <c r="P15">
        <f t="shared" si="1"/>
        <v>1.25</v>
      </c>
      <c r="Q15">
        <f t="shared" si="2"/>
        <v>1</v>
      </c>
    </row>
    <row r="16" spans="1:17" x14ac:dyDescent="0.2">
      <c r="A16">
        <v>11</v>
      </c>
      <c r="B16">
        <v>5</v>
      </c>
      <c r="C16">
        <v>1.7692099999999999</v>
      </c>
      <c r="D16">
        <v>2592.34</v>
      </c>
      <c r="E16">
        <v>5</v>
      </c>
      <c r="F16">
        <v>1.7692099999999999</v>
      </c>
      <c r="G16">
        <v>2593.27</v>
      </c>
      <c r="H16">
        <v>11</v>
      </c>
      <c r="I16">
        <v>1.85361</v>
      </c>
      <c r="J16">
        <v>2419.83</v>
      </c>
      <c r="K16">
        <v>5</v>
      </c>
      <c r="L16">
        <v>1.7692099999999999</v>
      </c>
      <c r="M16">
        <v>2726.03</v>
      </c>
      <c r="O16">
        <f t="shared" si="0"/>
        <v>1</v>
      </c>
      <c r="P16">
        <f t="shared" si="1"/>
        <v>2.2000000000000002</v>
      </c>
      <c r="Q16">
        <f t="shared" si="2"/>
        <v>1</v>
      </c>
    </row>
    <row r="17" spans="1:17" x14ac:dyDescent="0.2">
      <c r="A17">
        <v>12</v>
      </c>
      <c r="B17">
        <v>5</v>
      </c>
      <c r="C17">
        <v>1.7692099999999999</v>
      </c>
      <c r="D17">
        <v>2250.19</v>
      </c>
      <c r="E17">
        <v>5</v>
      </c>
      <c r="F17">
        <v>1.7692099999999999</v>
      </c>
      <c r="G17">
        <v>2249.96</v>
      </c>
      <c r="H17">
        <v>5</v>
      </c>
      <c r="I17">
        <v>1.99993</v>
      </c>
      <c r="J17">
        <v>2204.5300000000002</v>
      </c>
      <c r="K17">
        <v>5</v>
      </c>
      <c r="L17">
        <v>1.7692099999999999</v>
      </c>
      <c r="M17">
        <v>2420.5700000000002</v>
      </c>
      <c r="O17">
        <f t="shared" si="0"/>
        <v>1</v>
      </c>
      <c r="P17">
        <f t="shared" si="1"/>
        <v>1</v>
      </c>
      <c r="Q17">
        <f t="shared" si="2"/>
        <v>1</v>
      </c>
    </row>
    <row r="18" spans="1:17" x14ac:dyDescent="0.2">
      <c r="A18">
        <v>13</v>
      </c>
      <c r="B18">
        <v>5</v>
      </c>
      <c r="C18">
        <v>1.7692099999999999</v>
      </c>
      <c r="D18">
        <v>2298.33</v>
      </c>
      <c r="E18">
        <v>5</v>
      </c>
      <c r="F18">
        <v>1.7692099999999999</v>
      </c>
      <c r="G18">
        <v>2287.5500000000002</v>
      </c>
      <c r="H18">
        <v>7</v>
      </c>
      <c r="I18">
        <v>1.9999199999999999</v>
      </c>
      <c r="J18">
        <v>2225.5300000000002</v>
      </c>
      <c r="K18">
        <v>5</v>
      </c>
      <c r="L18">
        <v>1.7692099999999999</v>
      </c>
      <c r="M18">
        <v>2304.5100000000002</v>
      </c>
      <c r="O18">
        <f t="shared" si="0"/>
        <v>1</v>
      </c>
      <c r="P18">
        <f t="shared" si="1"/>
        <v>1.4</v>
      </c>
      <c r="Q18">
        <f t="shared" si="2"/>
        <v>1</v>
      </c>
    </row>
    <row r="19" spans="1:17" x14ac:dyDescent="0.2">
      <c r="A19">
        <v>14</v>
      </c>
      <c r="B19">
        <v>5</v>
      </c>
      <c r="C19">
        <v>1.91889</v>
      </c>
      <c r="D19">
        <v>2301.29</v>
      </c>
      <c r="E19">
        <v>5</v>
      </c>
      <c r="F19">
        <v>1.91889</v>
      </c>
      <c r="G19">
        <v>2309.71</v>
      </c>
      <c r="H19">
        <v>7</v>
      </c>
      <c r="I19">
        <v>1.9999199999999999</v>
      </c>
      <c r="J19">
        <v>2221.3000000000002</v>
      </c>
      <c r="K19">
        <v>5</v>
      </c>
      <c r="L19">
        <v>1.91889</v>
      </c>
      <c r="M19">
        <v>2404.4299999999998</v>
      </c>
      <c r="O19">
        <f t="shared" si="0"/>
        <v>1</v>
      </c>
      <c r="P19">
        <f t="shared" si="1"/>
        <v>1.4</v>
      </c>
      <c r="Q19">
        <f t="shared" si="2"/>
        <v>1</v>
      </c>
    </row>
    <row r="20" spans="1:17" x14ac:dyDescent="0.2">
      <c r="A20">
        <v>15</v>
      </c>
      <c r="B20">
        <v>6</v>
      </c>
      <c r="C20">
        <v>1.9633799999999999</v>
      </c>
      <c r="D20">
        <v>2246.9299999999998</v>
      </c>
      <c r="E20">
        <v>6</v>
      </c>
      <c r="F20">
        <v>1.9633799999999999</v>
      </c>
      <c r="G20">
        <v>2319.25</v>
      </c>
      <c r="H20">
        <v>9</v>
      </c>
      <c r="I20">
        <v>1.9999199999999999</v>
      </c>
      <c r="J20">
        <v>2243.52</v>
      </c>
      <c r="K20">
        <v>6</v>
      </c>
      <c r="L20">
        <v>1.9633799999999999</v>
      </c>
      <c r="M20">
        <v>2394.6799999999998</v>
      </c>
      <c r="O20">
        <f t="shared" si="0"/>
        <v>1</v>
      </c>
      <c r="P20">
        <f t="shared" si="1"/>
        <v>1.5</v>
      </c>
      <c r="Q20">
        <f t="shared" si="2"/>
        <v>1</v>
      </c>
    </row>
    <row r="21" spans="1:17" x14ac:dyDescent="0.2">
      <c r="A21">
        <v>16</v>
      </c>
      <c r="B21">
        <v>5</v>
      </c>
      <c r="C21">
        <v>1.7692099999999999</v>
      </c>
      <c r="D21">
        <v>2317.27</v>
      </c>
      <c r="E21">
        <v>5</v>
      </c>
      <c r="F21">
        <v>1.7692099999999999</v>
      </c>
      <c r="G21">
        <v>2257.35</v>
      </c>
      <c r="H21">
        <v>11</v>
      </c>
      <c r="I21">
        <v>1.8710899999999999</v>
      </c>
      <c r="J21">
        <v>2260.33</v>
      </c>
      <c r="K21">
        <v>5</v>
      </c>
      <c r="L21">
        <v>1.7692099999999999</v>
      </c>
      <c r="M21">
        <v>2350.2399999999998</v>
      </c>
      <c r="O21">
        <f t="shared" si="0"/>
        <v>1</v>
      </c>
      <c r="P21">
        <f t="shared" si="1"/>
        <v>2.2000000000000002</v>
      </c>
      <c r="Q21">
        <f t="shared" si="2"/>
        <v>1</v>
      </c>
    </row>
    <row r="22" spans="1:17" x14ac:dyDescent="0.2">
      <c r="A22">
        <v>17</v>
      </c>
      <c r="B22">
        <v>5</v>
      </c>
      <c r="C22">
        <v>1.7692099999999999</v>
      </c>
      <c r="D22">
        <v>2224.33</v>
      </c>
      <c r="E22">
        <v>5</v>
      </c>
      <c r="F22">
        <v>1.7692099999999999</v>
      </c>
      <c r="G22">
        <v>2313.67</v>
      </c>
      <c r="H22">
        <v>5</v>
      </c>
      <c r="I22">
        <v>1.99993</v>
      </c>
      <c r="J22">
        <v>2216.5500000000002</v>
      </c>
      <c r="K22">
        <v>5</v>
      </c>
      <c r="L22">
        <v>1.7692099999999999</v>
      </c>
      <c r="M22">
        <v>2358.4699999999998</v>
      </c>
      <c r="O22">
        <f t="shared" si="0"/>
        <v>1</v>
      </c>
      <c r="P22">
        <f t="shared" si="1"/>
        <v>1</v>
      </c>
      <c r="Q22">
        <f t="shared" si="2"/>
        <v>1</v>
      </c>
    </row>
    <row r="23" spans="1:17" x14ac:dyDescent="0.2">
      <c r="A23">
        <v>18</v>
      </c>
      <c r="B23">
        <v>4</v>
      </c>
      <c r="C23">
        <v>1.99997</v>
      </c>
      <c r="D23">
        <v>2743.72</v>
      </c>
      <c r="E23">
        <v>4</v>
      </c>
      <c r="F23">
        <v>1.99997</v>
      </c>
      <c r="G23">
        <v>2597.6799999999998</v>
      </c>
      <c r="H23">
        <v>5</v>
      </c>
      <c r="I23">
        <v>1.99993</v>
      </c>
      <c r="J23">
        <v>2342.69</v>
      </c>
      <c r="K23">
        <v>4</v>
      </c>
      <c r="L23">
        <v>1.99997</v>
      </c>
      <c r="M23">
        <v>2757.96</v>
      </c>
      <c r="O23">
        <f t="shared" si="0"/>
        <v>1</v>
      </c>
      <c r="P23">
        <f t="shared" si="1"/>
        <v>1.25</v>
      </c>
      <c r="Q23">
        <f t="shared" si="2"/>
        <v>1</v>
      </c>
    </row>
    <row r="24" spans="1:17" x14ac:dyDescent="0.2">
      <c r="A24">
        <v>19</v>
      </c>
      <c r="B24">
        <v>4</v>
      </c>
      <c r="C24">
        <v>1.99997</v>
      </c>
      <c r="D24">
        <v>2566.46</v>
      </c>
      <c r="E24">
        <v>4</v>
      </c>
      <c r="F24">
        <v>1.99997</v>
      </c>
      <c r="G24">
        <v>2630.13</v>
      </c>
      <c r="H24">
        <v>5</v>
      </c>
      <c r="I24">
        <v>1.99993</v>
      </c>
      <c r="J24">
        <v>2195.4</v>
      </c>
      <c r="K24">
        <v>4</v>
      </c>
      <c r="L24">
        <v>1.99997</v>
      </c>
      <c r="M24">
        <v>2755.83</v>
      </c>
      <c r="O24">
        <f t="shared" si="0"/>
        <v>1</v>
      </c>
      <c r="P24">
        <f t="shared" si="1"/>
        <v>1.25</v>
      </c>
      <c r="Q24">
        <f t="shared" si="2"/>
        <v>1</v>
      </c>
    </row>
    <row r="25" spans="1:17" x14ac:dyDescent="0.2">
      <c r="A25">
        <v>20</v>
      </c>
      <c r="B25">
        <v>5</v>
      </c>
      <c r="C25">
        <v>1.3999900000000001</v>
      </c>
      <c r="D25">
        <v>2335.46</v>
      </c>
      <c r="E25">
        <v>5</v>
      </c>
      <c r="F25">
        <v>1.3999900000000001</v>
      </c>
      <c r="G25">
        <v>2332.1</v>
      </c>
      <c r="H25">
        <v>5</v>
      </c>
      <c r="I25">
        <v>1.99993</v>
      </c>
      <c r="J25">
        <v>2266.9299999999998</v>
      </c>
      <c r="K25">
        <v>5</v>
      </c>
      <c r="L25">
        <v>1.3999900000000001</v>
      </c>
      <c r="M25">
        <v>2390.62</v>
      </c>
      <c r="O25">
        <f t="shared" si="0"/>
        <v>1</v>
      </c>
      <c r="P25">
        <f t="shared" si="1"/>
        <v>1</v>
      </c>
      <c r="Q25">
        <f t="shared" si="2"/>
        <v>1</v>
      </c>
    </row>
    <row r="26" spans="1:17" x14ac:dyDescent="0.2">
      <c r="A26">
        <v>21</v>
      </c>
      <c r="B26">
        <v>4</v>
      </c>
      <c r="C26">
        <v>1.99997</v>
      </c>
      <c r="D26">
        <v>2655.95</v>
      </c>
      <c r="E26">
        <v>4</v>
      </c>
      <c r="F26">
        <v>1.99997</v>
      </c>
      <c r="G26">
        <v>2664.5</v>
      </c>
      <c r="H26">
        <v>5</v>
      </c>
      <c r="I26">
        <v>1.99993</v>
      </c>
      <c r="J26">
        <v>2241.39</v>
      </c>
      <c r="K26">
        <v>4</v>
      </c>
      <c r="L26">
        <v>1.99997</v>
      </c>
      <c r="M26">
        <v>2724.35</v>
      </c>
      <c r="O26">
        <f t="shared" si="0"/>
        <v>1</v>
      </c>
      <c r="P26">
        <f t="shared" si="1"/>
        <v>1.25</v>
      </c>
      <c r="Q26">
        <f t="shared" si="2"/>
        <v>1</v>
      </c>
    </row>
    <row r="27" spans="1:17" x14ac:dyDescent="0.2">
      <c r="A27">
        <v>22</v>
      </c>
      <c r="B27">
        <v>4</v>
      </c>
      <c r="C27">
        <v>1.99997</v>
      </c>
      <c r="D27">
        <v>2616.83</v>
      </c>
      <c r="E27">
        <v>4</v>
      </c>
      <c r="F27">
        <v>1.99997</v>
      </c>
      <c r="G27">
        <v>2598.17</v>
      </c>
      <c r="H27">
        <v>5</v>
      </c>
      <c r="I27">
        <v>1.99993</v>
      </c>
      <c r="J27">
        <v>2227.64</v>
      </c>
      <c r="K27">
        <v>4</v>
      </c>
      <c r="L27">
        <v>1.99997</v>
      </c>
      <c r="M27">
        <v>2733.83</v>
      </c>
      <c r="O27">
        <f t="shared" si="0"/>
        <v>1</v>
      </c>
      <c r="P27">
        <f t="shared" si="1"/>
        <v>1.25</v>
      </c>
      <c r="Q27">
        <f t="shared" si="2"/>
        <v>1</v>
      </c>
    </row>
    <row r="28" spans="1:17" x14ac:dyDescent="0.2">
      <c r="A28">
        <v>23</v>
      </c>
      <c r="B28">
        <v>5</v>
      </c>
      <c r="C28">
        <v>1.7692099999999999</v>
      </c>
      <c r="D28">
        <v>2227.66</v>
      </c>
      <c r="E28">
        <v>5</v>
      </c>
      <c r="F28">
        <v>1.7692099999999999</v>
      </c>
      <c r="G28">
        <v>2230.42</v>
      </c>
      <c r="H28">
        <v>5</v>
      </c>
      <c r="I28">
        <v>1.99993</v>
      </c>
      <c r="J28">
        <v>2236.6999999999998</v>
      </c>
      <c r="K28">
        <v>5</v>
      </c>
      <c r="L28">
        <v>1.7692099999999999</v>
      </c>
      <c r="M28">
        <v>2372.08</v>
      </c>
      <c r="O28">
        <f t="shared" si="0"/>
        <v>1</v>
      </c>
      <c r="P28">
        <f t="shared" si="1"/>
        <v>1</v>
      </c>
      <c r="Q28">
        <f t="shared" si="2"/>
        <v>1</v>
      </c>
    </row>
    <row r="29" spans="1:17" x14ac:dyDescent="0.2">
      <c r="A29">
        <v>24</v>
      </c>
      <c r="B29">
        <v>4</v>
      </c>
      <c r="C29">
        <v>1.99997</v>
      </c>
      <c r="D29">
        <v>2619.98</v>
      </c>
      <c r="E29">
        <v>4</v>
      </c>
      <c r="F29">
        <v>1.99997</v>
      </c>
      <c r="G29">
        <v>2596.37</v>
      </c>
      <c r="H29">
        <v>5</v>
      </c>
      <c r="I29">
        <v>1.99993</v>
      </c>
      <c r="J29">
        <v>2238.7600000000002</v>
      </c>
      <c r="K29">
        <v>4</v>
      </c>
      <c r="L29">
        <v>1.99997</v>
      </c>
      <c r="M29">
        <v>2823.64</v>
      </c>
      <c r="O29">
        <f t="shared" si="0"/>
        <v>1</v>
      </c>
      <c r="P29">
        <f t="shared" si="1"/>
        <v>1.25</v>
      </c>
      <c r="Q29">
        <f t="shared" si="2"/>
        <v>1</v>
      </c>
    </row>
    <row r="30" spans="1:17" x14ac:dyDescent="0.2">
      <c r="A30">
        <v>25</v>
      </c>
      <c r="B30">
        <v>6</v>
      </c>
      <c r="C30">
        <v>1.9734499999999999</v>
      </c>
      <c r="D30">
        <v>2732.4</v>
      </c>
      <c r="E30">
        <v>6</v>
      </c>
      <c r="F30">
        <v>1.9734499999999999</v>
      </c>
      <c r="G30">
        <v>2744.37</v>
      </c>
      <c r="H30">
        <v>9</v>
      </c>
      <c r="I30">
        <v>1.9999199999999999</v>
      </c>
      <c r="J30">
        <v>2270.92</v>
      </c>
      <c r="K30">
        <v>6</v>
      </c>
      <c r="L30">
        <v>1.9734499999999999</v>
      </c>
      <c r="M30">
        <v>2721.96</v>
      </c>
      <c r="O30">
        <f t="shared" si="0"/>
        <v>1</v>
      </c>
      <c r="P30">
        <f t="shared" si="1"/>
        <v>1.5</v>
      </c>
      <c r="Q30">
        <f t="shared" si="2"/>
        <v>1</v>
      </c>
    </row>
    <row r="31" spans="1:17" x14ac:dyDescent="0.2">
      <c r="A31">
        <v>26</v>
      </c>
      <c r="B31">
        <v>6</v>
      </c>
      <c r="C31">
        <v>1.69998</v>
      </c>
      <c r="D31">
        <v>2552.08</v>
      </c>
      <c r="E31">
        <v>6</v>
      </c>
      <c r="F31">
        <v>1.69998</v>
      </c>
      <c r="G31">
        <v>2574.5100000000002</v>
      </c>
      <c r="H31">
        <v>13</v>
      </c>
      <c r="I31">
        <v>1.4849300000000001</v>
      </c>
      <c r="J31">
        <v>2552.91</v>
      </c>
      <c r="K31">
        <v>6</v>
      </c>
      <c r="L31">
        <v>1.69998</v>
      </c>
      <c r="M31">
        <v>2696.01</v>
      </c>
      <c r="O31">
        <f>E31/B31</f>
        <v>1</v>
      </c>
      <c r="P31">
        <f>H31/B31</f>
        <v>2.1666666666666665</v>
      </c>
      <c r="Q31">
        <f>K31/B31</f>
        <v>1</v>
      </c>
    </row>
    <row r="32" spans="1:17" x14ac:dyDescent="0.2">
      <c r="A32">
        <v>27</v>
      </c>
      <c r="B32">
        <v>5</v>
      </c>
      <c r="C32">
        <v>1.91889</v>
      </c>
      <c r="D32">
        <v>2220.94</v>
      </c>
      <c r="E32">
        <v>5</v>
      </c>
      <c r="F32">
        <v>1.91889</v>
      </c>
      <c r="G32">
        <v>2223.31</v>
      </c>
      <c r="H32">
        <v>7</v>
      </c>
      <c r="I32">
        <v>1.9999199999999999</v>
      </c>
      <c r="J32">
        <v>2241.96</v>
      </c>
      <c r="K32">
        <v>5</v>
      </c>
      <c r="L32">
        <v>1.91889</v>
      </c>
      <c r="M32">
        <v>2380.33</v>
      </c>
      <c r="O32">
        <f t="shared" ref="O32:O36" si="3">E32/B32</f>
        <v>1</v>
      </c>
      <c r="P32">
        <f t="shared" ref="P32:P36" si="4">H32/B32</f>
        <v>1.4</v>
      </c>
      <c r="Q32">
        <f t="shared" ref="Q32:Q36" si="5">K32/B32</f>
        <v>1</v>
      </c>
    </row>
    <row r="33" spans="1:17" x14ac:dyDescent="0.2">
      <c r="A33">
        <v>28</v>
      </c>
      <c r="B33">
        <v>4</v>
      </c>
      <c r="C33">
        <v>1.99997</v>
      </c>
      <c r="D33">
        <v>2601.4299999999998</v>
      </c>
      <c r="E33">
        <v>4</v>
      </c>
      <c r="F33">
        <v>1.99997</v>
      </c>
      <c r="G33">
        <v>2600.64</v>
      </c>
      <c r="H33">
        <v>5</v>
      </c>
      <c r="I33">
        <v>1.99993</v>
      </c>
      <c r="J33">
        <v>2182.9499999999998</v>
      </c>
      <c r="K33">
        <v>4</v>
      </c>
      <c r="L33">
        <v>1.99997</v>
      </c>
      <c r="M33">
        <v>2714</v>
      </c>
      <c r="O33">
        <f t="shared" si="3"/>
        <v>1</v>
      </c>
      <c r="P33">
        <f t="shared" si="4"/>
        <v>1.25</v>
      </c>
      <c r="Q33">
        <f t="shared" si="5"/>
        <v>1</v>
      </c>
    </row>
    <row r="34" spans="1:17" x14ac:dyDescent="0.2">
      <c r="A34">
        <v>29</v>
      </c>
      <c r="B34">
        <v>5</v>
      </c>
      <c r="C34">
        <v>1.91889</v>
      </c>
      <c r="D34">
        <v>2283.6</v>
      </c>
      <c r="E34">
        <v>5</v>
      </c>
      <c r="F34">
        <v>1.91889</v>
      </c>
      <c r="G34">
        <v>2211.41</v>
      </c>
      <c r="H34">
        <v>7</v>
      </c>
      <c r="I34">
        <v>1.9999199999999999</v>
      </c>
      <c r="J34">
        <v>2262.91</v>
      </c>
      <c r="K34">
        <v>5</v>
      </c>
      <c r="L34">
        <v>1.91889</v>
      </c>
      <c r="M34">
        <v>2330.67</v>
      </c>
      <c r="O34">
        <f t="shared" si="3"/>
        <v>1</v>
      </c>
      <c r="P34">
        <f t="shared" si="4"/>
        <v>1.4</v>
      </c>
      <c r="Q34">
        <f t="shared" si="5"/>
        <v>1</v>
      </c>
    </row>
    <row r="35" spans="1:17" x14ac:dyDescent="0.2">
      <c r="A35">
        <v>30</v>
      </c>
      <c r="B35">
        <v>4</v>
      </c>
      <c r="C35">
        <v>1.99997</v>
      </c>
      <c r="D35">
        <v>2638.83</v>
      </c>
      <c r="E35">
        <v>4</v>
      </c>
      <c r="F35">
        <v>1.99997</v>
      </c>
      <c r="G35">
        <v>2627.83</v>
      </c>
      <c r="H35">
        <v>5</v>
      </c>
      <c r="I35">
        <v>1.99993</v>
      </c>
      <c r="J35">
        <v>2270.2800000000002</v>
      </c>
      <c r="K35">
        <v>4</v>
      </c>
      <c r="L35">
        <v>1.99997</v>
      </c>
      <c r="M35">
        <v>2711.64</v>
      </c>
      <c r="O35">
        <f t="shared" si="3"/>
        <v>1</v>
      </c>
      <c r="P35">
        <f t="shared" si="4"/>
        <v>1.25</v>
      </c>
      <c r="Q35">
        <f t="shared" si="5"/>
        <v>1</v>
      </c>
    </row>
    <row r="36" spans="1:17" x14ac:dyDescent="0.2">
      <c r="A36">
        <v>31</v>
      </c>
      <c r="B36">
        <v>6</v>
      </c>
      <c r="C36">
        <v>1.99586</v>
      </c>
      <c r="D36">
        <v>2192.0500000000002</v>
      </c>
      <c r="E36">
        <v>6</v>
      </c>
      <c r="F36">
        <v>1.99586</v>
      </c>
      <c r="G36">
        <v>2261.65</v>
      </c>
      <c r="H36">
        <v>9</v>
      </c>
      <c r="I36">
        <v>1.9999199999999999</v>
      </c>
      <c r="J36">
        <v>2232.6799999999998</v>
      </c>
      <c r="K36">
        <v>6</v>
      </c>
      <c r="L36">
        <v>1.99586</v>
      </c>
      <c r="M36">
        <v>2298.59</v>
      </c>
      <c r="O36">
        <f t="shared" si="3"/>
        <v>1</v>
      </c>
      <c r="P36">
        <f t="shared" si="4"/>
        <v>1.5</v>
      </c>
      <c r="Q36">
        <f t="shared" si="5"/>
        <v>1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8</v>
      </c>
      <c r="C40" s="1">
        <f t="shared" ref="C40:M40" si="6">MAX(C5:C36)</f>
        <v>1.99997</v>
      </c>
      <c r="D40" s="1">
        <f t="shared" si="6"/>
        <v>7837.83</v>
      </c>
      <c r="E40" s="1">
        <f t="shared" si="6"/>
        <v>8</v>
      </c>
      <c r="F40" s="1">
        <f t="shared" si="6"/>
        <v>1.99997</v>
      </c>
      <c r="G40" s="1">
        <f t="shared" si="6"/>
        <v>2886.24</v>
      </c>
      <c r="H40" s="1">
        <f t="shared" si="6"/>
        <v>13</v>
      </c>
      <c r="I40" s="1">
        <f t="shared" si="6"/>
        <v>1.99993</v>
      </c>
      <c r="J40" s="1">
        <f t="shared" si="6"/>
        <v>2768.35</v>
      </c>
      <c r="K40" s="1">
        <f t="shared" si="6"/>
        <v>8</v>
      </c>
      <c r="L40" s="1">
        <f t="shared" si="6"/>
        <v>1.99997</v>
      </c>
      <c r="M40" s="1">
        <f t="shared" si="6"/>
        <v>2830.89</v>
      </c>
      <c r="N40" s="1">
        <v>1</v>
      </c>
      <c r="O40" s="1">
        <f t="shared" ref="O40:Q40" si="7">MAX(O5:O36)</f>
        <v>1.6</v>
      </c>
      <c r="P40" s="1">
        <f t="shared" si="7"/>
        <v>2.2000000000000002</v>
      </c>
      <c r="Q40" s="1">
        <f t="shared" si="7"/>
        <v>1.6</v>
      </c>
    </row>
    <row r="41" spans="1:17" x14ac:dyDescent="0.2">
      <c r="A41" t="s">
        <v>12</v>
      </c>
      <c r="B41" s="1">
        <f>MIN(B5:B36)</f>
        <v>4</v>
      </c>
      <c r="C41" s="1">
        <f t="shared" ref="C41:M41" si="8">MIN(C5:C36)</f>
        <v>1.3999900000000001</v>
      </c>
      <c r="D41" s="1">
        <f t="shared" si="8"/>
        <v>2192.0500000000002</v>
      </c>
      <c r="E41" s="1">
        <f t="shared" si="8"/>
        <v>4</v>
      </c>
      <c r="F41" s="1">
        <f t="shared" si="8"/>
        <v>1.3999900000000001</v>
      </c>
      <c r="G41" s="1">
        <f t="shared" si="8"/>
        <v>2211.41</v>
      </c>
      <c r="H41" s="1">
        <f t="shared" si="8"/>
        <v>5</v>
      </c>
      <c r="I41" s="1">
        <f t="shared" si="8"/>
        <v>1.4849300000000001</v>
      </c>
      <c r="J41" s="1">
        <f t="shared" si="8"/>
        <v>2166.6</v>
      </c>
      <c r="K41" s="1">
        <f t="shared" si="8"/>
        <v>4</v>
      </c>
      <c r="L41" s="1">
        <f t="shared" si="8"/>
        <v>1.3999900000000001</v>
      </c>
      <c r="M41" s="1">
        <f t="shared" si="8"/>
        <v>2298.59</v>
      </c>
      <c r="N41" s="1">
        <v>1</v>
      </c>
      <c r="O41" s="1">
        <f t="shared" ref="O41:Q41" si="9">MIN(O5:O36)</f>
        <v>1</v>
      </c>
      <c r="P41" s="1">
        <f t="shared" si="9"/>
        <v>1</v>
      </c>
      <c r="Q41" s="1">
        <f t="shared" si="9"/>
        <v>1</v>
      </c>
    </row>
    <row r="42" spans="1:17" x14ac:dyDescent="0.2">
      <c r="A42" t="s">
        <v>13</v>
      </c>
      <c r="B42" s="1">
        <f>MEDIAN(B5:B36)</f>
        <v>5</v>
      </c>
      <c r="C42" s="1">
        <f t="shared" ref="C42:M42" si="10">MEDIAN(C5:C36)</f>
        <v>1.9684149999999998</v>
      </c>
      <c r="D42" s="1">
        <f t="shared" si="10"/>
        <v>2584.105</v>
      </c>
      <c r="E42" s="1">
        <f t="shared" si="10"/>
        <v>5</v>
      </c>
      <c r="F42" s="1">
        <f t="shared" si="10"/>
        <v>1.9684149999999998</v>
      </c>
      <c r="G42" s="1">
        <f t="shared" si="10"/>
        <v>2597.0249999999996</v>
      </c>
      <c r="H42" s="1">
        <f t="shared" si="10"/>
        <v>5</v>
      </c>
      <c r="I42" s="1">
        <f t="shared" si="10"/>
        <v>1.99993</v>
      </c>
      <c r="J42" s="1">
        <f t="shared" si="10"/>
        <v>2241.6750000000002</v>
      </c>
      <c r="K42" s="1">
        <f t="shared" si="10"/>
        <v>5</v>
      </c>
      <c r="L42" s="1">
        <f t="shared" si="10"/>
        <v>1.9684149999999998</v>
      </c>
      <c r="M42" s="1">
        <f t="shared" si="10"/>
        <v>2703.2350000000001</v>
      </c>
      <c r="N42" s="1">
        <v>1</v>
      </c>
      <c r="O42" s="1">
        <f t="shared" ref="O42:Q42" si="11">MEDIAN(O5:O36)</f>
        <v>1</v>
      </c>
      <c r="P42" s="1">
        <f t="shared" si="11"/>
        <v>1.25</v>
      </c>
      <c r="Q42" s="1">
        <f t="shared" si="11"/>
        <v>1</v>
      </c>
    </row>
    <row r="43" spans="1:17" x14ac:dyDescent="0.2">
      <c r="A43" t="s">
        <v>14</v>
      </c>
      <c r="B43" s="1">
        <f>AVERAGE(B5:B36)</f>
        <v>4.8125</v>
      </c>
      <c r="C43" s="1">
        <f t="shared" ref="C43:M43" si="12">AVERAGE(C5:C36)</f>
        <v>1.8898924999999995</v>
      </c>
      <c r="D43" s="1">
        <f t="shared" si="12"/>
        <v>2655.4753124999997</v>
      </c>
      <c r="E43" s="1">
        <f t="shared" si="12"/>
        <v>4.90625</v>
      </c>
      <c r="F43" s="1">
        <f t="shared" si="12"/>
        <v>1.8907312499999998</v>
      </c>
      <c r="G43" s="1">
        <f t="shared" si="12"/>
        <v>2507.8778124999994</v>
      </c>
      <c r="H43" s="1">
        <f t="shared" si="12"/>
        <v>6.75</v>
      </c>
      <c r="I43" s="1">
        <f t="shared" si="12"/>
        <v>1.9706621874999999</v>
      </c>
      <c r="J43" s="1">
        <f t="shared" si="12"/>
        <v>2275.7346874999998</v>
      </c>
      <c r="K43" s="1">
        <f t="shared" si="12"/>
        <v>4.90625</v>
      </c>
      <c r="L43" s="1">
        <f t="shared" si="12"/>
        <v>1.8907312499999998</v>
      </c>
      <c r="M43" s="1">
        <f t="shared" si="12"/>
        <v>2605.6849999999999</v>
      </c>
      <c r="N43" s="4">
        <v>1</v>
      </c>
      <c r="O43" s="4">
        <f t="shared" ref="O43:Q43" si="13">AVERAGE(O5:O36)</f>
        <v>1.01875</v>
      </c>
      <c r="P43" s="4">
        <f t="shared" si="13"/>
        <v>1.384114583333333</v>
      </c>
      <c r="Q43" s="4">
        <f t="shared" si="13"/>
        <v>1.01875</v>
      </c>
    </row>
    <row r="44" spans="1:17" x14ac:dyDescent="0.2">
      <c r="A44" t="s">
        <v>15</v>
      </c>
      <c r="B44" s="1">
        <f>STDEV(B5:B36)</f>
        <v>0.89577863048786199</v>
      </c>
      <c r="C44" s="1">
        <f t="shared" ref="C44:M44" si="14">STDEV(C5:C36)</f>
        <v>0.14102467372768498</v>
      </c>
      <c r="D44" s="1">
        <f t="shared" si="14"/>
        <v>968.1147647843452</v>
      </c>
      <c r="E44" s="1">
        <f t="shared" si="14"/>
        <v>1.0582814736256865</v>
      </c>
      <c r="F44" s="1">
        <f t="shared" si="14"/>
        <v>0.14036201507461504</v>
      </c>
      <c r="G44" s="1">
        <f t="shared" si="14"/>
        <v>189.9000719688388</v>
      </c>
      <c r="H44" s="1">
        <f t="shared" si="14"/>
        <v>2.4230079946082479</v>
      </c>
      <c r="I44" s="1">
        <f t="shared" si="14"/>
        <v>9.7919070623830345E-2</v>
      </c>
      <c r="J44" s="1">
        <f t="shared" si="14"/>
        <v>115.63520077365587</v>
      </c>
      <c r="K44" s="1">
        <f t="shared" si="14"/>
        <v>1.0582814736256865</v>
      </c>
      <c r="L44" s="1">
        <f t="shared" si="14"/>
        <v>0.14036201507461504</v>
      </c>
      <c r="M44" s="1">
        <f t="shared" si="14"/>
        <v>182.63327160398293</v>
      </c>
      <c r="N44" s="1">
        <v>1</v>
      </c>
      <c r="O44" s="1">
        <f t="shared" ref="O44:Q44" si="15">STDEV(O5:O36)</f>
        <v>0.10606601717798252</v>
      </c>
      <c r="P44" s="1">
        <f t="shared" si="15"/>
        <v>0.34185583128886604</v>
      </c>
      <c r="Q44" s="1">
        <f t="shared" si="15"/>
        <v>0.10606601717798252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2DFA3-5310-FF45-817B-394E7EFE100A}">
  <sheetPr codeName="Sheet5"/>
  <dimension ref="A1:Q44"/>
  <sheetViews>
    <sheetView topLeftCell="G23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300003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3</v>
      </c>
      <c r="C5">
        <v>1.00004</v>
      </c>
      <c r="D5">
        <v>109562.29</v>
      </c>
      <c r="E5">
        <v>7</v>
      </c>
      <c r="F5">
        <v>1.9999199999999999</v>
      </c>
      <c r="G5">
        <v>3893.38</v>
      </c>
      <c r="H5">
        <v>5</v>
      </c>
      <c r="I5">
        <v>1.9998100000000001</v>
      </c>
      <c r="J5">
        <v>3257.25</v>
      </c>
      <c r="K5">
        <v>7</v>
      </c>
      <c r="L5">
        <v>1.9999199999999999</v>
      </c>
      <c r="M5">
        <v>3241.93</v>
      </c>
      <c r="O5">
        <f>E5/B5</f>
        <v>2.3333333333333335</v>
      </c>
      <c r="P5">
        <f>H5/B5</f>
        <v>1.6666666666666667</v>
      </c>
      <c r="Q5">
        <f>K5/B5</f>
        <v>2.3333333333333335</v>
      </c>
    </row>
    <row r="6" spans="1:17" x14ac:dyDescent="0.2">
      <c r="A6">
        <v>1</v>
      </c>
      <c r="B6">
        <v>3</v>
      </c>
      <c r="C6">
        <v>1.00004</v>
      </c>
      <c r="D6">
        <v>106805.37</v>
      </c>
      <c r="E6">
        <v>7</v>
      </c>
      <c r="F6">
        <v>1.9999199999999999</v>
      </c>
      <c r="G6">
        <v>3093.56</v>
      </c>
      <c r="H6">
        <v>5</v>
      </c>
      <c r="I6">
        <v>1.9998100000000001</v>
      </c>
      <c r="J6">
        <v>4053.04</v>
      </c>
      <c r="K6">
        <v>7</v>
      </c>
      <c r="L6">
        <v>1.9999199999999999</v>
      </c>
      <c r="M6">
        <v>3556.83</v>
      </c>
      <c r="O6">
        <f t="shared" ref="O6:O30" si="0">E6/B6</f>
        <v>2.3333333333333335</v>
      </c>
      <c r="P6">
        <f t="shared" ref="P6:P30" si="1">H6/B6</f>
        <v>1.6666666666666667</v>
      </c>
      <c r="Q6">
        <f t="shared" ref="Q6:Q30" si="2">K6/B6</f>
        <v>2.3333333333333335</v>
      </c>
    </row>
    <row r="7" spans="1:17" x14ac:dyDescent="0.2">
      <c r="A7">
        <v>2</v>
      </c>
      <c r="B7">
        <v>3</v>
      </c>
      <c r="C7">
        <v>1.0000100000000001</v>
      </c>
      <c r="D7">
        <v>98496.86</v>
      </c>
      <c r="E7">
        <v>3</v>
      </c>
      <c r="F7">
        <v>1.99997</v>
      </c>
      <c r="G7">
        <v>3307.9</v>
      </c>
      <c r="H7">
        <v>9</v>
      </c>
      <c r="I7">
        <v>1.9999400000000001</v>
      </c>
      <c r="J7">
        <v>1935.79</v>
      </c>
      <c r="K7">
        <v>3</v>
      </c>
      <c r="L7">
        <v>1.99997</v>
      </c>
      <c r="M7">
        <v>2478.7399999999998</v>
      </c>
      <c r="O7">
        <f t="shared" si="0"/>
        <v>1</v>
      </c>
      <c r="P7">
        <f t="shared" si="1"/>
        <v>3</v>
      </c>
      <c r="Q7">
        <f t="shared" si="2"/>
        <v>1</v>
      </c>
    </row>
    <row r="8" spans="1:17" x14ac:dyDescent="0.2">
      <c r="A8">
        <v>3</v>
      </c>
      <c r="B8">
        <v>3</v>
      </c>
      <c r="C8">
        <v>1.0000100000000001</v>
      </c>
      <c r="D8">
        <v>70464.479999999996</v>
      </c>
      <c r="E8">
        <v>3</v>
      </c>
      <c r="F8">
        <v>1.99997</v>
      </c>
      <c r="G8">
        <v>2357.2800000000002</v>
      </c>
      <c r="H8">
        <v>9</v>
      </c>
      <c r="I8">
        <v>1.9999400000000001</v>
      </c>
      <c r="J8">
        <v>2024.6</v>
      </c>
      <c r="K8">
        <v>3</v>
      </c>
      <c r="L8">
        <v>1.99997</v>
      </c>
      <c r="M8">
        <v>2622.21</v>
      </c>
      <c r="O8">
        <f t="shared" si="0"/>
        <v>1</v>
      </c>
      <c r="P8">
        <f t="shared" si="1"/>
        <v>3</v>
      </c>
      <c r="Q8">
        <f t="shared" si="2"/>
        <v>1</v>
      </c>
    </row>
    <row r="9" spans="1:17" x14ac:dyDescent="0.2">
      <c r="A9">
        <v>4</v>
      </c>
      <c r="B9">
        <v>3</v>
      </c>
      <c r="C9">
        <v>1.00004</v>
      </c>
      <c r="D9">
        <v>99008.81</v>
      </c>
      <c r="E9">
        <v>7</v>
      </c>
      <c r="F9">
        <v>1.9999199999999999</v>
      </c>
      <c r="G9">
        <v>2302.9299999999998</v>
      </c>
      <c r="H9">
        <v>5</v>
      </c>
      <c r="I9">
        <v>1.9998100000000001</v>
      </c>
      <c r="J9">
        <v>1942.68</v>
      </c>
      <c r="K9">
        <v>5</v>
      </c>
      <c r="L9">
        <v>1.9998100000000001</v>
      </c>
      <c r="M9">
        <v>2046.73</v>
      </c>
      <c r="O9">
        <f t="shared" si="0"/>
        <v>2.3333333333333335</v>
      </c>
      <c r="P9">
        <f t="shared" si="1"/>
        <v>1.6666666666666667</v>
      </c>
      <c r="Q9">
        <f t="shared" si="2"/>
        <v>1.6666666666666667</v>
      </c>
    </row>
    <row r="10" spans="1:17" x14ac:dyDescent="0.2">
      <c r="A10">
        <v>5</v>
      </c>
      <c r="B10">
        <v>3</v>
      </c>
      <c r="C10">
        <v>1.0000100000000001</v>
      </c>
      <c r="D10">
        <v>33610.660000000003</v>
      </c>
      <c r="E10">
        <v>3</v>
      </c>
      <c r="F10">
        <v>1.97407</v>
      </c>
      <c r="G10">
        <v>2011.29</v>
      </c>
      <c r="H10">
        <v>9</v>
      </c>
      <c r="I10">
        <v>1.9999400000000001</v>
      </c>
      <c r="J10">
        <v>1906.26</v>
      </c>
      <c r="K10">
        <v>3</v>
      </c>
      <c r="L10">
        <v>1.97407</v>
      </c>
      <c r="M10">
        <v>2109.63</v>
      </c>
      <c r="O10">
        <f t="shared" si="0"/>
        <v>1</v>
      </c>
      <c r="P10">
        <f t="shared" si="1"/>
        <v>3</v>
      </c>
      <c r="Q10">
        <f t="shared" si="2"/>
        <v>1</v>
      </c>
    </row>
    <row r="11" spans="1:17" x14ac:dyDescent="0.2">
      <c r="A11">
        <v>6</v>
      </c>
      <c r="B11">
        <v>3</v>
      </c>
      <c r="C11">
        <v>1.00004</v>
      </c>
      <c r="D11">
        <v>38637.599999999999</v>
      </c>
      <c r="E11">
        <v>3</v>
      </c>
      <c r="F11">
        <v>1.6492199999999999</v>
      </c>
      <c r="G11">
        <v>2218.4499999999998</v>
      </c>
      <c r="H11">
        <v>9</v>
      </c>
      <c r="I11">
        <v>1.9999400000000001</v>
      </c>
      <c r="J11">
        <v>2003.57</v>
      </c>
      <c r="K11">
        <v>3</v>
      </c>
      <c r="L11">
        <v>1.6492199999999999</v>
      </c>
      <c r="M11">
        <v>2418.73</v>
      </c>
      <c r="O11">
        <f t="shared" si="0"/>
        <v>1</v>
      </c>
      <c r="P11">
        <f t="shared" si="1"/>
        <v>3</v>
      </c>
      <c r="Q11">
        <f t="shared" si="2"/>
        <v>1</v>
      </c>
    </row>
    <row r="12" spans="1:17" x14ac:dyDescent="0.2">
      <c r="A12">
        <v>7</v>
      </c>
      <c r="B12">
        <v>3</v>
      </c>
      <c r="C12">
        <v>1.0000100000000001</v>
      </c>
      <c r="D12">
        <v>101375.69</v>
      </c>
      <c r="E12">
        <v>3</v>
      </c>
      <c r="F12">
        <v>1.99997</v>
      </c>
      <c r="G12">
        <v>2319.5100000000002</v>
      </c>
      <c r="H12">
        <v>9</v>
      </c>
      <c r="I12">
        <v>1.9999400000000001</v>
      </c>
      <c r="J12">
        <v>1972.52</v>
      </c>
      <c r="K12">
        <v>3</v>
      </c>
      <c r="L12">
        <v>1.99997</v>
      </c>
      <c r="M12">
        <v>2371.7399999999998</v>
      </c>
      <c r="O12">
        <f t="shared" si="0"/>
        <v>1</v>
      </c>
      <c r="P12">
        <f t="shared" si="1"/>
        <v>3</v>
      </c>
      <c r="Q12">
        <f t="shared" si="2"/>
        <v>1</v>
      </c>
    </row>
    <row r="13" spans="1:17" x14ac:dyDescent="0.2">
      <c r="A13">
        <v>8</v>
      </c>
      <c r="B13">
        <v>3</v>
      </c>
      <c r="C13">
        <v>1.0000100000000001</v>
      </c>
      <c r="D13">
        <v>126655.13</v>
      </c>
      <c r="E13">
        <v>3</v>
      </c>
      <c r="F13">
        <v>1.99997</v>
      </c>
      <c r="G13">
        <v>2366.92</v>
      </c>
      <c r="H13">
        <v>9</v>
      </c>
      <c r="I13">
        <v>1.9999400000000001</v>
      </c>
      <c r="J13">
        <v>2112.5700000000002</v>
      </c>
      <c r="K13">
        <v>9</v>
      </c>
      <c r="L13">
        <v>1.9999400000000001</v>
      </c>
      <c r="M13">
        <v>2026.87</v>
      </c>
      <c r="O13">
        <f t="shared" si="0"/>
        <v>1</v>
      </c>
      <c r="P13">
        <f t="shared" si="1"/>
        <v>3</v>
      </c>
      <c r="Q13">
        <f t="shared" si="2"/>
        <v>3</v>
      </c>
    </row>
    <row r="14" spans="1:17" x14ac:dyDescent="0.2">
      <c r="A14">
        <v>9</v>
      </c>
      <c r="B14">
        <v>3</v>
      </c>
      <c r="C14">
        <v>1.0000100000000001</v>
      </c>
      <c r="D14">
        <v>120363.99</v>
      </c>
      <c r="E14">
        <v>3</v>
      </c>
      <c r="F14">
        <v>1.99997</v>
      </c>
      <c r="G14">
        <v>2275.37</v>
      </c>
      <c r="H14">
        <v>9</v>
      </c>
      <c r="I14">
        <v>1.9999400000000001</v>
      </c>
      <c r="J14">
        <v>1967.96</v>
      </c>
      <c r="K14">
        <v>9</v>
      </c>
      <c r="L14">
        <v>1.9999400000000001</v>
      </c>
      <c r="M14">
        <v>2287.4699999999998</v>
      </c>
      <c r="O14">
        <f t="shared" si="0"/>
        <v>1</v>
      </c>
      <c r="P14">
        <f t="shared" si="1"/>
        <v>3</v>
      </c>
      <c r="Q14">
        <f t="shared" si="2"/>
        <v>3</v>
      </c>
    </row>
    <row r="15" spans="1:17" x14ac:dyDescent="0.2">
      <c r="A15">
        <v>10</v>
      </c>
      <c r="B15">
        <v>3</v>
      </c>
      <c r="C15">
        <v>1.0000100000000001</v>
      </c>
      <c r="D15">
        <v>132594.49</v>
      </c>
      <c r="E15">
        <v>3</v>
      </c>
      <c r="F15">
        <v>1.99997</v>
      </c>
      <c r="G15">
        <v>2420.5300000000002</v>
      </c>
      <c r="H15">
        <v>9</v>
      </c>
      <c r="I15">
        <v>1.9999400000000001</v>
      </c>
      <c r="J15">
        <v>2047.43</v>
      </c>
      <c r="K15">
        <v>3</v>
      </c>
      <c r="L15">
        <v>1.99997</v>
      </c>
      <c r="M15">
        <v>2454.63</v>
      </c>
      <c r="O15">
        <f t="shared" si="0"/>
        <v>1</v>
      </c>
      <c r="P15">
        <f t="shared" si="1"/>
        <v>3</v>
      </c>
      <c r="Q15">
        <f t="shared" si="2"/>
        <v>1</v>
      </c>
    </row>
    <row r="16" spans="1:17" x14ac:dyDescent="0.2">
      <c r="A16">
        <v>11</v>
      </c>
      <c r="B16">
        <v>3</v>
      </c>
      <c r="C16">
        <v>1.00004</v>
      </c>
      <c r="D16">
        <v>89111.56</v>
      </c>
      <c r="E16">
        <v>7</v>
      </c>
      <c r="F16">
        <v>1.9999199999999999</v>
      </c>
      <c r="G16">
        <v>2337.48</v>
      </c>
      <c r="H16">
        <v>5</v>
      </c>
      <c r="I16">
        <v>1.9998100000000001</v>
      </c>
      <c r="J16">
        <v>1934.44</v>
      </c>
      <c r="K16">
        <v>7</v>
      </c>
      <c r="L16">
        <v>1.9999199999999999</v>
      </c>
      <c r="M16">
        <v>2333.29</v>
      </c>
      <c r="O16">
        <f t="shared" si="0"/>
        <v>2.3333333333333335</v>
      </c>
      <c r="P16">
        <f t="shared" si="1"/>
        <v>1.6666666666666667</v>
      </c>
      <c r="Q16">
        <f t="shared" si="2"/>
        <v>2.3333333333333335</v>
      </c>
    </row>
    <row r="17" spans="1:17" x14ac:dyDescent="0.2">
      <c r="A17">
        <v>12</v>
      </c>
      <c r="B17">
        <v>3</v>
      </c>
      <c r="C17">
        <v>1.00004</v>
      </c>
      <c r="D17">
        <v>106898.51</v>
      </c>
      <c r="E17">
        <v>7</v>
      </c>
      <c r="F17">
        <v>1.9999199999999999</v>
      </c>
      <c r="G17">
        <v>2968.29</v>
      </c>
      <c r="H17">
        <v>5</v>
      </c>
      <c r="I17">
        <v>1.9998100000000001</v>
      </c>
      <c r="J17">
        <v>1979.52</v>
      </c>
      <c r="K17">
        <v>7</v>
      </c>
      <c r="L17">
        <v>1.9999199999999999</v>
      </c>
      <c r="M17">
        <v>2395.69</v>
      </c>
      <c r="O17">
        <f t="shared" si="0"/>
        <v>2.3333333333333335</v>
      </c>
      <c r="P17">
        <f t="shared" si="1"/>
        <v>1.6666666666666667</v>
      </c>
      <c r="Q17">
        <f t="shared" si="2"/>
        <v>2.3333333333333335</v>
      </c>
    </row>
    <row r="18" spans="1:17" x14ac:dyDescent="0.2">
      <c r="A18">
        <v>13</v>
      </c>
      <c r="B18">
        <v>3</v>
      </c>
      <c r="C18">
        <v>1.0000100000000001</v>
      </c>
      <c r="D18">
        <v>19844.55</v>
      </c>
      <c r="E18">
        <v>3</v>
      </c>
      <c r="F18">
        <v>1.1323399999999999</v>
      </c>
      <c r="G18">
        <v>2046.75</v>
      </c>
      <c r="H18">
        <v>9</v>
      </c>
      <c r="I18">
        <v>1.9999400000000001</v>
      </c>
      <c r="J18">
        <v>2469.86</v>
      </c>
      <c r="K18">
        <v>3</v>
      </c>
      <c r="L18">
        <v>1.1323399999999999</v>
      </c>
      <c r="M18">
        <v>2281.35</v>
      </c>
      <c r="O18">
        <f t="shared" si="0"/>
        <v>1</v>
      </c>
      <c r="P18">
        <f t="shared" si="1"/>
        <v>3</v>
      </c>
      <c r="Q18">
        <f t="shared" si="2"/>
        <v>1</v>
      </c>
    </row>
    <row r="19" spans="1:17" x14ac:dyDescent="0.2">
      <c r="A19">
        <v>14</v>
      </c>
      <c r="B19">
        <v>3</v>
      </c>
      <c r="C19">
        <v>1.00004</v>
      </c>
      <c r="D19">
        <v>50570.65</v>
      </c>
      <c r="E19">
        <v>7</v>
      </c>
      <c r="F19">
        <v>1.9999199999999999</v>
      </c>
      <c r="G19">
        <v>3271.27</v>
      </c>
      <c r="H19">
        <v>5</v>
      </c>
      <c r="I19">
        <v>1.9998100000000001</v>
      </c>
      <c r="J19">
        <v>1956.09</v>
      </c>
      <c r="K19">
        <v>7</v>
      </c>
      <c r="L19">
        <v>1.9999199999999999</v>
      </c>
      <c r="M19">
        <v>2479.06</v>
      </c>
      <c r="O19">
        <f t="shared" si="0"/>
        <v>2.3333333333333335</v>
      </c>
      <c r="P19">
        <f t="shared" si="1"/>
        <v>1.6666666666666667</v>
      </c>
      <c r="Q19">
        <f t="shared" si="2"/>
        <v>2.3333333333333335</v>
      </c>
    </row>
    <row r="20" spans="1:17" x14ac:dyDescent="0.2">
      <c r="A20">
        <v>15</v>
      </c>
      <c r="B20">
        <v>3</v>
      </c>
      <c r="C20">
        <v>1.0000100000000001</v>
      </c>
      <c r="D20">
        <v>45228.78</v>
      </c>
      <c r="E20">
        <v>3</v>
      </c>
      <c r="F20">
        <v>1.8821000000000001</v>
      </c>
      <c r="G20">
        <v>1991.8</v>
      </c>
      <c r="H20">
        <v>9</v>
      </c>
      <c r="I20">
        <v>1.9999400000000001</v>
      </c>
      <c r="J20">
        <v>1891.01</v>
      </c>
      <c r="K20">
        <v>3</v>
      </c>
      <c r="L20">
        <v>1.8821000000000001</v>
      </c>
      <c r="M20">
        <v>2089.11</v>
      </c>
      <c r="O20">
        <f t="shared" si="0"/>
        <v>1</v>
      </c>
      <c r="P20">
        <f t="shared" si="1"/>
        <v>3</v>
      </c>
      <c r="Q20">
        <f t="shared" si="2"/>
        <v>1</v>
      </c>
    </row>
    <row r="21" spans="1:17" x14ac:dyDescent="0.2">
      <c r="A21">
        <v>16</v>
      </c>
      <c r="B21">
        <v>3</v>
      </c>
      <c r="C21">
        <v>1.0000100000000001</v>
      </c>
      <c r="D21">
        <v>100039.1</v>
      </c>
      <c r="E21">
        <v>3</v>
      </c>
      <c r="F21">
        <v>1.99997</v>
      </c>
      <c r="G21">
        <v>2353.16</v>
      </c>
      <c r="H21">
        <v>9</v>
      </c>
      <c r="I21">
        <v>1.9999400000000001</v>
      </c>
      <c r="J21">
        <v>1918.48</v>
      </c>
      <c r="K21">
        <v>3</v>
      </c>
      <c r="L21">
        <v>1.99997</v>
      </c>
      <c r="M21">
        <v>2423.54</v>
      </c>
      <c r="O21">
        <f t="shared" si="0"/>
        <v>1</v>
      </c>
      <c r="P21">
        <f t="shared" si="1"/>
        <v>3</v>
      </c>
      <c r="Q21">
        <f t="shared" si="2"/>
        <v>1</v>
      </c>
    </row>
    <row r="22" spans="1:17" x14ac:dyDescent="0.2">
      <c r="A22">
        <v>17</v>
      </c>
      <c r="B22">
        <v>3</v>
      </c>
      <c r="C22">
        <v>1.00004</v>
      </c>
      <c r="D22">
        <v>190819.67</v>
      </c>
      <c r="E22">
        <v>7</v>
      </c>
      <c r="F22">
        <v>1.9999199999999999</v>
      </c>
      <c r="G22">
        <v>2954.73</v>
      </c>
      <c r="H22">
        <v>5</v>
      </c>
      <c r="I22">
        <v>1.9998100000000001</v>
      </c>
      <c r="J22">
        <v>1979.16</v>
      </c>
      <c r="K22">
        <v>5</v>
      </c>
      <c r="L22">
        <v>1.9998100000000001</v>
      </c>
      <c r="M22">
        <v>2022.77</v>
      </c>
      <c r="O22">
        <f t="shared" si="0"/>
        <v>2.3333333333333335</v>
      </c>
      <c r="P22">
        <f t="shared" si="1"/>
        <v>1.6666666666666667</v>
      </c>
      <c r="Q22">
        <f t="shared" si="2"/>
        <v>1.6666666666666667</v>
      </c>
    </row>
    <row r="23" spans="1:17" x14ac:dyDescent="0.2">
      <c r="A23">
        <v>18</v>
      </c>
      <c r="B23">
        <v>3</v>
      </c>
      <c r="C23">
        <v>1.00004</v>
      </c>
      <c r="D23">
        <v>17677.150000000001</v>
      </c>
      <c r="E23">
        <v>3</v>
      </c>
      <c r="F23">
        <v>1.05664</v>
      </c>
      <c r="G23">
        <v>2084.4299999999998</v>
      </c>
      <c r="H23">
        <v>9</v>
      </c>
      <c r="I23">
        <v>1.9999400000000001</v>
      </c>
      <c r="J23">
        <v>2023.79</v>
      </c>
      <c r="K23">
        <v>3</v>
      </c>
      <c r="L23">
        <v>1.05664</v>
      </c>
      <c r="M23">
        <v>2264.2600000000002</v>
      </c>
      <c r="O23">
        <f t="shared" si="0"/>
        <v>1</v>
      </c>
      <c r="P23">
        <f t="shared" si="1"/>
        <v>3</v>
      </c>
      <c r="Q23">
        <f t="shared" si="2"/>
        <v>1</v>
      </c>
    </row>
    <row r="24" spans="1:17" x14ac:dyDescent="0.2">
      <c r="A24">
        <v>19</v>
      </c>
      <c r="B24">
        <v>3</v>
      </c>
      <c r="C24">
        <v>1.0000100000000001</v>
      </c>
      <c r="D24">
        <v>108588.65</v>
      </c>
      <c r="E24">
        <v>3</v>
      </c>
      <c r="F24">
        <v>1.99997</v>
      </c>
      <c r="G24">
        <v>2279.77</v>
      </c>
      <c r="H24">
        <v>9</v>
      </c>
      <c r="I24">
        <v>1.9999400000000001</v>
      </c>
      <c r="J24">
        <v>1932.01</v>
      </c>
      <c r="K24">
        <v>3</v>
      </c>
      <c r="L24">
        <v>1.99997</v>
      </c>
      <c r="M24">
        <v>2375.2199999999998</v>
      </c>
      <c r="O24">
        <f t="shared" si="0"/>
        <v>1</v>
      </c>
      <c r="P24">
        <f t="shared" si="1"/>
        <v>3</v>
      </c>
      <c r="Q24">
        <f t="shared" si="2"/>
        <v>1</v>
      </c>
    </row>
    <row r="25" spans="1:17" x14ac:dyDescent="0.2">
      <c r="A25">
        <v>20</v>
      </c>
      <c r="B25">
        <v>3</v>
      </c>
      <c r="C25">
        <v>1.00004</v>
      </c>
      <c r="D25">
        <v>54188.52</v>
      </c>
      <c r="E25">
        <v>7</v>
      </c>
      <c r="F25">
        <v>1.9999199999999999</v>
      </c>
      <c r="G25">
        <v>2296.59</v>
      </c>
      <c r="H25">
        <v>5</v>
      </c>
      <c r="I25">
        <v>1.9998100000000001</v>
      </c>
      <c r="J25">
        <v>2637.29</v>
      </c>
      <c r="K25">
        <v>7</v>
      </c>
      <c r="L25">
        <v>1.9999199999999999</v>
      </c>
      <c r="M25">
        <v>2412.56</v>
      </c>
      <c r="O25">
        <f t="shared" si="0"/>
        <v>2.3333333333333335</v>
      </c>
      <c r="P25">
        <f t="shared" si="1"/>
        <v>1.6666666666666667</v>
      </c>
      <c r="Q25">
        <f t="shared" si="2"/>
        <v>2.3333333333333335</v>
      </c>
    </row>
    <row r="26" spans="1:17" x14ac:dyDescent="0.2">
      <c r="A26">
        <v>21</v>
      </c>
      <c r="B26">
        <v>3</v>
      </c>
      <c r="C26">
        <v>1.0000100000000001</v>
      </c>
      <c r="D26">
        <v>128036.44</v>
      </c>
      <c r="E26">
        <v>3</v>
      </c>
      <c r="F26">
        <v>1.99997</v>
      </c>
      <c r="G26">
        <v>2337.58</v>
      </c>
      <c r="H26">
        <v>9</v>
      </c>
      <c r="I26">
        <v>1.9999400000000001</v>
      </c>
      <c r="J26">
        <v>1894.25</v>
      </c>
      <c r="K26">
        <v>9</v>
      </c>
      <c r="L26">
        <v>1.9999400000000001</v>
      </c>
      <c r="M26">
        <v>2153.56</v>
      </c>
      <c r="O26">
        <f t="shared" si="0"/>
        <v>1</v>
      </c>
      <c r="P26">
        <f t="shared" si="1"/>
        <v>3</v>
      </c>
      <c r="Q26">
        <f t="shared" si="2"/>
        <v>3</v>
      </c>
    </row>
    <row r="27" spans="1:17" x14ac:dyDescent="0.2">
      <c r="A27">
        <v>22</v>
      </c>
      <c r="B27">
        <v>3</v>
      </c>
      <c r="C27">
        <v>1.0000100000000001</v>
      </c>
      <c r="D27">
        <v>64711.25</v>
      </c>
      <c r="E27">
        <v>3</v>
      </c>
      <c r="F27">
        <v>1.99997</v>
      </c>
      <c r="G27">
        <v>2305.91</v>
      </c>
      <c r="H27">
        <v>9</v>
      </c>
      <c r="I27">
        <v>1.9999400000000001</v>
      </c>
      <c r="J27">
        <v>1894.11</v>
      </c>
      <c r="K27">
        <v>3</v>
      </c>
      <c r="L27">
        <v>1.99997</v>
      </c>
      <c r="M27">
        <v>2377.39</v>
      </c>
      <c r="O27">
        <f t="shared" si="0"/>
        <v>1</v>
      </c>
      <c r="P27">
        <f t="shared" si="1"/>
        <v>3</v>
      </c>
      <c r="Q27">
        <f t="shared" si="2"/>
        <v>1</v>
      </c>
    </row>
    <row r="28" spans="1:17" x14ac:dyDescent="0.2">
      <c r="A28">
        <v>23</v>
      </c>
      <c r="B28">
        <v>3</v>
      </c>
      <c r="C28">
        <v>1.00004</v>
      </c>
      <c r="D28">
        <v>142015.85999999999</v>
      </c>
      <c r="E28">
        <v>7</v>
      </c>
      <c r="F28">
        <v>1.9999199999999999</v>
      </c>
      <c r="G28">
        <v>2405.96</v>
      </c>
      <c r="H28">
        <v>5</v>
      </c>
      <c r="I28">
        <v>1.9998100000000001</v>
      </c>
      <c r="J28">
        <v>2199.69</v>
      </c>
      <c r="K28">
        <v>5</v>
      </c>
      <c r="L28">
        <v>1.9998100000000001</v>
      </c>
      <c r="M28">
        <v>3456.9</v>
      </c>
      <c r="O28">
        <f t="shared" si="0"/>
        <v>2.3333333333333335</v>
      </c>
      <c r="P28">
        <f t="shared" si="1"/>
        <v>1.6666666666666667</v>
      </c>
      <c r="Q28">
        <f t="shared" si="2"/>
        <v>1.6666666666666667</v>
      </c>
    </row>
    <row r="29" spans="1:17" x14ac:dyDescent="0.2">
      <c r="A29">
        <v>24</v>
      </c>
      <c r="B29">
        <v>3</v>
      </c>
      <c r="C29">
        <v>1.00004</v>
      </c>
      <c r="D29">
        <v>19950.84</v>
      </c>
      <c r="E29">
        <v>3</v>
      </c>
      <c r="F29">
        <v>1.09727</v>
      </c>
      <c r="G29">
        <v>2112.52</v>
      </c>
      <c r="H29">
        <v>9</v>
      </c>
      <c r="I29">
        <v>1.9999400000000001</v>
      </c>
      <c r="J29">
        <v>2014.41</v>
      </c>
      <c r="K29">
        <v>3</v>
      </c>
      <c r="L29">
        <v>1.09727</v>
      </c>
      <c r="M29">
        <v>2328.42</v>
      </c>
      <c r="O29">
        <f t="shared" si="0"/>
        <v>1</v>
      </c>
      <c r="P29">
        <f t="shared" si="1"/>
        <v>3</v>
      </c>
      <c r="Q29">
        <f t="shared" si="2"/>
        <v>1</v>
      </c>
    </row>
    <row r="30" spans="1:17" x14ac:dyDescent="0.2">
      <c r="A30">
        <v>25</v>
      </c>
      <c r="B30">
        <v>3</v>
      </c>
      <c r="C30">
        <v>1.0000100000000001</v>
      </c>
      <c r="D30">
        <v>37542.720000000001</v>
      </c>
      <c r="E30">
        <v>3</v>
      </c>
      <c r="F30">
        <v>1.99997</v>
      </c>
      <c r="G30">
        <v>3199.27</v>
      </c>
      <c r="H30">
        <v>9</v>
      </c>
      <c r="I30">
        <v>1.9999400000000001</v>
      </c>
      <c r="J30">
        <v>1913.65</v>
      </c>
      <c r="K30">
        <v>3</v>
      </c>
      <c r="L30">
        <v>1.99997</v>
      </c>
      <c r="M30">
        <v>2388.29</v>
      </c>
      <c r="O30">
        <f t="shared" si="0"/>
        <v>1</v>
      </c>
      <c r="P30">
        <f t="shared" si="1"/>
        <v>3</v>
      </c>
      <c r="Q30">
        <f t="shared" si="2"/>
        <v>1</v>
      </c>
    </row>
    <row r="31" spans="1:17" x14ac:dyDescent="0.2">
      <c r="A31">
        <v>26</v>
      </c>
      <c r="B31">
        <v>3</v>
      </c>
      <c r="C31">
        <v>1.0000100000000001</v>
      </c>
      <c r="D31">
        <v>21957.38</v>
      </c>
      <c r="E31">
        <v>3</v>
      </c>
      <c r="F31">
        <v>1.09352</v>
      </c>
      <c r="G31">
        <v>2091.87</v>
      </c>
      <c r="H31">
        <v>9</v>
      </c>
      <c r="I31">
        <v>1.9999400000000001</v>
      </c>
      <c r="J31">
        <v>1955.42</v>
      </c>
      <c r="K31">
        <v>3</v>
      </c>
      <c r="L31">
        <v>1.09352</v>
      </c>
      <c r="M31">
        <v>2294.79</v>
      </c>
      <c r="O31">
        <f>E31/B31</f>
        <v>1</v>
      </c>
      <c r="P31">
        <f>H31/B31</f>
        <v>3</v>
      </c>
      <c r="Q31">
        <f>K31/B31</f>
        <v>1</v>
      </c>
    </row>
    <row r="32" spans="1:17" x14ac:dyDescent="0.2">
      <c r="A32">
        <v>27</v>
      </c>
      <c r="B32">
        <v>3</v>
      </c>
      <c r="C32">
        <v>1.0000100000000001</v>
      </c>
      <c r="D32">
        <v>28996.47</v>
      </c>
      <c r="E32">
        <v>3</v>
      </c>
      <c r="F32">
        <v>1.71472</v>
      </c>
      <c r="G32">
        <v>2808.17</v>
      </c>
      <c r="H32">
        <v>9</v>
      </c>
      <c r="I32">
        <v>1.9999400000000001</v>
      </c>
      <c r="J32">
        <v>1969.27</v>
      </c>
      <c r="K32">
        <v>3</v>
      </c>
      <c r="L32">
        <v>1.71472</v>
      </c>
      <c r="M32">
        <v>2207.35</v>
      </c>
      <c r="O32">
        <f t="shared" ref="O32:O36" si="3">E32/B32</f>
        <v>1</v>
      </c>
      <c r="P32">
        <f t="shared" ref="P32:P36" si="4">H32/B32</f>
        <v>3</v>
      </c>
      <c r="Q32">
        <f t="shared" ref="Q32:Q36" si="5">K32/B32</f>
        <v>1</v>
      </c>
    </row>
    <row r="33" spans="1:17" x14ac:dyDescent="0.2">
      <c r="A33">
        <v>28</v>
      </c>
      <c r="B33">
        <v>3</v>
      </c>
      <c r="C33">
        <v>1.00004</v>
      </c>
      <c r="D33">
        <v>117817.7</v>
      </c>
      <c r="E33">
        <v>7</v>
      </c>
      <c r="F33">
        <v>1.9999199999999999</v>
      </c>
      <c r="G33">
        <v>2667.23</v>
      </c>
      <c r="H33">
        <v>5</v>
      </c>
      <c r="I33">
        <v>1.9998100000000001</v>
      </c>
      <c r="J33">
        <v>2264.5300000000002</v>
      </c>
      <c r="K33">
        <v>7</v>
      </c>
      <c r="L33">
        <v>1.9999199999999999</v>
      </c>
      <c r="M33">
        <v>2571.71</v>
      </c>
      <c r="O33">
        <f t="shared" si="3"/>
        <v>2.3333333333333335</v>
      </c>
      <c r="P33">
        <f t="shared" si="4"/>
        <v>1.6666666666666667</v>
      </c>
      <c r="Q33">
        <f t="shared" si="5"/>
        <v>2.3333333333333335</v>
      </c>
    </row>
    <row r="34" spans="1:17" x14ac:dyDescent="0.2">
      <c r="A34">
        <v>29</v>
      </c>
      <c r="B34">
        <v>3</v>
      </c>
      <c r="C34">
        <v>1.00004</v>
      </c>
      <c r="D34">
        <v>23779.14</v>
      </c>
      <c r="E34">
        <v>3</v>
      </c>
      <c r="F34">
        <v>1.2961</v>
      </c>
      <c r="G34">
        <v>2425.2399999999998</v>
      </c>
      <c r="H34">
        <v>9</v>
      </c>
      <c r="I34">
        <v>1.9999400000000001</v>
      </c>
      <c r="J34">
        <v>2193.56</v>
      </c>
      <c r="K34">
        <v>3</v>
      </c>
      <c r="L34">
        <v>1.2961</v>
      </c>
      <c r="M34">
        <v>2415.5500000000002</v>
      </c>
      <c r="O34">
        <f t="shared" si="3"/>
        <v>1</v>
      </c>
      <c r="P34">
        <f t="shared" si="4"/>
        <v>3</v>
      </c>
      <c r="Q34">
        <f t="shared" si="5"/>
        <v>1</v>
      </c>
    </row>
    <row r="35" spans="1:17" x14ac:dyDescent="0.2">
      <c r="A35">
        <v>30</v>
      </c>
      <c r="B35">
        <v>3</v>
      </c>
      <c r="C35">
        <v>1.00004</v>
      </c>
      <c r="D35">
        <v>64598.7</v>
      </c>
      <c r="E35">
        <v>7</v>
      </c>
      <c r="F35">
        <v>1.9999199999999999</v>
      </c>
      <c r="G35">
        <v>2579.9499999999998</v>
      </c>
      <c r="H35">
        <v>5</v>
      </c>
      <c r="I35">
        <v>1.9998100000000001</v>
      </c>
      <c r="J35">
        <v>2135.7399999999998</v>
      </c>
      <c r="K35">
        <v>7</v>
      </c>
      <c r="L35">
        <v>1.9999199999999999</v>
      </c>
      <c r="M35">
        <v>2637.65</v>
      </c>
      <c r="O35">
        <f t="shared" si="3"/>
        <v>2.3333333333333335</v>
      </c>
      <c r="P35">
        <f t="shared" si="4"/>
        <v>1.6666666666666667</v>
      </c>
      <c r="Q35">
        <f t="shared" si="5"/>
        <v>2.3333333333333335</v>
      </c>
    </row>
    <row r="36" spans="1:17" x14ac:dyDescent="0.2">
      <c r="A36">
        <v>31</v>
      </c>
      <c r="B36">
        <v>3</v>
      </c>
      <c r="C36">
        <v>1.00004</v>
      </c>
      <c r="D36">
        <v>100696.16</v>
      </c>
      <c r="E36">
        <v>7</v>
      </c>
      <c r="F36">
        <v>1.9999199999999999</v>
      </c>
      <c r="G36">
        <v>2265.5700000000002</v>
      </c>
      <c r="H36">
        <v>5</v>
      </c>
      <c r="I36">
        <v>1.9998100000000001</v>
      </c>
      <c r="J36">
        <v>1959.37</v>
      </c>
      <c r="K36">
        <v>7</v>
      </c>
      <c r="L36">
        <v>1.9999199999999999</v>
      </c>
      <c r="M36">
        <v>2374.14</v>
      </c>
      <c r="O36">
        <f t="shared" si="3"/>
        <v>2.3333333333333335</v>
      </c>
      <c r="P36">
        <f t="shared" si="4"/>
        <v>1.6666666666666667</v>
      </c>
      <c r="Q36">
        <f t="shared" si="5"/>
        <v>2.3333333333333335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3</v>
      </c>
      <c r="C40" s="1">
        <f t="shared" ref="C40:M40" si="6">MAX(C5:C36)</f>
        <v>1.00004</v>
      </c>
      <c r="D40" s="1">
        <f t="shared" si="6"/>
        <v>190819.67</v>
      </c>
      <c r="E40" s="1">
        <f t="shared" si="6"/>
        <v>7</v>
      </c>
      <c r="F40" s="1">
        <f t="shared" si="6"/>
        <v>1.99997</v>
      </c>
      <c r="G40" s="1">
        <f t="shared" si="6"/>
        <v>3893.38</v>
      </c>
      <c r="H40" s="1">
        <f t="shared" si="6"/>
        <v>9</v>
      </c>
      <c r="I40" s="1">
        <f t="shared" si="6"/>
        <v>1.9999400000000001</v>
      </c>
      <c r="J40" s="1">
        <f t="shared" si="6"/>
        <v>4053.04</v>
      </c>
      <c r="K40" s="1">
        <f t="shared" si="6"/>
        <v>9</v>
      </c>
      <c r="L40" s="1">
        <f t="shared" si="6"/>
        <v>1.99997</v>
      </c>
      <c r="M40" s="1">
        <f t="shared" si="6"/>
        <v>3556.83</v>
      </c>
      <c r="N40" s="1">
        <v>1</v>
      </c>
      <c r="O40" s="1">
        <f t="shared" ref="O40:Q40" si="7">MAX(O5:O36)</f>
        <v>2.3333333333333335</v>
      </c>
      <c r="P40" s="1">
        <f t="shared" si="7"/>
        <v>3</v>
      </c>
      <c r="Q40" s="1">
        <f t="shared" si="7"/>
        <v>3</v>
      </c>
    </row>
    <row r="41" spans="1:17" x14ac:dyDescent="0.2">
      <c r="A41" t="s">
        <v>12</v>
      </c>
      <c r="B41" s="1">
        <f>MIN(B5:B36)</f>
        <v>3</v>
      </c>
      <c r="C41" s="1">
        <f t="shared" ref="C41:M41" si="8">MIN(C5:C36)</f>
        <v>1.0000100000000001</v>
      </c>
      <c r="D41" s="1">
        <f t="shared" si="8"/>
        <v>17677.150000000001</v>
      </c>
      <c r="E41" s="1">
        <f t="shared" si="8"/>
        <v>3</v>
      </c>
      <c r="F41" s="1">
        <f t="shared" si="8"/>
        <v>1.05664</v>
      </c>
      <c r="G41" s="1">
        <f t="shared" si="8"/>
        <v>1991.8</v>
      </c>
      <c r="H41" s="1">
        <f t="shared" si="8"/>
        <v>5</v>
      </c>
      <c r="I41" s="1">
        <f t="shared" si="8"/>
        <v>1.9998100000000001</v>
      </c>
      <c r="J41" s="1">
        <f t="shared" si="8"/>
        <v>1891.01</v>
      </c>
      <c r="K41" s="1">
        <f t="shared" si="8"/>
        <v>3</v>
      </c>
      <c r="L41" s="1">
        <f t="shared" si="8"/>
        <v>1.05664</v>
      </c>
      <c r="M41" s="1">
        <f t="shared" si="8"/>
        <v>2022.77</v>
      </c>
      <c r="N41" s="1">
        <v>1</v>
      </c>
      <c r="O41" s="1">
        <f t="shared" ref="O41:Q41" si="9">MIN(O5:O36)</f>
        <v>1</v>
      </c>
      <c r="P41" s="1">
        <f t="shared" si="9"/>
        <v>1.6666666666666667</v>
      </c>
      <c r="Q41" s="1">
        <f t="shared" si="9"/>
        <v>1</v>
      </c>
    </row>
    <row r="42" spans="1:17" x14ac:dyDescent="0.2">
      <c r="A42" t="s">
        <v>13</v>
      </c>
      <c r="B42" s="1">
        <f>MEDIAN(B5:B36)</f>
        <v>3</v>
      </c>
      <c r="C42" s="1">
        <f t="shared" ref="C42:M42" si="10">MEDIAN(C5:C36)</f>
        <v>1.0000249999999999</v>
      </c>
      <c r="D42" s="1">
        <f t="shared" si="10"/>
        <v>93804.209999999992</v>
      </c>
      <c r="E42" s="1">
        <f t="shared" si="10"/>
        <v>3</v>
      </c>
      <c r="F42" s="1">
        <f t="shared" si="10"/>
        <v>1.9999199999999999</v>
      </c>
      <c r="G42" s="1">
        <f t="shared" si="10"/>
        <v>2345.37</v>
      </c>
      <c r="H42" s="1">
        <f t="shared" si="10"/>
        <v>9</v>
      </c>
      <c r="I42" s="1">
        <f t="shared" si="10"/>
        <v>1.9999400000000001</v>
      </c>
      <c r="J42" s="1">
        <f t="shared" si="10"/>
        <v>1975.8400000000001</v>
      </c>
      <c r="K42" s="1">
        <f t="shared" si="10"/>
        <v>3</v>
      </c>
      <c r="L42" s="1">
        <f t="shared" si="10"/>
        <v>1.9999199999999999</v>
      </c>
      <c r="M42" s="1">
        <f t="shared" si="10"/>
        <v>2376.3049999999998</v>
      </c>
      <c r="N42" s="1">
        <v>1</v>
      </c>
      <c r="O42" s="1">
        <f t="shared" ref="O42:Q42" si="11">MEDIAN(O5:O36)</f>
        <v>1</v>
      </c>
      <c r="P42" s="1">
        <f t="shared" si="11"/>
        <v>3</v>
      </c>
      <c r="Q42" s="1">
        <f t="shared" si="11"/>
        <v>1</v>
      </c>
    </row>
    <row r="43" spans="1:17" x14ac:dyDescent="0.2">
      <c r="A43" t="s">
        <v>14</v>
      </c>
      <c r="B43" s="1">
        <f>AVERAGE(B5:B36)</f>
        <v>3</v>
      </c>
      <c r="C43" s="1">
        <f t="shared" ref="C43:M43" si="12">AVERAGE(C5:C36)</f>
        <v>1.0000249999999995</v>
      </c>
      <c r="D43" s="1">
        <f t="shared" si="12"/>
        <v>80332.661562500012</v>
      </c>
      <c r="E43" s="1">
        <f t="shared" si="12"/>
        <v>4.5</v>
      </c>
      <c r="F43" s="1">
        <f t="shared" si="12"/>
        <v>1.8404590625000004</v>
      </c>
      <c r="G43" s="1">
        <f t="shared" si="12"/>
        <v>2510.9581250000001</v>
      </c>
      <c r="H43" s="1">
        <f t="shared" si="12"/>
        <v>7.5</v>
      </c>
      <c r="I43" s="1">
        <f t="shared" si="12"/>
        <v>1.9998912500000001</v>
      </c>
      <c r="J43" s="1">
        <f t="shared" si="12"/>
        <v>2135.6037500000002</v>
      </c>
      <c r="K43" s="1">
        <f t="shared" si="12"/>
        <v>4.875</v>
      </c>
      <c r="L43" s="1">
        <f t="shared" si="12"/>
        <v>1.8404459375000004</v>
      </c>
      <c r="M43" s="1">
        <f t="shared" si="12"/>
        <v>2434.3159375</v>
      </c>
      <c r="N43" s="4">
        <v>1</v>
      </c>
      <c r="O43" s="4">
        <f t="shared" ref="O43:Q43" si="13">AVERAGE(O5:O36)</f>
        <v>1.5</v>
      </c>
      <c r="P43" s="4">
        <f t="shared" si="13"/>
        <v>2.5000000000000004</v>
      </c>
      <c r="Q43" s="4">
        <f t="shared" si="13"/>
        <v>1.6250000000000002</v>
      </c>
    </row>
    <row r="44" spans="1:17" x14ac:dyDescent="0.2">
      <c r="A44" t="s">
        <v>15</v>
      </c>
      <c r="B44" s="1">
        <f>STDEV(B5:B36)</f>
        <v>0</v>
      </c>
      <c r="C44" s="1">
        <f t="shared" ref="C44:M44" si="14">STDEV(C5:C36)</f>
        <v>1.5240015240009902E-5</v>
      </c>
      <c r="D44" s="1">
        <f t="shared" si="14"/>
        <v>44304.05083281712</v>
      </c>
      <c r="E44" s="1">
        <f t="shared" si="14"/>
        <v>1.9674775073518589</v>
      </c>
      <c r="F44" s="1">
        <f t="shared" si="14"/>
        <v>0.32025004461090295</v>
      </c>
      <c r="G44" s="1">
        <f t="shared" si="14"/>
        <v>450.47279726998039</v>
      </c>
      <c r="H44" s="1">
        <f t="shared" si="14"/>
        <v>1.9674775073518589</v>
      </c>
      <c r="I44" s="1">
        <f t="shared" si="14"/>
        <v>6.3943018988917448E-5</v>
      </c>
      <c r="J44" s="1">
        <f t="shared" si="14"/>
        <v>443.54963958843683</v>
      </c>
      <c r="K44" s="1">
        <f t="shared" si="14"/>
        <v>2.2106778992412144</v>
      </c>
      <c r="L44" s="1">
        <f t="shared" si="14"/>
        <v>0.3202432996741516</v>
      </c>
      <c r="M44" s="1">
        <f t="shared" si="14"/>
        <v>360.65509394183158</v>
      </c>
      <c r="N44" s="1">
        <v>1</v>
      </c>
      <c r="O44" s="1">
        <f t="shared" ref="O44:Q44" si="15">STDEV(O5:O36)</f>
        <v>0.65582583578395282</v>
      </c>
      <c r="P44" s="1">
        <f t="shared" si="15"/>
        <v>0.65582583578395037</v>
      </c>
      <c r="Q44" s="1">
        <f t="shared" si="15"/>
        <v>0.73689263308040409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153E-3FB1-0049-90C3-F2E7EFB74B44}">
  <sheetPr codeName="Sheet7"/>
  <dimension ref="A1:Q44"/>
  <sheetViews>
    <sheetView topLeftCell="D24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300003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5</v>
      </c>
      <c r="C5">
        <v>1.0000100000000001</v>
      </c>
      <c r="D5">
        <v>180283.25</v>
      </c>
      <c r="E5">
        <v>5</v>
      </c>
      <c r="F5">
        <v>1.99996</v>
      </c>
      <c r="G5">
        <v>1973.69</v>
      </c>
      <c r="H5">
        <v>6</v>
      </c>
      <c r="I5">
        <v>1.9999400000000001</v>
      </c>
      <c r="J5">
        <v>3304.85</v>
      </c>
      <c r="K5">
        <v>5</v>
      </c>
      <c r="L5">
        <v>1.99996</v>
      </c>
      <c r="M5">
        <v>2024.84</v>
      </c>
      <c r="O5">
        <f>E5/B5</f>
        <v>1</v>
      </c>
      <c r="P5">
        <f>H5/B5</f>
        <v>1.2</v>
      </c>
      <c r="Q5">
        <f>K5/B5</f>
        <v>1</v>
      </c>
    </row>
    <row r="6" spans="1:17" x14ac:dyDescent="0.2">
      <c r="A6">
        <v>1</v>
      </c>
      <c r="B6">
        <v>3</v>
      </c>
      <c r="C6">
        <v>1.1456900000000001</v>
      </c>
      <c r="D6">
        <v>42292.81</v>
      </c>
      <c r="E6">
        <v>3</v>
      </c>
      <c r="F6">
        <v>1.1456900000000001</v>
      </c>
      <c r="G6">
        <v>2099.5700000000002</v>
      </c>
      <c r="H6">
        <v>6</v>
      </c>
      <c r="I6">
        <v>1.9999400000000001</v>
      </c>
      <c r="J6">
        <v>1852.63</v>
      </c>
      <c r="K6">
        <v>3</v>
      </c>
      <c r="L6">
        <v>1.1456900000000001</v>
      </c>
      <c r="M6">
        <v>2331.3200000000002</v>
      </c>
      <c r="O6">
        <f t="shared" ref="O6:O30" si="0">E6/B6</f>
        <v>1</v>
      </c>
      <c r="P6">
        <f t="shared" ref="P6:P30" si="1">H6/B6</f>
        <v>2</v>
      </c>
      <c r="Q6">
        <f t="shared" ref="Q6:Q30" si="2">K6/B6</f>
        <v>1</v>
      </c>
    </row>
    <row r="7" spans="1:17" x14ac:dyDescent="0.2">
      <c r="A7">
        <v>2</v>
      </c>
      <c r="B7">
        <v>5</v>
      </c>
      <c r="C7">
        <v>1.0000100000000001</v>
      </c>
      <c r="D7">
        <v>147805.82</v>
      </c>
      <c r="E7">
        <v>5</v>
      </c>
      <c r="F7">
        <v>1.99996</v>
      </c>
      <c r="G7">
        <v>2239.7600000000002</v>
      </c>
      <c r="H7">
        <v>6</v>
      </c>
      <c r="I7">
        <v>1.9999400000000001</v>
      </c>
      <c r="J7">
        <v>1686.4</v>
      </c>
      <c r="K7">
        <v>5</v>
      </c>
      <c r="L7">
        <v>1.99996</v>
      </c>
      <c r="M7">
        <v>2268.89</v>
      </c>
      <c r="O7">
        <f t="shared" si="0"/>
        <v>1</v>
      </c>
      <c r="P7">
        <f t="shared" si="1"/>
        <v>1.2</v>
      </c>
      <c r="Q7">
        <f t="shared" si="2"/>
        <v>1</v>
      </c>
    </row>
    <row r="8" spans="1:17" x14ac:dyDescent="0.2">
      <c r="A8">
        <v>3</v>
      </c>
      <c r="B8">
        <v>5</v>
      </c>
      <c r="C8">
        <v>1.0000100000000001</v>
      </c>
      <c r="D8">
        <v>244169.32</v>
      </c>
      <c r="E8">
        <v>5</v>
      </c>
      <c r="F8">
        <v>1.99996</v>
      </c>
      <c r="G8">
        <v>2055.6799999999998</v>
      </c>
      <c r="H8">
        <v>6</v>
      </c>
      <c r="I8">
        <v>1.9999400000000001</v>
      </c>
      <c r="J8">
        <v>1675.98</v>
      </c>
      <c r="K8">
        <v>6</v>
      </c>
      <c r="L8">
        <v>1.9999400000000001</v>
      </c>
      <c r="M8">
        <v>1848.5</v>
      </c>
      <c r="O8">
        <f t="shared" si="0"/>
        <v>1</v>
      </c>
      <c r="P8">
        <f t="shared" si="1"/>
        <v>1.2</v>
      </c>
      <c r="Q8">
        <f t="shared" si="2"/>
        <v>1.2</v>
      </c>
    </row>
    <row r="9" spans="1:17" x14ac:dyDescent="0.2">
      <c r="A9">
        <v>4</v>
      </c>
      <c r="B9">
        <v>5</v>
      </c>
      <c r="C9">
        <v>1.0000100000000001</v>
      </c>
      <c r="D9">
        <v>297364.07</v>
      </c>
      <c r="E9">
        <v>5</v>
      </c>
      <c r="F9">
        <v>1.99996</v>
      </c>
      <c r="G9">
        <v>2283.04</v>
      </c>
      <c r="H9">
        <v>6</v>
      </c>
      <c r="I9">
        <v>1.9999400000000001</v>
      </c>
      <c r="J9">
        <v>1913.67</v>
      </c>
      <c r="K9">
        <v>6</v>
      </c>
      <c r="L9">
        <v>1.9999400000000001</v>
      </c>
      <c r="M9">
        <v>2015.33</v>
      </c>
      <c r="O9">
        <f t="shared" si="0"/>
        <v>1</v>
      </c>
      <c r="P9">
        <f t="shared" si="1"/>
        <v>1.2</v>
      </c>
      <c r="Q9">
        <f t="shared" si="2"/>
        <v>1.2</v>
      </c>
    </row>
    <row r="10" spans="1:17" x14ac:dyDescent="0.2">
      <c r="A10">
        <v>5</v>
      </c>
      <c r="B10">
        <v>5</v>
      </c>
      <c r="C10">
        <v>1.0000100000000001</v>
      </c>
      <c r="D10">
        <v>295135.28999999998</v>
      </c>
      <c r="E10">
        <v>5</v>
      </c>
      <c r="F10">
        <v>1.99996</v>
      </c>
      <c r="G10">
        <v>2596.0700000000002</v>
      </c>
      <c r="H10">
        <v>6</v>
      </c>
      <c r="I10">
        <v>1.9999400000000001</v>
      </c>
      <c r="J10">
        <v>1926.6</v>
      </c>
      <c r="K10">
        <v>6</v>
      </c>
      <c r="L10">
        <v>1.9999400000000001</v>
      </c>
      <c r="M10">
        <v>2212.3000000000002</v>
      </c>
      <c r="O10">
        <f t="shared" si="0"/>
        <v>1</v>
      </c>
      <c r="P10">
        <f t="shared" si="1"/>
        <v>1.2</v>
      </c>
      <c r="Q10">
        <f t="shared" si="2"/>
        <v>1.2</v>
      </c>
    </row>
    <row r="11" spans="1:17" x14ac:dyDescent="0.2">
      <c r="A11">
        <v>6</v>
      </c>
      <c r="B11">
        <v>5</v>
      </c>
      <c r="C11">
        <v>1.0000100000000001</v>
      </c>
      <c r="D11">
        <v>115142.02</v>
      </c>
      <c r="E11">
        <v>5</v>
      </c>
      <c r="F11">
        <v>1.99996</v>
      </c>
      <c r="G11">
        <v>2150.5100000000002</v>
      </c>
      <c r="H11">
        <v>6</v>
      </c>
      <c r="I11">
        <v>1.9999400000000001</v>
      </c>
      <c r="J11">
        <v>1771.26</v>
      </c>
      <c r="K11">
        <v>5</v>
      </c>
      <c r="L11">
        <v>1.99996</v>
      </c>
      <c r="M11">
        <v>2538.4</v>
      </c>
      <c r="O11">
        <f t="shared" si="0"/>
        <v>1</v>
      </c>
      <c r="P11">
        <f t="shared" si="1"/>
        <v>1.2</v>
      </c>
      <c r="Q11">
        <f t="shared" si="2"/>
        <v>1</v>
      </c>
    </row>
    <row r="12" spans="1:17" x14ac:dyDescent="0.2">
      <c r="A12">
        <v>7</v>
      </c>
      <c r="B12">
        <v>5</v>
      </c>
      <c r="C12">
        <v>1.0000100000000001</v>
      </c>
      <c r="D12">
        <v>142950.53</v>
      </c>
      <c r="E12">
        <v>5</v>
      </c>
      <c r="F12">
        <v>1.99996</v>
      </c>
      <c r="G12">
        <v>2780.39</v>
      </c>
      <c r="H12">
        <v>6</v>
      </c>
      <c r="I12">
        <v>1.9999400000000001</v>
      </c>
      <c r="J12">
        <v>2266.75</v>
      </c>
      <c r="K12">
        <v>5</v>
      </c>
      <c r="L12">
        <v>1.99996</v>
      </c>
      <c r="M12">
        <v>2391.1999999999998</v>
      </c>
      <c r="O12">
        <f t="shared" si="0"/>
        <v>1</v>
      </c>
      <c r="P12">
        <f t="shared" si="1"/>
        <v>1.2</v>
      </c>
      <c r="Q12">
        <f t="shared" si="2"/>
        <v>1</v>
      </c>
    </row>
    <row r="13" spans="1:17" x14ac:dyDescent="0.2">
      <c r="A13">
        <v>8</v>
      </c>
      <c r="B13">
        <v>3</v>
      </c>
      <c r="C13">
        <v>1.8141799999999999</v>
      </c>
      <c r="D13">
        <v>78452.2</v>
      </c>
      <c r="E13">
        <v>3</v>
      </c>
      <c r="F13">
        <v>1.8141799999999999</v>
      </c>
      <c r="G13">
        <v>1805.39</v>
      </c>
      <c r="H13">
        <v>6</v>
      </c>
      <c r="I13">
        <v>1.9999400000000001</v>
      </c>
      <c r="J13">
        <v>1846.63</v>
      </c>
      <c r="K13">
        <v>3</v>
      </c>
      <c r="L13">
        <v>1.8141799999999999</v>
      </c>
      <c r="M13">
        <v>1911.7</v>
      </c>
      <c r="O13">
        <f t="shared" si="0"/>
        <v>1</v>
      </c>
      <c r="P13">
        <f t="shared" si="1"/>
        <v>2</v>
      </c>
      <c r="Q13">
        <f t="shared" si="2"/>
        <v>1</v>
      </c>
    </row>
    <row r="14" spans="1:17" x14ac:dyDescent="0.2">
      <c r="A14">
        <v>9</v>
      </c>
      <c r="B14">
        <v>3</v>
      </c>
      <c r="C14">
        <v>1.35643</v>
      </c>
      <c r="D14">
        <v>49444.52</v>
      </c>
      <c r="E14">
        <v>3</v>
      </c>
      <c r="F14">
        <v>1.35643</v>
      </c>
      <c r="G14">
        <v>1808.66</v>
      </c>
      <c r="H14">
        <v>6</v>
      </c>
      <c r="I14">
        <v>1.9999400000000001</v>
      </c>
      <c r="J14">
        <v>1816.06</v>
      </c>
      <c r="K14">
        <v>3</v>
      </c>
      <c r="L14">
        <v>1.35643</v>
      </c>
      <c r="M14">
        <v>2063.7600000000002</v>
      </c>
      <c r="O14">
        <f t="shared" si="0"/>
        <v>1</v>
      </c>
      <c r="P14">
        <f t="shared" si="1"/>
        <v>2</v>
      </c>
      <c r="Q14">
        <f t="shared" si="2"/>
        <v>1</v>
      </c>
    </row>
    <row r="15" spans="1:17" x14ac:dyDescent="0.2">
      <c r="A15">
        <v>10</v>
      </c>
      <c r="B15">
        <v>5</v>
      </c>
      <c r="C15">
        <v>1.0000100000000001</v>
      </c>
      <c r="D15">
        <v>94171.47</v>
      </c>
      <c r="E15">
        <v>5</v>
      </c>
      <c r="F15">
        <v>1.99996</v>
      </c>
      <c r="G15">
        <v>2218.2199999999998</v>
      </c>
      <c r="H15">
        <v>6</v>
      </c>
      <c r="I15">
        <v>1.9999400000000001</v>
      </c>
      <c r="J15">
        <v>1888.65</v>
      </c>
      <c r="K15">
        <v>5</v>
      </c>
      <c r="L15">
        <v>1.99996</v>
      </c>
      <c r="M15">
        <v>2382.9899999999998</v>
      </c>
      <c r="O15">
        <f t="shared" si="0"/>
        <v>1</v>
      </c>
      <c r="P15">
        <f t="shared" si="1"/>
        <v>1.2</v>
      </c>
      <c r="Q15">
        <f t="shared" si="2"/>
        <v>1</v>
      </c>
    </row>
    <row r="16" spans="1:17" x14ac:dyDescent="0.2">
      <c r="A16">
        <v>11</v>
      </c>
      <c r="B16">
        <v>5</v>
      </c>
      <c r="C16">
        <v>1.0000100000000001</v>
      </c>
      <c r="D16">
        <v>115678.49</v>
      </c>
      <c r="E16">
        <v>5</v>
      </c>
      <c r="F16">
        <v>1.99996</v>
      </c>
      <c r="G16">
        <v>2299.31</v>
      </c>
      <c r="H16">
        <v>6</v>
      </c>
      <c r="I16">
        <v>1.9999400000000001</v>
      </c>
      <c r="J16">
        <v>2020.97</v>
      </c>
      <c r="K16">
        <v>5</v>
      </c>
      <c r="L16">
        <v>1.99996</v>
      </c>
      <c r="M16">
        <v>3163.1</v>
      </c>
      <c r="O16">
        <f t="shared" si="0"/>
        <v>1</v>
      </c>
      <c r="P16">
        <f t="shared" si="1"/>
        <v>1.2</v>
      </c>
      <c r="Q16">
        <f t="shared" si="2"/>
        <v>1</v>
      </c>
    </row>
    <row r="17" spans="1:17" x14ac:dyDescent="0.2">
      <c r="A17">
        <v>12</v>
      </c>
      <c r="B17">
        <v>5</v>
      </c>
      <c r="C17">
        <v>1.0000100000000001</v>
      </c>
      <c r="D17">
        <v>207226.86</v>
      </c>
      <c r="E17">
        <v>5</v>
      </c>
      <c r="F17">
        <v>1.99996</v>
      </c>
      <c r="G17">
        <v>2010.76</v>
      </c>
      <c r="H17">
        <v>6</v>
      </c>
      <c r="I17">
        <v>1.9999400000000001</v>
      </c>
      <c r="J17">
        <v>1776.04</v>
      </c>
      <c r="K17">
        <v>6</v>
      </c>
      <c r="L17">
        <v>1.9999400000000001</v>
      </c>
      <c r="M17">
        <v>1991.02</v>
      </c>
      <c r="O17">
        <f t="shared" si="0"/>
        <v>1</v>
      </c>
      <c r="P17">
        <f t="shared" si="1"/>
        <v>1.2</v>
      </c>
      <c r="Q17">
        <f t="shared" si="2"/>
        <v>1.2</v>
      </c>
    </row>
    <row r="18" spans="1:17" x14ac:dyDescent="0.2">
      <c r="A18">
        <v>13</v>
      </c>
      <c r="B18">
        <v>3</v>
      </c>
      <c r="C18">
        <v>1.9251499999999999</v>
      </c>
      <c r="D18">
        <v>54150.5</v>
      </c>
      <c r="E18">
        <v>3</v>
      </c>
      <c r="F18">
        <v>1.9251499999999999</v>
      </c>
      <c r="G18">
        <v>1679.03</v>
      </c>
      <c r="H18">
        <v>6</v>
      </c>
      <c r="I18">
        <v>1.9999400000000001</v>
      </c>
      <c r="J18">
        <v>1828.41</v>
      </c>
      <c r="K18">
        <v>3</v>
      </c>
      <c r="L18">
        <v>1.9251499999999999</v>
      </c>
      <c r="M18">
        <v>2741.26</v>
      </c>
      <c r="O18">
        <f t="shared" si="0"/>
        <v>1</v>
      </c>
      <c r="P18">
        <f t="shared" si="1"/>
        <v>2</v>
      </c>
      <c r="Q18">
        <f t="shared" si="2"/>
        <v>1</v>
      </c>
    </row>
    <row r="19" spans="1:17" x14ac:dyDescent="0.2">
      <c r="A19">
        <v>14</v>
      </c>
      <c r="B19">
        <v>5</v>
      </c>
      <c r="C19">
        <v>1.0000100000000001</v>
      </c>
      <c r="D19">
        <v>144902.41</v>
      </c>
      <c r="E19">
        <v>5</v>
      </c>
      <c r="F19">
        <v>1.99996</v>
      </c>
      <c r="G19">
        <v>1937.1</v>
      </c>
      <c r="H19">
        <v>6</v>
      </c>
      <c r="I19">
        <v>1.9999400000000001</v>
      </c>
      <c r="J19">
        <v>1720.34</v>
      </c>
      <c r="K19">
        <v>5</v>
      </c>
      <c r="L19">
        <v>1.99996</v>
      </c>
      <c r="M19">
        <v>2185.7399999999998</v>
      </c>
      <c r="O19">
        <f t="shared" si="0"/>
        <v>1</v>
      </c>
      <c r="P19">
        <f t="shared" si="1"/>
        <v>1.2</v>
      </c>
      <c r="Q19">
        <f t="shared" si="2"/>
        <v>1</v>
      </c>
    </row>
    <row r="20" spans="1:17" x14ac:dyDescent="0.2">
      <c r="A20">
        <v>15</v>
      </c>
      <c r="B20">
        <v>3</v>
      </c>
      <c r="C20">
        <v>1.5631699999999999</v>
      </c>
      <c r="D20">
        <v>57429.05</v>
      </c>
      <c r="E20">
        <v>3</v>
      </c>
      <c r="F20">
        <v>1.5631699999999999</v>
      </c>
      <c r="G20">
        <v>1735.38</v>
      </c>
      <c r="H20">
        <v>6</v>
      </c>
      <c r="I20">
        <v>1.9999400000000001</v>
      </c>
      <c r="J20">
        <v>2253.91</v>
      </c>
      <c r="K20">
        <v>3</v>
      </c>
      <c r="L20">
        <v>1.5631699999999999</v>
      </c>
      <c r="M20">
        <v>1917.37</v>
      </c>
      <c r="O20">
        <f t="shared" si="0"/>
        <v>1</v>
      </c>
      <c r="P20">
        <f t="shared" si="1"/>
        <v>2</v>
      </c>
      <c r="Q20">
        <f t="shared" si="2"/>
        <v>1</v>
      </c>
    </row>
    <row r="21" spans="1:17" x14ac:dyDescent="0.2">
      <c r="A21">
        <v>16</v>
      </c>
      <c r="B21">
        <v>3</v>
      </c>
      <c r="C21">
        <v>1.67371</v>
      </c>
      <c r="D21">
        <v>46144.85</v>
      </c>
      <c r="E21">
        <v>3</v>
      </c>
      <c r="F21">
        <v>1.67371</v>
      </c>
      <c r="G21">
        <v>1938.98</v>
      </c>
      <c r="H21">
        <v>6</v>
      </c>
      <c r="I21">
        <v>1.9999400000000001</v>
      </c>
      <c r="J21">
        <v>1727.61</v>
      </c>
      <c r="K21">
        <v>3</v>
      </c>
      <c r="L21">
        <v>1.67371</v>
      </c>
      <c r="M21">
        <v>2153.38</v>
      </c>
      <c r="O21">
        <f t="shared" si="0"/>
        <v>1</v>
      </c>
      <c r="P21">
        <f t="shared" si="1"/>
        <v>2</v>
      </c>
      <c r="Q21">
        <f t="shared" si="2"/>
        <v>1</v>
      </c>
    </row>
    <row r="22" spans="1:17" x14ac:dyDescent="0.2">
      <c r="A22">
        <v>17</v>
      </c>
      <c r="B22">
        <v>3</v>
      </c>
      <c r="C22">
        <v>1.48132</v>
      </c>
      <c r="D22">
        <v>51725.99</v>
      </c>
      <c r="E22">
        <v>3</v>
      </c>
      <c r="F22">
        <v>1.48132</v>
      </c>
      <c r="G22">
        <v>1717.24</v>
      </c>
      <c r="H22">
        <v>6</v>
      </c>
      <c r="I22">
        <v>1.9999400000000001</v>
      </c>
      <c r="J22">
        <v>1686.3</v>
      </c>
      <c r="K22">
        <v>3</v>
      </c>
      <c r="L22">
        <v>1.48132</v>
      </c>
      <c r="M22">
        <v>1946.54</v>
      </c>
      <c r="O22">
        <f t="shared" si="0"/>
        <v>1</v>
      </c>
      <c r="P22">
        <f t="shared" si="1"/>
        <v>2</v>
      </c>
      <c r="Q22">
        <f t="shared" si="2"/>
        <v>1</v>
      </c>
    </row>
    <row r="23" spans="1:17" x14ac:dyDescent="0.2">
      <c r="A23">
        <v>18</v>
      </c>
      <c r="B23">
        <v>3</v>
      </c>
      <c r="C23">
        <v>1.2097899999999999</v>
      </c>
      <c r="D23">
        <v>42209.24</v>
      </c>
      <c r="E23">
        <v>3</v>
      </c>
      <c r="F23">
        <v>1.2097899999999999</v>
      </c>
      <c r="G23">
        <v>1912.9</v>
      </c>
      <c r="H23">
        <v>6</v>
      </c>
      <c r="I23">
        <v>1.9999400000000001</v>
      </c>
      <c r="J23">
        <v>1720.25</v>
      </c>
      <c r="K23">
        <v>3</v>
      </c>
      <c r="L23">
        <v>1.2097899999999999</v>
      </c>
      <c r="M23">
        <v>1872.4</v>
      </c>
      <c r="O23">
        <f t="shared" si="0"/>
        <v>1</v>
      </c>
      <c r="P23">
        <f t="shared" si="1"/>
        <v>2</v>
      </c>
      <c r="Q23">
        <f t="shared" si="2"/>
        <v>1</v>
      </c>
    </row>
    <row r="24" spans="1:17" x14ac:dyDescent="0.2">
      <c r="A24">
        <v>19</v>
      </c>
      <c r="B24">
        <v>5</v>
      </c>
      <c r="C24">
        <v>1.0000100000000001</v>
      </c>
      <c r="D24">
        <v>188324.77</v>
      </c>
      <c r="E24">
        <v>5</v>
      </c>
      <c r="F24">
        <v>1.99996</v>
      </c>
      <c r="G24">
        <v>2458.42</v>
      </c>
      <c r="H24">
        <v>6</v>
      </c>
      <c r="I24">
        <v>1.9999400000000001</v>
      </c>
      <c r="J24">
        <v>1984.46</v>
      </c>
      <c r="K24">
        <v>6</v>
      </c>
      <c r="L24">
        <v>1.9999400000000001</v>
      </c>
      <c r="M24">
        <v>2074.39</v>
      </c>
      <c r="O24">
        <f t="shared" si="0"/>
        <v>1</v>
      </c>
      <c r="P24">
        <f t="shared" si="1"/>
        <v>1.2</v>
      </c>
      <c r="Q24">
        <f t="shared" si="2"/>
        <v>1.2</v>
      </c>
    </row>
    <row r="25" spans="1:17" x14ac:dyDescent="0.2">
      <c r="A25">
        <v>20</v>
      </c>
      <c r="B25">
        <v>3</v>
      </c>
      <c r="C25">
        <v>1.07792</v>
      </c>
      <c r="D25">
        <v>47338.97</v>
      </c>
      <c r="E25">
        <v>3</v>
      </c>
      <c r="F25">
        <v>1.07792</v>
      </c>
      <c r="G25">
        <v>1995.5</v>
      </c>
      <c r="H25">
        <v>6</v>
      </c>
      <c r="I25">
        <v>1.9999400000000001</v>
      </c>
      <c r="J25">
        <v>1878.91</v>
      </c>
      <c r="K25">
        <v>3</v>
      </c>
      <c r="L25">
        <v>1.07792</v>
      </c>
      <c r="M25">
        <v>2168.5</v>
      </c>
      <c r="O25">
        <f t="shared" si="0"/>
        <v>1</v>
      </c>
      <c r="P25">
        <f t="shared" si="1"/>
        <v>2</v>
      </c>
      <c r="Q25">
        <f t="shared" si="2"/>
        <v>1</v>
      </c>
    </row>
    <row r="26" spans="1:17" x14ac:dyDescent="0.2">
      <c r="A26">
        <v>21</v>
      </c>
      <c r="B26">
        <v>5</v>
      </c>
      <c r="C26">
        <v>1.0000100000000001</v>
      </c>
      <c r="D26">
        <v>231286.8</v>
      </c>
      <c r="E26">
        <v>5</v>
      </c>
      <c r="F26">
        <v>1.99996</v>
      </c>
      <c r="G26">
        <v>2313.34</v>
      </c>
      <c r="H26">
        <v>6</v>
      </c>
      <c r="I26">
        <v>1.9999400000000001</v>
      </c>
      <c r="J26">
        <v>2079.02</v>
      </c>
      <c r="K26">
        <v>6</v>
      </c>
      <c r="L26">
        <v>1.9999400000000001</v>
      </c>
      <c r="M26">
        <v>2430.39</v>
      </c>
      <c r="O26">
        <f t="shared" si="0"/>
        <v>1</v>
      </c>
      <c r="P26">
        <f t="shared" si="1"/>
        <v>1.2</v>
      </c>
      <c r="Q26">
        <f t="shared" si="2"/>
        <v>1.2</v>
      </c>
    </row>
    <row r="27" spans="1:17" x14ac:dyDescent="0.2">
      <c r="A27">
        <v>22</v>
      </c>
      <c r="B27">
        <v>3</v>
      </c>
      <c r="C27">
        <v>1.49251</v>
      </c>
      <c r="D27">
        <v>61591.23</v>
      </c>
      <c r="E27">
        <v>3</v>
      </c>
      <c r="F27">
        <v>1.49251</v>
      </c>
      <c r="G27">
        <v>2126.58</v>
      </c>
      <c r="H27">
        <v>6</v>
      </c>
      <c r="I27">
        <v>1.9999400000000001</v>
      </c>
      <c r="J27">
        <v>1837.59</v>
      </c>
      <c r="K27">
        <v>3</v>
      </c>
      <c r="L27">
        <v>1.49251</v>
      </c>
      <c r="M27">
        <v>2093.75</v>
      </c>
      <c r="O27">
        <f t="shared" si="0"/>
        <v>1</v>
      </c>
      <c r="P27">
        <f t="shared" si="1"/>
        <v>2</v>
      </c>
      <c r="Q27">
        <f t="shared" si="2"/>
        <v>1</v>
      </c>
    </row>
    <row r="28" spans="1:17" x14ac:dyDescent="0.2">
      <c r="A28">
        <v>23</v>
      </c>
      <c r="B28">
        <v>5</v>
      </c>
      <c r="C28">
        <v>1.0000100000000001</v>
      </c>
      <c r="D28">
        <v>223319.12</v>
      </c>
      <c r="E28">
        <v>5</v>
      </c>
      <c r="F28">
        <v>1.99996</v>
      </c>
      <c r="G28">
        <v>2293.41</v>
      </c>
      <c r="H28">
        <v>6</v>
      </c>
      <c r="I28">
        <v>1.9999400000000001</v>
      </c>
      <c r="J28">
        <v>2234.4899999999998</v>
      </c>
      <c r="K28">
        <v>6</v>
      </c>
      <c r="L28">
        <v>1.9999400000000001</v>
      </c>
      <c r="M28">
        <v>2226.6</v>
      </c>
      <c r="O28">
        <f t="shared" si="0"/>
        <v>1</v>
      </c>
      <c r="P28">
        <f t="shared" si="1"/>
        <v>1.2</v>
      </c>
      <c r="Q28">
        <f t="shared" si="2"/>
        <v>1.2</v>
      </c>
    </row>
    <row r="29" spans="1:17" x14ac:dyDescent="0.2">
      <c r="A29">
        <v>24</v>
      </c>
      <c r="B29">
        <v>5</v>
      </c>
      <c r="C29">
        <v>1.0000100000000001</v>
      </c>
      <c r="D29">
        <v>151126.29999999999</v>
      </c>
      <c r="E29">
        <v>5</v>
      </c>
      <c r="F29">
        <v>1.99996</v>
      </c>
      <c r="G29">
        <v>2248.13</v>
      </c>
      <c r="H29">
        <v>6</v>
      </c>
      <c r="I29">
        <v>1.9999400000000001</v>
      </c>
      <c r="J29">
        <v>1922.15</v>
      </c>
      <c r="K29">
        <v>5</v>
      </c>
      <c r="L29">
        <v>1.99996</v>
      </c>
      <c r="M29">
        <v>3181.13</v>
      </c>
      <c r="O29">
        <f t="shared" si="0"/>
        <v>1</v>
      </c>
      <c r="P29">
        <f t="shared" si="1"/>
        <v>1.2</v>
      </c>
      <c r="Q29">
        <f t="shared" si="2"/>
        <v>1</v>
      </c>
    </row>
    <row r="30" spans="1:17" x14ac:dyDescent="0.2">
      <c r="A30">
        <v>25</v>
      </c>
      <c r="B30">
        <v>5</v>
      </c>
      <c r="C30">
        <v>1.0000100000000001</v>
      </c>
      <c r="D30">
        <v>103729.73</v>
      </c>
      <c r="E30">
        <v>5</v>
      </c>
      <c r="F30">
        <v>1.99996</v>
      </c>
      <c r="G30">
        <v>2050.13</v>
      </c>
      <c r="H30">
        <v>6</v>
      </c>
      <c r="I30">
        <v>1.9999400000000001</v>
      </c>
      <c r="J30">
        <v>1777.49</v>
      </c>
      <c r="K30">
        <v>5</v>
      </c>
      <c r="L30">
        <v>1.99996</v>
      </c>
      <c r="M30">
        <v>2108.37</v>
      </c>
      <c r="O30">
        <f t="shared" si="0"/>
        <v>1</v>
      </c>
      <c r="P30">
        <f t="shared" si="1"/>
        <v>1.2</v>
      </c>
      <c r="Q30">
        <f t="shared" si="2"/>
        <v>1</v>
      </c>
    </row>
    <row r="31" spans="1:17" x14ac:dyDescent="0.2">
      <c r="A31">
        <v>26</v>
      </c>
      <c r="B31">
        <v>5</v>
      </c>
      <c r="C31">
        <v>1.0000100000000001</v>
      </c>
      <c r="D31">
        <v>94723.95</v>
      </c>
      <c r="E31">
        <v>5</v>
      </c>
      <c r="F31">
        <v>1.99996</v>
      </c>
      <c r="G31">
        <v>1992.16</v>
      </c>
      <c r="H31">
        <v>6</v>
      </c>
      <c r="I31">
        <v>1.9999400000000001</v>
      </c>
      <c r="J31">
        <v>1703.66</v>
      </c>
      <c r="K31">
        <v>5</v>
      </c>
      <c r="L31">
        <v>1.99996</v>
      </c>
      <c r="M31">
        <v>2667.28</v>
      </c>
      <c r="O31">
        <f>E31/B31</f>
        <v>1</v>
      </c>
      <c r="P31">
        <f>H31/B31</f>
        <v>1.2</v>
      </c>
      <c r="Q31">
        <f>K31/B31</f>
        <v>1</v>
      </c>
    </row>
    <row r="32" spans="1:17" x14ac:dyDescent="0.2">
      <c r="A32">
        <v>27</v>
      </c>
      <c r="B32">
        <v>5</v>
      </c>
      <c r="C32">
        <v>1.0000100000000001</v>
      </c>
      <c r="D32">
        <v>127641.49</v>
      </c>
      <c r="E32">
        <v>5</v>
      </c>
      <c r="F32">
        <v>1.99996</v>
      </c>
      <c r="G32">
        <v>2034.4</v>
      </c>
      <c r="H32">
        <v>6</v>
      </c>
      <c r="I32">
        <v>1.9999400000000001</v>
      </c>
      <c r="J32">
        <v>1829.56</v>
      </c>
      <c r="K32">
        <v>5</v>
      </c>
      <c r="L32">
        <v>1.99996</v>
      </c>
      <c r="M32">
        <v>2156.88</v>
      </c>
      <c r="O32">
        <f t="shared" ref="O32:O36" si="3">E32/B32</f>
        <v>1</v>
      </c>
      <c r="P32">
        <f t="shared" ref="P32:P36" si="4">H32/B32</f>
        <v>1.2</v>
      </c>
      <c r="Q32">
        <f t="shared" ref="Q32:Q36" si="5">K32/B32</f>
        <v>1</v>
      </c>
    </row>
    <row r="33" spans="1:17" x14ac:dyDescent="0.2">
      <c r="A33">
        <v>28</v>
      </c>
      <c r="B33">
        <v>5</v>
      </c>
      <c r="C33">
        <v>1.0000100000000001</v>
      </c>
      <c r="D33">
        <v>71608.12</v>
      </c>
      <c r="E33">
        <v>5</v>
      </c>
      <c r="F33">
        <v>1.99996</v>
      </c>
      <c r="G33">
        <v>2079.0700000000002</v>
      </c>
      <c r="H33">
        <v>6</v>
      </c>
      <c r="I33">
        <v>1.9999400000000001</v>
      </c>
      <c r="J33">
        <v>1832.21</v>
      </c>
      <c r="K33">
        <v>5</v>
      </c>
      <c r="L33">
        <v>1.99996</v>
      </c>
      <c r="M33">
        <v>2967.69</v>
      </c>
      <c r="O33">
        <f t="shared" si="3"/>
        <v>1</v>
      </c>
      <c r="P33">
        <f t="shared" si="4"/>
        <v>1.2</v>
      </c>
      <c r="Q33">
        <f t="shared" si="5"/>
        <v>1</v>
      </c>
    </row>
    <row r="34" spans="1:17" x14ac:dyDescent="0.2">
      <c r="A34">
        <v>29</v>
      </c>
      <c r="B34">
        <v>3</v>
      </c>
      <c r="C34">
        <v>1.7043600000000001</v>
      </c>
      <c r="D34">
        <v>53411.08</v>
      </c>
      <c r="E34">
        <v>3</v>
      </c>
      <c r="F34">
        <v>1.7043600000000001</v>
      </c>
      <c r="G34">
        <v>2226.13</v>
      </c>
      <c r="H34">
        <v>6</v>
      </c>
      <c r="I34">
        <v>1.9999400000000001</v>
      </c>
      <c r="J34">
        <v>1774.75</v>
      </c>
      <c r="K34">
        <v>3</v>
      </c>
      <c r="L34">
        <v>1.7043600000000001</v>
      </c>
      <c r="M34">
        <v>2149.86</v>
      </c>
      <c r="O34">
        <f t="shared" si="3"/>
        <v>1</v>
      </c>
      <c r="P34">
        <f t="shared" si="4"/>
        <v>2</v>
      </c>
      <c r="Q34">
        <f t="shared" si="5"/>
        <v>1</v>
      </c>
    </row>
    <row r="35" spans="1:17" x14ac:dyDescent="0.2">
      <c r="A35">
        <v>30</v>
      </c>
      <c r="B35">
        <v>5</v>
      </c>
      <c r="C35">
        <v>1.0000100000000001</v>
      </c>
      <c r="D35">
        <v>108822.86</v>
      </c>
      <c r="E35">
        <v>5</v>
      </c>
      <c r="F35">
        <v>1.99996</v>
      </c>
      <c r="G35">
        <v>2068.1999999999998</v>
      </c>
      <c r="H35">
        <v>6</v>
      </c>
      <c r="I35">
        <v>1.9999400000000001</v>
      </c>
      <c r="J35">
        <v>2535.7600000000002</v>
      </c>
      <c r="K35">
        <v>5</v>
      </c>
      <c r="L35">
        <v>1.99996</v>
      </c>
      <c r="M35">
        <v>4337.8599999999997</v>
      </c>
      <c r="O35">
        <f t="shared" si="3"/>
        <v>1</v>
      </c>
      <c r="P35">
        <f t="shared" si="4"/>
        <v>1.2</v>
      </c>
      <c r="Q35">
        <f t="shared" si="5"/>
        <v>1</v>
      </c>
    </row>
    <row r="36" spans="1:17" x14ac:dyDescent="0.2">
      <c r="A36">
        <v>31</v>
      </c>
      <c r="B36">
        <v>5</v>
      </c>
      <c r="C36">
        <v>1.0000100000000001</v>
      </c>
      <c r="D36">
        <v>96766.77</v>
      </c>
      <c r="E36">
        <v>5</v>
      </c>
      <c r="F36">
        <v>1.99996</v>
      </c>
      <c r="G36">
        <v>2430.17</v>
      </c>
      <c r="H36">
        <v>6</v>
      </c>
      <c r="I36">
        <v>1.9999400000000001</v>
      </c>
      <c r="J36">
        <v>2441.09</v>
      </c>
      <c r="K36">
        <v>5</v>
      </c>
      <c r="L36">
        <v>1.99996</v>
      </c>
      <c r="M36">
        <v>2559.94</v>
      </c>
      <c r="O36">
        <f t="shared" si="3"/>
        <v>1</v>
      </c>
      <c r="P36">
        <f t="shared" si="4"/>
        <v>1.2</v>
      </c>
      <c r="Q36">
        <f t="shared" si="5"/>
        <v>1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5</v>
      </c>
      <c r="C40" s="1">
        <f t="shared" ref="C40:M40" si="6">MAX(C5:C36)</f>
        <v>1.9251499999999999</v>
      </c>
      <c r="D40" s="1">
        <f t="shared" si="6"/>
        <v>297364.07</v>
      </c>
      <c r="E40" s="1">
        <f t="shared" si="6"/>
        <v>5</v>
      </c>
      <c r="F40" s="1">
        <f t="shared" si="6"/>
        <v>1.99996</v>
      </c>
      <c r="G40" s="1">
        <f t="shared" si="6"/>
        <v>2780.39</v>
      </c>
      <c r="H40" s="1">
        <f t="shared" si="6"/>
        <v>6</v>
      </c>
      <c r="I40" s="1">
        <f t="shared" si="6"/>
        <v>1.9999400000000001</v>
      </c>
      <c r="J40" s="1">
        <f t="shared" si="6"/>
        <v>3304.85</v>
      </c>
      <c r="K40" s="1">
        <f t="shared" si="6"/>
        <v>6</v>
      </c>
      <c r="L40" s="1">
        <f t="shared" si="6"/>
        <v>1.99996</v>
      </c>
      <c r="M40" s="1">
        <f t="shared" si="6"/>
        <v>4337.8599999999997</v>
      </c>
      <c r="N40" s="1">
        <v>1</v>
      </c>
      <c r="O40" s="1">
        <f t="shared" ref="O40:Q40" si="7">MAX(O5:O36)</f>
        <v>1</v>
      </c>
      <c r="P40" s="1">
        <f t="shared" si="7"/>
        <v>2</v>
      </c>
      <c r="Q40" s="1">
        <f t="shared" si="7"/>
        <v>1.2</v>
      </c>
    </row>
    <row r="41" spans="1:17" x14ac:dyDescent="0.2">
      <c r="A41" t="s">
        <v>12</v>
      </c>
      <c r="B41" s="1">
        <f>MIN(B5:B36)</f>
        <v>3</v>
      </c>
      <c r="C41" s="1">
        <f t="shared" ref="C41:M41" si="8">MIN(C5:C36)</f>
        <v>1.0000100000000001</v>
      </c>
      <c r="D41" s="1">
        <f t="shared" si="8"/>
        <v>42209.24</v>
      </c>
      <c r="E41" s="1">
        <f t="shared" si="8"/>
        <v>3</v>
      </c>
      <c r="F41" s="1">
        <f t="shared" si="8"/>
        <v>1.07792</v>
      </c>
      <c r="G41" s="1">
        <f t="shared" si="8"/>
        <v>1679.03</v>
      </c>
      <c r="H41" s="1">
        <f t="shared" si="8"/>
        <v>6</v>
      </c>
      <c r="I41" s="1">
        <f t="shared" si="8"/>
        <v>1.9999400000000001</v>
      </c>
      <c r="J41" s="1">
        <f t="shared" si="8"/>
        <v>1675.98</v>
      </c>
      <c r="K41" s="1">
        <f t="shared" si="8"/>
        <v>3</v>
      </c>
      <c r="L41" s="1">
        <f t="shared" si="8"/>
        <v>1.07792</v>
      </c>
      <c r="M41" s="1">
        <f t="shared" si="8"/>
        <v>1848.5</v>
      </c>
      <c r="N41" s="1">
        <v>1</v>
      </c>
      <c r="O41" s="1">
        <f t="shared" ref="O41:Q41" si="9">MIN(O5:O36)</f>
        <v>1</v>
      </c>
      <c r="P41" s="1">
        <f t="shared" si="9"/>
        <v>1.2</v>
      </c>
      <c r="Q41" s="1">
        <f t="shared" si="9"/>
        <v>1</v>
      </c>
    </row>
    <row r="42" spans="1:17" x14ac:dyDescent="0.2">
      <c r="A42" t="s">
        <v>13</v>
      </c>
      <c r="B42" s="1">
        <f>MEDIAN(B5:B36)</f>
        <v>5</v>
      </c>
      <c r="C42" s="1">
        <f t="shared" ref="C42:M42" si="10">MEDIAN(C5:C36)</f>
        <v>1.0000100000000001</v>
      </c>
      <c r="D42" s="1">
        <f t="shared" si="10"/>
        <v>106276.295</v>
      </c>
      <c r="E42" s="1">
        <f t="shared" si="10"/>
        <v>5</v>
      </c>
      <c r="F42" s="1">
        <f t="shared" si="10"/>
        <v>1.99996</v>
      </c>
      <c r="G42" s="1">
        <f t="shared" si="10"/>
        <v>2073.6350000000002</v>
      </c>
      <c r="H42" s="1">
        <f t="shared" si="10"/>
        <v>6</v>
      </c>
      <c r="I42" s="1">
        <f t="shared" si="10"/>
        <v>1.9999400000000001</v>
      </c>
      <c r="J42" s="1">
        <f t="shared" si="10"/>
        <v>1842.1100000000001</v>
      </c>
      <c r="K42" s="1">
        <f t="shared" si="10"/>
        <v>5</v>
      </c>
      <c r="L42" s="1">
        <f t="shared" si="10"/>
        <v>1.9999400000000001</v>
      </c>
      <c r="M42" s="1">
        <f t="shared" si="10"/>
        <v>2177.12</v>
      </c>
      <c r="N42" s="1">
        <v>1</v>
      </c>
      <c r="O42" s="1">
        <f t="shared" ref="O42:Q42" si="11">MEDIAN(O5:O36)</f>
        <v>1</v>
      </c>
      <c r="P42" s="1">
        <f t="shared" si="11"/>
        <v>1.2</v>
      </c>
      <c r="Q42" s="1">
        <f t="shared" si="11"/>
        <v>1</v>
      </c>
    </row>
    <row r="43" spans="1:17" x14ac:dyDescent="0.2">
      <c r="A43" t="s">
        <v>14</v>
      </c>
      <c r="B43" s="1">
        <f>AVERAGE(B5:B36)</f>
        <v>4.3125</v>
      </c>
      <c r="C43" s="1">
        <f t="shared" ref="C43:M43" si="12">AVERAGE(C5:C36)</f>
        <v>1.17013875</v>
      </c>
      <c r="D43" s="1">
        <f t="shared" si="12"/>
        <v>123949.05875000003</v>
      </c>
      <c r="E43" s="1">
        <f t="shared" si="12"/>
        <v>4.3125</v>
      </c>
      <c r="F43" s="1">
        <f t="shared" si="12"/>
        <v>1.8263559375000005</v>
      </c>
      <c r="G43" s="1">
        <f t="shared" si="12"/>
        <v>2111.1662500000002</v>
      </c>
      <c r="H43" s="1">
        <f t="shared" si="12"/>
        <v>6</v>
      </c>
      <c r="I43" s="1">
        <f t="shared" si="12"/>
        <v>1.9999400000000009</v>
      </c>
      <c r="J43" s="1">
        <f t="shared" si="12"/>
        <v>1953.5765624999999</v>
      </c>
      <c r="K43" s="1">
        <f t="shared" si="12"/>
        <v>4.53125</v>
      </c>
      <c r="L43" s="1">
        <f t="shared" si="12"/>
        <v>1.8263515625000006</v>
      </c>
      <c r="M43" s="1">
        <f t="shared" si="12"/>
        <v>2346.3337499999998</v>
      </c>
      <c r="N43" s="4">
        <v>1</v>
      </c>
      <c r="O43" s="4">
        <f t="shared" ref="O43:Q43" si="13">AVERAGE(O5:O36)</f>
        <v>1</v>
      </c>
      <c r="P43" s="4">
        <f t="shared" si="13"/>
        <v>1.4750000000000005</v>
      </c>
      <c r="Q43" s="4">
        <f t="shared" si="13"/>
        <v>1.04375</v>
      </c>
    </row>
    <row r="44" spans="1:17" x14ac:dyDescent="0.2">
      <c r="A44" t="s">
        <v>15</v>
      </c>
      <c r="B44" s="1">
        <f>STDEV(B5:B36)</f>
        <v>0.96511740886962849</v>
      </c>
      <c r="C44" s="1">
        <f t="shared" ref="C44:M44" si="14">STDEV(C5:C36)</f>
        <v>0.28580595365872719</v>
      </c>
      <c r="D44" s="1">
        <f t="shared" si="14"/>
        <v>74891.999627572251</v>
      </c>
      <c r="E44" s="1">
        <f t="shared" si="14"/>
        <v>0.96511740886962849</v>
      </c>
      <c r="F44" s="1">
        <f t="shared" si="14"/>
        <v>0.28989510065916829</v>
      </c>
      <c r="G44" s="1">
        <f t="shared" si="14"/>
        <v>250.53204063648761</v>
      </c>
      <c r="H44" s="1">
        <f t="shared" si="14"/>
        <v>0</v>
      </c>
      <c r="I44" s="1">
        <f t="shared" si="14"/>
        <v>9.0239017680595527E-16</v>
      </c>
      <c r="J44" s="1">
        <f t="shared" si="14"/>
        <v>329.89826660223321</v>
      </c>
      <c r="K44" s="1">
        <f t="shared" si="14"/>
        <v>1.190943648622196</v>
      </c>
      <c r="L44" s="1">
        <f t="shared" si="14"/>
        <v>0.28989239627844632</v>
      </c>
      <c r="M44" s="1">
        <f t="shared" si="14"/>
        <v>504.63749854115332</v>
      </c>
      <c r="N44" s="1">
        <v>1</v>
      </c>
      <c r="O44" s="1">
        <f t="shared" ref="O44:Q44" si="15">STDEV(O5:O36)</f>
        <v>0</v>
      </c>
      <c r="P44" s="1">
        <f t="shared" si="15"/>
        <v>0.38604696354784862</v>
      </c>
      <c r="Q44" s="1">
        <f t="shared" si="15"/>
        <v>8.4002688129030875E-2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CFFD-99F4-6F49-A244-D9A1713133F3}">
  <sheetPr codeName="Sheet8"/>
  <dimension ref="A1:Q44"/>
  <sheetViews>
    <sheetView topLeftCell="B24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300003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3</v>
      </c>
      <c r="C5">
        <v>1.0000100000000001</v>
      </c>
      <c r="D5">
        <v>148971.74</v>
      </c>
      <c r="E5">
        <v>3</v>
      </c>
      <c r="F5">
        <v>1.99997</v>
      </c>
      <c r="G5">
        <v>3543.12</v>
      </c>
      <c r="H5">
        <v>4</v>
      </c>
      <c r="I5">
        <v>1.0000100000000001</v>
      </c>
      <c r="J5">
        <v>1799.77</v>
      </c>
      <c r="K5">
        <v>4</v>
      </c>
      <c r="L5">
        <v>1.0000100000000001</v>
      </c>
      <c r="M5">
        <v>1928.44</v>
      </c>
      <c r="O5">
        <f>E5/B5</f>
        <v>1</v>
      </c>
      <c r="P5">
        <f>H5/B5</f>
        <v>1.3333333333333333</v>
      </c>
      <c r="Q5">
        <f>K5/B5</f>
        <v>1.3333333333333333</v>
      </c>
    </row>
    <row r="6" spans="1:17" x14ac:dyDescent="0.2">
      <c r="A6">
        <v>1</v>
      </c>
      <c r="B6">
        <v>86659</v>
      </c>
      <c r="C6">
        <v>1.6976899999999999</v>
      </c>
      <c r="D6">
        <v>1348484.15</v>
      </c>
      <c r="E6">
        <v>86659</v>
      </c>
      <c r="F6">
        <v>1.6976899999999999</v>
      </c>
      <c r="G6">
        <v>2407.0500000000002</v>
      </c>
      <c r="H6">
        <v>186658</v>
      </c>
      <c r="I6">
        <v>1.5172300000000001</v>
      </c>
      <c r="J6">
        <v>2011.86</v>
      </c>
      <c r="K6">
        <v>86659</v>
      </c>
      <c r="L6">
        <v>1.6976899999999999</v>
      </c>
      <c r="M6">
        <v>2261.6</v>
      </c>
      <c r="O6">
        <f t="shared" ref="O6:O30" si="0">E6/B6</f>
        <v>1</v>
      </c>
      <c r="P6">
        <f t="shared" ref="P6:P30" si="1">H6/B6</f>
        <v>2.1539366943998894</v>
      </c>
      <c r="Q6">
        <f t="shared" ref="Q6:Q30" si="2">K6/B6</f>
        <v>1</v>
      </c>
    </row>
    <row r="7" spans="1:17" x14ac:dyDescent="0.2">
      <c r="A7">
        <v>2</v>
      </c>
      <c r="B7">
        <v>3</v>
      </c>
      <c r="C7">
        <v>1.0000100000000001</v>
      </c>
      <c r="D7">
        <v>112656.48</v>
      </c>
      <c r="E7">
        <v>3</v>
      </c>
      <c r="F7">
        <v>1.99997</v>
      </c>
      <c r="G7">
        <v>2015.7</v>
      </c>
      <c r="H7">
        <v>4</v>
      </c>
      <c r="I7">
        <v>1.0000100000000001</v>
      </c>
      <c r="J7">
        <v>1827.1</v>
      </c>
      <c r="K7">
        <v>4</v>
      </c>
      <c r="L7">
        <v>1.0000100000000001</v>
      </c>
      <c r="M7">
        <v>1910.41</v>
      </c>
      <c r="O7">
        <f t="shared" si="0"/>
        <v>1</v>
      </c>
      <c r="P7">
        <f t="shared" si="1"/>
        <v>1.3333333333333333</v>
      </c>
      <c r="Q7">
        <f t="shared" si="2"/>
        <v>1.3333333333333333</v>
      </c>
    </row>
    <row r="8" spans="1:17" x14ac:dyDescent="0.2">
      <c r="A8">
        <v>3</v>
      </c>
      <c r="B8">
        <v>3</v>
      </c>
      <c r="C8">
        <v>1.6029800000000001</v>
      </c>
      <c r="D8">
        <v>233784.19</v>
      </c>
      <c r="E8">
        <v>3</v>
      </c>
      <c r="F8">
        <v>1.6029800000000001</v>
      </c>
      <c r="G8">
        <v>1865.85</v>
      </c>
      <c r="H8">
        <v>4</v>
      </c>
      <c r="I8">
        <v>1.6030500000000001</v>
      </c>
      <c r="J8">
        <v>1749.52</v>
      </c>
      <c r="K8">
        <v>3</v>
      </c>
      <c r="L8">
        <v>1.6029800000000001</v>
      </c>
      <c r="M8">
        <v>2024.41</v>
      </c>
      <c r="O8">
        <f t="shared" si="0"/>
        <v>1</v>
      </c>
      <c r="P8">
        <f t="shared" si="1"/>
        <v>1.3333333333333333</v>
      </c>
      <c r="Q8">
        <f t="shared" si="2"/>
        <v>1</v>
      </c>
    </row>
    <row r="9" spans="1:17" x14ac:dyDescent="0.2">
      <c r="A9">
        <v>4</v>
      </c>
      <c r="B9">
        <v>3</v>
      </c>
      <c r="C9">
        <v>1.0000100000000001</v>
      </c>
      <c r="D9">
        <v>46941.4</v>
      </c>
      <c r="E9">
        <v>3</v>
      </c>
      <c r="F9">
        <v>1.6539999999999999</v>
      </c>
      <c r="G9">
        <v>1720.97</v>
      </c>
      <c r="H9">
        <v>4</v>
      </c>
      <c r="I9">
        <v>1.0000100000000001</v>
      </c>
      <c r="J9">
        <v>1865.9</v>
      </c>
      <c r="K9">
        <v>3</v>
      </c>
      <c r="L9">
        <v>1.6539999999999999</v>
      </c>
      <c r="M9">
        <v>1822.79</v>
      </c>
      <c r="O9">
        <f t="shared" si="0"/>
        <v>1</v>
      </c>
      <c r="P9">
        <f t="shared" si="1"/>
        <v>1.3333333333333333</v>
      </c>
      <c r="Q9">
        <f t="shared" si="2"/>
        <v>1</v>
      </c>
    </row>
    <row r="10" spans="1:17" x14ac:dyDescent="0.2">
      <c r="A10">
        <v>5</v>
      </c>
      <c r="B10">
        <v>3</v>
      </c>
      <c r="C10">
        <v>1.0000100000000001</v>
      </c>
      <c r="D10">
        <v>181452.72</v>
      </c>
      <c r="E10">
        <v>3</v>
      </c>
      <c r="F10">
        <v>1.99997</v>
      </c>
      <c r="G10">
        <v>1957.45</v>
      </c>
      <c r="H10">
        <v>4</v>
      </c>
      <c r="I10">
        <v>1.0000100000000001</v>
      </c>
      <c r="J10">
        <v>1868.45</v>
      </c>
      <c r="K10">
        <v>4</v>
      </c>
      <c r="L10">
        <v>1.0000100000000001</v>
      </c>
      <c r="M10">
        <v>1989.21</v>
      </c>
      <c r="O10">
        <f t="shared" si="0"/>
        <v>1</v>
      </c>
      <c r="P10">
        <f t="shared" si="1"/>
        <v>1.3333333333333333</v>
      </c>
      <c r="Q10">
        <f t="shared" si="2"/>
        <v>1.3333333333333333</v>
      </c>
    </row>
    <row r="11" spans="1:17" x14ac:dyDescent="0.2">
      <c r="A11">
        <v>6</v>
      </c>
      <c r="B11">
        <v>3</v>
      </c>
      <c r="C11">
        <v>1.0000100000000001</v>
      </c>
      <c r="D11">
        <v>179155.91</v>
      </c>
      <c r="E11">
        <v>3</v>
      </c>
      <c r="F11">
        <v>1.99997</v>
      </c>
      <c r="G11">
        <v>1978.94</v>
      </c>
      <c r="H11">
        <v>4</v>
      </c>
      <c r="I11">
        <v>1.0000100000000001</v>
      </c>
      <c r="J11">
        <v>1884</v>
      </c>
      <c r="K11">
        <v>4</v>
      </c>
      <c r="L11">
        <v>1.0000100000000001</v>
      </c>
      <c r="M11">
        <v>1965.17</v>
      </c>
      <c r="O11">
        <f t="shared" si="0"/>
        <v>1</v>
      </c>
      <c r="P11">
        <f t="shared" si="1"/>
        <v>1.3333333333333333</v>
      </c>
      <c r="Q11">
        <f t="shared" si="2"/>
        <v>1.3333333333333333</v>
      </c>
    </row>
    <row r="12" spans="1:17" x14ac:dyDescent="0.2">
      <c r="A12">
        <v>7</v>
      </c>
      <c r="B12">
        <v>3</v>
      </c>
      <c r="C12">
        <v>1.0000100000000001</v>
      </c>
      <c r="D12">
        <v>61705.02</v>
      </c>
      <c r="E12">
        <v>3</v>
      </c>
      <c r="F12">
        <v>1.87673</v>
      </c>
      <c r="G12">
        <v>1683.2</v>
      </c>
      <c r="H12">
        <v>4</v>
      </c>
      <c r="I12">
        <v>1.0000100000000001</v>
      </c>
      <c r="J12">
        <v>1784.58</v>
      </c>
      <c r="K12">
        <v>3</v>
      </c>
      <c r="L12">
        <v>1.87673</v>
      </c>
      <c r="M12">
        <v>1859.72</v>
      </c>
      <c r="O12">
        <f t="shared" si="0"/>
        <v>1</v>
      </c>
      <c r="P12">
        <f t="shared" si="1"/>
        <v>1.3333333333333333</v>
      </c>
      <c r="Q12">
        <f t="shared" si="2"/>
        <v>1</v>
      </c>
    </row>
    <row r="13" spans="1:17" x14ac:dyDescent="0.2">
      <c r="A13">
        <v>8</v>
      </c>
      <c r="B13">
        <v>3</v>
      </c>
      <c r="C13">
        <v>1.0000100000000001</v>
      </c>
      <c r="D13">
        <v>164015.92000000001</v>
      </c>
      <c r="E13">
        <v>3</v>
      </c>
      <c r="F13">
        <v>1.9999400000000001</v>
      </c>
      <c r="G13">
        <v>2191.8200000000002</v>
      </c>
      <c r="H13">
        <v>4</v>
      </c>
      <c r="I13">
        <v>1.0000100000000001</v>
      </c>
      <c r="J13">
        <v>2211.52</v>
      </c>
      <c r="K13">
        <v>4</v>
      </c>
      <c r="L13">
        <v>1.0000100000000001</v>
      </c>
      <c r="M13">
        <v>2179.08</v>
      </c>
      <c r="O13">
        <f t="shared" si="0"/>
        <v>1</v>
      </c>
      <c r="P13">
        <f t="shared" si="1"/>
        <v>1.3333333333333333</v>
      </c>
      <c r="Q13">
        <f t="shared" si="2"/>
        <v>1.3333333333333333</v>
      </c>
    </row>
    <row r="14" spans="1:17" x14ac:dyDescent="0.2">
      <c r="A14">
        <v>9</v>
      </c>
      <c r="B14">
        <v>3</v>
      </c>
      <c r="C14">
        <v>1</v>
      </c>
      <c r="D14">
        <v>79864.14</v>
      </c>
      <c r="E14">
        <v>4</v>
      </c>
      <c r="F14">
        <v>1.9999499999999999</v>
      </c>
      <c r="G14">
        <v>1989.37</v>
      </c>
      <c r="H14">
        <v>3</v>
      </c>
      <c r="I14">
        <v>1</v>
      </c>
      <c r="J14">
        <v>2083.85</v>
      </c>
      <c r="K14">
        <v>3</v>
      </c>
      <c r="L14">
        <v>1</v>
      </c>
      <c r="M14">
        <v>2004.58</v>
      </c>
      <c r="O14">
        <f t="shared" si="0"/>
        <v>1.3333333333333333</v>
      </c>
      <c r="P14">
        <f t="shared" si="1"/>
        <v>1</v>
      </c>
      <c r="Q14">
        <f t="shared" si="2"/>
        <v>1</v>
      </c>
    </row>
    <row r="15" spans="1:17" x14ac:dyDescent="0.2">
      <c r="A15">
        <v>10</v>
      </c>
      <c r="B15">
        <v>56627</v>
      </c>
      <c r="C15">
        <v>1.7793300000000001</v>
      </c>
      <c r="D15">
        <v>914006.13</v>
      </c>
      <c r="E15">
        <v>56627</v>
      </c>
      <c r="F15">
        <v>1.7793300000000001</v>
      </c>
      <c r="G15">
        <v>2113.25</v>
      </c>
      <c r="H15">
        <v>156626</v>
      </c>
      <c r="I15">
        <v>1.5607899999999999</v>
      </c>
      <c r="J15">
        <v>1918.7</v>
      </c>
      <c r="K15">
        <v>56627</v>
      </c>
      <c r="L15">
        <v>1.7793300000000001</v>
      </c>
      <c r="M15">
        <v>2199.73</v>
      </c>
      <c r="O15">
        <f t="shared" si="0"/>
        <v>1</v>
      </c>
      <c r="P15">
        <f t="shared" si="1"/>
        <v>2.7659243823617707</v>
      </c>
      <c r="Q15">
        <f t="shared" si="2"/>
        <v>1</v>
      </c>
    </row>
    <row r="16" spans="1:17" x14ac:dyDescent="0.2">
      <c r="A16">
        <v>11</v>
      </c>
      <c r="B16">
        <v>3</v>
      </c>
      <c r="C16">
        <v>1.00509</v>
      </c>
      <c r="D16">
        <v>84280</v>
      </c>
      <c r="E16">
        <v>3</v>
      </c>
      <c r="F16">
        <v>1.00509</v>
      </c>
      <c r="G16">
        <v>1831.77</v>
      </c>
      <c r="H16">
        <v>4</v>
      </c>
      <c r="I16">
        <v>1.0051399999999999</v>
      </c>
      <c r="J16">
        <v>1799.93</v>
      </c>
      <c r="K16">
        <v>3</v>
      </c>
      <c r="L16">
        <v>1.00509</v>
      </c>
      <c r="M16">
        <v>1976.31</v>
      </c>
      <c r="O16">
        <f t="shared" si="0"/>
        <v>1</v>
      </c>
      <c r="P16">
        <f t="shared" si="1"/>
        <v>1.3333333333333333</v>
      </c>
      <c r="Q16">
        <f t="shared" si="2"/>
        <v>1</v>
      </c>
    </row>
    <row r="17" spans="1:17" x14ac:dyDescent="0.2">
      <c r="A17">
        <v>12</v>
      </c>
      <c r="B17">
        <v>3</v>
      </c>
      <c r="C17">
        <v>1.0000100000000001</v>
      </c>
      <c r="D17">
        <v>50323.839999999997</v>
      </c>
      <c r="E17">
        <v>3</v>
      </c>
      <c r="F17">
        <v>1.51491</v>
      </c>
      <c r="G17">
        <v>1756.05</v>
      </c>
      <c r="H17">
        <v>4</v>
      </c>
      <c r="I17">
        <v>1.0000100000000001</v>
      </c>
      <c r="J17">
        <v>1884.91</v>
      </c>
      <c r="K17">
        <v>3</v>
      </c>
      <c r="L17">
        <v>1.51491</v>
      </c>
      <c r="M17">
        <v>1823.66</v>
      </c>
      <c r="O17">
        <f t="shared" si="0"/>
        <v>1</v>
      </c>
      <c r="P17">
        <f t="shared" si="1"/>
        <v>1.3333333333333333</v>
      </c>
      <c r="Q17">
        <f t="shared" si="2"/>
        <v>1</v>
      </c>
    </row>
    <row r="18" spans="1:17" x14ac:dyDescent="0.2">
      <c r="A18">
        <v>13</v>
      </c>
      <c r="B18">
        <v>3</v>
      </c>
      <c r="C18">
        <v>1</v>
      </c>
      <c r="D18">
        <v>171682.81</v>
      </c>
      <c r="E18">
        <v>4</v>
      </c>
      <c r="F18">
        <v>1.9999499999999999</v>
      </c>
      <c r="G18">
        <v>2015.49</v>
      </c>
      <c r="H18">
        <v>3</v>
      </c>
      <c r="I18">
        <v>1</v>
      </c>
      <c r="J18">
        <v>1860.89</v>
      </c>
      <c r="K18">
        <v>3</v>
      </c>
      <c r="L18">
        <v>1</v>
      </c>
      <c r="M18">
        <v>1968.99</v>
      </c>
      <c r="O18">
        <f t="shared" si="0"/>
        <v>1.3333333333333333</v>
      </c>
      <c r="P18">
        <f t="shared" si="1"/>
        <v>1</v>
      </c>
      <c r="Q18">
        <f t="shared" si="2"/>
        <v>1</v>
      </c>
    </row>
    <row r="19" spans="1:17" x14ac:dyDescent="0.2">
      <c r="A19">
        <v>14</v>
      </c>
      <c r="B19">
        <v>3</v>
      </c>
      <c r="C19">
        <v>1.6420399999999999</v>
      </c>
      <c r="D19">
        <v>265537.65999999997</v>
      </c>
      <c r="E19">
        <v>3</v>
      </c>
      <c r="F19">
        <v>1.6420399999999999</v>
      </c>
      <c r="G19">
        <v>1935.14</v>
      </c>
      <c r="H19">
        <v>4</v>
      </c>
      <c r="I19">
        <v>1.64212</v>
      </c>
      <c r="J19">
        <v>1725.55</v>
      </c>
      <c r="K19">
        <v>3</v>
      </c>
      <c r="L19">
        <v>1.6420399999999999</v>
      </c>
      <c r="M19">
        <v>2020.4</v>
      </c>
      <c r="O19">
        <f t="shared" si="0"/>
        <v>1</v>
      </c>
      <c r="P19">
        <f t="shared" si="1"/>
        <v>1.3333333333333333</v>
      </c>
      <c r="Q19">
        <f t="shared" si="2"/>
        <v>1</v>
      </c>
    </row>
    <row r="20" spans="1:17" x14ac:dyDescent="0.2">
      <c r="A20">
        <v>15</v>
      </c>
      <c r="B20">
        <v>3</v>
      </c>
      <c r="C20">
        <v>1.0000100000000001</v>
      </c>
      <c r="D20">
        <v>198102.67</v>
      </c>
      <c r="E20">
        <v>3</v>
      </c>
      <c r="F20">
        <v>1.99997</v>
      </c>
      <c r="G20">
        <v>1974.6</v>
      </c>
      <c r="H20">
        <v>4</v>
      </c>
      <c r="I20">
        <v>1.0000100000000001</v>
      </c>
      <c r="J20">
        <v>1858.03</v>
      </c>
      <c r="K20">
        <v>4</v>
      </c>
      <c r="L20">
        <v>1.0000100000000001</v>
      </c>
      <c r="M20">
        <v>1986.67</v>
      </c>
      <c r="O20">
        <f t="shared" si="0"/>
        <v>1</v>
      </c>
      <c r="P20">
        <f t="shared" si="1"/>
        <v>1.3333333333333333</v>
      </c>
      <c r="Q20">
        <f t="shared" si="2"/>
        <v>1.3333333333333333</v>
      </c>
    </row>
    <row r="21" spans="1:17" x14ac:dyDescent="0.2">
      <c r="A21">
        <v>16</v>
      </c>
      <c r="B21">
        <v>3</v>
      </c>
      <c r="C21">
        <v>1.0000100000000001</v>
      </c>
      <c r="D21">
        <v>55934.92</v>
      </c>
      <c r="E21">
        <v>3</v>
      </c>
      <c r="F21">
        <v>1.3009200000000001</v>
      </c>
      <c r="G21">
        <v>1756.41</v>
      </c>
      <c r="H21">
        <v>4</v>
      </c>
      <c r="I21">
        <v>1.0000100000000001</v>
      </c>
      <c r="J21">
        <v>1850.55</v>
      </c>
      <c r="K21">
        <v>3</v>
      </c>
      <c r="L21">
        <v>1.3009200000000001</v>
      </c>
      <c r="M21">
        <v>1856.96</v>
      </c>
      <c r="O21">
        <f t="shared" si="0"/>
        <v>1</v>
      </c>
      <c r="P21">
        <f t="shared" si="1"/>
        <v>1.3333333333333333</v>
      </c>
      <c r="Q21">
        <f t="shared" si="2"/>
        <v>1</v>
      </c>
    </row>
    <row r="22" spans="1:17" x14ac:dyDescent="0.2">
      <c r="A22">
        <v>17</v>
      </c>
      <c r="B22">
        <v>14905</v>
      </c>
      <c r="C22">
        <v>1.9306300000000001</v>
      </c>
      <c r="D22">
        <v>557059.24</v>
      </c>
      <c r="E22">
        <v>14905</v>
      </c>
      <c r="F22">
        <v>1.9306300000000001</v>
      </c>
      <c r="G22">
        <v>2303.09</v>
      </c>
      <c r="H22">
        <v>114904</v>
      </c>
      <c r="I22">
        <v>1.6350800000000001</v>
      </c>
      <c r="J22">
        <v>1986.04</v>
      </c>
      <c r="K22">
        <v>14905</v>
      </c>
      <c r="L22">
        <v>1.9306300000000001</v>
      </c>
      <c r="M22">
        <v>2428.9</v>
      </c>
      <c r="O22">
        <f t="shared" si="0"/>
        <v>1</v>
      </c>
      <c r="P22">
        <f t="shared" si="1"/>
        <v>7.709090909090909</v>
      </c>
      <c r="Q22">
        <f t="shared" si="2"/>
        <v>1</v>
      </c>
    </row>
    <row r="23" spans="1:17" x14ac:dyDescent="0.2">
      <c r="A23">
        <v>18</v>
      </c>
      <c r="B23">
        <v>3</v>
      </c>
      <c r="C23">
        <v>1.31334</v>
      </c>
      <c r="D23">
        <v>159165.79999999999</v>
      </c>
      <c r="E23">
        <v>3</v>
      </c>
      <c r="F23">
        <v>1.31334</v>
      </c>
      <c r="G23">
        <v>1858.81</v>
      </c>
      <c r="H23">
        <v>4</v>
      </c>
      <c r="I23">
        <v>1.31341</v>
      </c>
      <c r="J23">
        <v>1755.58</v>
      </c>
      <c r="K23">
        <v>3</v>
      </c>
      <c r="L23">
        <v>1.31334</v>
      </c>
      <c r="M23">
        <v>1953.42</v>
      </c>
      <c r="O23">
        <f t="shared" si="0"/>
        <v>1</v>
      </c>
      <c r="P23">
        <f t="shared" si="1"/>
        <v>1.3333333333333333</v>
      </c>
      <c r="Q23">
        <f t="shared" si="2"/>
        <v>1</v>
      </c>
    </row>
    <row r="24" spans="1:17" x14ac:dyDescent="0.2">
      <c r="A24">
        <v>19</v>
      </c>
      <c r="B24">
        <v>3</v>
      </c>
      <c r="C24">
        <v>1</v>
      </c>
      <c r="D24">
        <v>63220.71</v>
      </c>
      <c r="E24">
        <v>3</v>
      </c>
      <c r="F24">
        <v>1.58657</v>
      </c>
      <c r="G24">
        <v>1756.02</v>
      </c>
      <c r="H24">
        <v>3</v>
      </c>
      <c r="I24">
        <v>1</v>
      </c>
      <c r="J24">
        <v>1887.02</v>
      </c>
      <c r="K24">
        <v>3</v>
      </c>
      <c r="L24">
        <v>1.58657</v>
      </c>
      <c r="M24">
        <v>2127.37</v>
      </c>
      <c r="O24">
        <f t="shared" si="0"/>
        <v>1</v>
      </c>
      <c r="P24">
        <f t="shared" si="1"/>
        <v>1</v>
      </c>
      <c r="Q24">
        <f t="shared" si="2"/>
        <v>1</v>
      </c>
    </row>
    <row r="25" spans="1:17" x14ac:dyDescent="0.2">
      <c r="A25">
        <v>20</v>
      </c>
      <c r="B25">
        <v>3</v>
      </c>
      <c r="C25">
        <v>1</v>
      </c>
      <c r="D25">
        <v>171955</v>
      </c>
      <c r="E25">
        <v>4</v>
      </c>
      <c r="F25">
        <v>1.9999499999999999</v>
      </c>
      <c r="G25">
        <v>2646.3</v>
      </c>
      <c r="H25">
        <v>3</v>
      </c>
      <c r="I25">
        <v>1</v>
      </c>
      <c r="J25">
        <v>2375.0300000000002</v>
      </c>
      <c r="K25">
        <v>3</v>
      </c>
      <c r="L25">
        <v>1</v>
      </c>
      <c r="M25">
        <v>2330.13</v>
      </c>
      <c r="O25">
        <f t="shared" si="0"/>
        <v>1.3333333333333333</v>
      </c>
      <c r="P25">
        <f t="shared" si="1"/>
        <v>1</v>
      </c>
      <c r="Q25">
        <f t="shared" si="2"/>
        <v>1</v>
      </c>
    </row>
    <row r="26" spans="1:17" x14ac:dyDescent="0.2">
      <c r="A26">
        <v>21</v>
      </c>
      <c r="B26">
        <v>3</v>
      </c>
      <c r="C26">
        <v>1.0000100000000001</v>
      </c>
      <c r="D26">
        <v>87324.12</v>
      </c>
      <c r="E26">
        <v>3</v>
      </c>
      <c r="F26">
        <v>1.9999400000000001</v>
      </c>
      <c r="G26">
        <v>2338.59</v>
      </c>
      <c r="H26">
        <v>4</v>
      </c>
      <c r="I26">
        <v>1.0000100000000001</v>
      </c>
      <c r="J26">
        <v>1987.95</v>
      </c>
      <c r="K26">
        <v>4</v>
      </c>
      <c r="L26">
        <v>1.0000100000000001</v>
      </c>
      <c r="M26">
        <v>2144.7600000000002</v>
      </c>
      <c r="O26">
        <f t="shared" si="0"/>
        <v>1</v>
      </c>
      <c r="P26">
        <f t="shared" si="1"/>
        <v>1.3333333333333333</v>
      </c>
      <c r="Q26">
        <f t="shared" si="2"/>
        <v>1.3333333333333333</v>
      </c>
    </row>
    <row r="27" spans="1:17" x14ac:dyDescent="0.2">
      <c r="A27">
        <v>22</v>
      </c>
      <c r="B27">
        <v>49463</v>
      </c>
      <c r="C27">
        <v>1.80169</v>
      </c>
      <c r="D27">
        <v>946129.59</v>
      </c>
      <c r="E27">
        <v>49463</v>
      </c>
      <c r="F27">
        <v>1.80169</v>
      </c>
      <c r="G27">
        <v>2734.49</v>
      </c>
      <c r="H27">
        <v>149462</v>
      </c>
      <c r="I27">
        <v>1.5723</v>
      </c>
      <c r="J27">
        <v>2124.34</v>
      </c>
      <c r="K27">
        <v>49463</v>
      </c>
      <c r="L27">
        <v>1.80169</v>
      </c>
      <c r="M27">
        <v>2235.27</v>
      </c>
      <c r="O27">
        <f t="shared" si="0"/>
        <v>1</v>
      </c>
      <c r="P27">
        <f t="shared" si="1"/>
        <v>3.0216929826334837</v>
      </c>
      <c r="Q27">
        <f t="shared" si="2"/>
        <v>1</v>
      </c>
    </row>
    <row r="28" spans="1:17" x14ac:dyDescent="0.2">
      <c r="A28">
        <v>23</v>
      </c>
      <c r="B28">
        <v>3</v>
      </c>
      <c r="C28">
        <v>1</v>
      </c>
      <c r="D28">
        <v>73314.600000000006</v>
      </c>
      <c r="E28">
        <v>4</v>
      </c>
      <c r="F28">
        <v>1.9999499999999999</v>
      </c>
      <c r="G28">
        <v>2143.1</v>
      </c>
      <c r="H28">
        <v>3</v>
      </c>
      <c r="I28">
        <v>1</v>
      </c>
      <c r="J28">
        <v>2157.0500000000002</v>
      </c>
      <c r="K28">
        <v>3</v>
      </c>
      <c r="L28">
        <v>1</v>
      </c>
      <c r="M28">
        <v>2399.2800000000002</v>
      </c>
      <c r="O28">
        <f t="shared" si="0"/>
        <v>1.3333333333333333</v>
      </c>
      <c r="P28">
        <f t="shared" si="1"/>
        <v>1</v>
      </c>
      <c r="Q28">
        <f t="shared" si="2"/>
        <v>1</v>
      </c>
    </row>
    <row r="29" spans="1:17" x14ac:dyDescent="0.2">
      <c r="A29">
        <v>24</v>
      </c>
      <c r="B29">
        <v>28933</v>
      </c>
      <c r="C29">
        <v>1.87358</v>
      </c>
      <c r="D29">
        <v>700193.03</v>
      </c>
      <c r="E29">
        <v>28933</v>
      </c>
      <c r="F29">
        <v>1.87358</v>
      </c>
      <c r="G29">
        <v>2067.79</v>
      </c>
      <c r="H29">
        <v>128932</v>
      </c>
      <c r="I29">
        <v>1.6080099999999999</v>
      </c>
      <c r="J29">
        <v>1861.79</v>
      </c>
      <c r="K29">
        <v>28933</v>
      </c>
      <c r="L29">
        <v>1.87358</v>
      </c>
      <c r="M29">
        <v>2139.73</v>
      </c>
      <c r="O29">
        <f t="shared" si="0"/>
        <v>1</v>
      </c>
      <c r="P29">
        <f t="shared" si="1"/>
        <v>4.4562264542218228</v>
      </c>
      <c r="Q29">
        <f t="shared" si="2"/>
        <v>1</v>
      </c>
    </row>
    <row r="30" spans="1:17" x14ac:dyDescent="0.2">
      <c r="A30">
        <v>25</v>
      </c>
      <c r="B30">
        <v>26619</v>
      </c>
      <c r="C30">
        <v>1.88253</v>
      </c>
      <c r="D30">
        <v>703759.34</v>
      </c>
      <c r="E30">
        <v>26619</v>
      </c>
      <c r="F30">
        <v>1.88253</v>
      </c>
      <c r="G30">
        <v>2302.77</v>
      </c>
      <c r="H30">
        <v>126618</v>
      </c>
      <c r="I30">
        <v>1.6123099999999999</v>
      </c>
      <c r="J30">
        <v>2166.23</v>
      </c>
      <c r="K30">
        <v>26619</v>
      </c>
      <c r="L30">
        <v>1.88253</v>
      </c>
      <c r="M30">
        <v>2496.87</v>
      </c>
      <c r="O30">
        <f t="shared" si="0"/>
        <v>1</v>
      </c>
      <c r="P30">
        <f t="shared" si="1"/>
        <v>4.7566775611405383</v>
      </c>
      <c r="Q30">
        <f t="shared" si="2"/>
        <v>1</v>
      </c>
    </row>
    <row r="31" spans="1:17" x14ac:dyDescent="0.2">
      <c r="A31">
        <v>26</v>
      </c>
      <c r="B31">
        <v>90133</v>
      </c>
      <c r="C31">
        <v>1.6893100000000001</v>
      </c>
      <c r="D31">
        <v>1319422.51</v>
      </c>
      <c r="E31">
        <v>90133</v>
      </c>
      <c r="F31">
        <v>1.6893100000000001</v>
      </c>
      <c r="G31">
        <v>2198.21</v>
      </c>
      <c r="H31">
        <v>190132</v>
      </c>
      <c r="I31">
        <v>1.51264</v>
      </c>
      <c r="J31">
        <v>2098.13</v>
      </c>
      <c r="K31">
        <v>90133</v>
      </c>
      <c r="L31">
        <v>1.6893100000000001</v>
      </c>
      <c r="M31">
        <v>2499.48</v>
      </c>
      <c r="O31">
        <f>E31/B31</f>
        <v>1</v>
      </c>
      <c r="P31">
        <f>H31/B31</f>
        <v>2.109460463981006</v>
      </c>
      <c r="Q31">
        <f>K31/B31</f>
        <v>1</v>
      </c>
    </row>
    <row r="32" spans="1:17" x14ac:dyDescent="0.2">
      <c r="A32">
        <v>27</v>
      </c>
      <c r="B32">
        <v>88721</v>
      </c>
      <c r="C32">
        <v>1.69268</v>
      </c>
      <c r="D32">
        <v>1338380.08</v>
      </c>
      <c r="E32">
        <v>88721</v>
      </c>
      <c r="F32">
        <v>1.69268</v>
      </c>
      <c r="G32">
        <v>2268.5300000000002</v>
      </c>
      <c r="H32">
        <v>188720</v>
      </c>
      <c r="I32">
        <v>1.5145</v>
      </c>
      <c r="J32">
        <v>2150.81</v>
      </c>
      <c r="K32">
        <v>88721</v>
      </c>
      <c r="L32">
        <v>1.69268</v>
      </c>
      <c r="M32">
        <v>2521.58</v>
      </c>
      <c r="O32">
        <f t="shared" ref="O32:O36" si="3">E32/B32</f>
        <v>1</v>
      </c>
      <c r="P32">
        <f t="shared" ref="P32:P36" si="4">H32/B32</f>
        <v>2.1271175933544484</v>
      </c>
      <c r="Q32">
        <f t="shared" ref="Q32:Q36" si="5">K32/B32</f>
        <v>1</v>
      </c>
    </row>
    <row r="33" spans="1:17" x14ac:dyDescent="0.2">
      <c r="A33">
        <v>28</v>
      </c>
      <c r="B33">
        <v>3</v>
      </c>
      <c r="C33">
        <v>1.82755</v>
      </c>
      <c r="D33">
        <v>358709.86</v>
      </c>
      <c r="E33">
        <v>3</v>
      </c>
      <c r="F33">
        <v>1.82755</v>
      </c>
      <c r="G33">
        <v>2465.62</v>
      </c>
      <c r="H33">
        <v>4</v>
      </c>
      <c r="I33">
        <v>1.8276399999999999</v>
      </c>
      <c r="J33">
        <v>2747.27</v>
      </c>
      <c r="K33">
        <v>3</v>
      </c>
      <c r="L33">
        <v>1.82755</v>
      </c>
      <c r="M33">
        <v>2476.5500000000002</v>
      </c>
      <c r="O33">
        <f t="shared" si="3"/>
        <v>1</v>
      </c>
      <c r="P33">
        <f t="shared" si="4"/>
        <v>1.3333333333333333</v>
      </c>
      <c r="Q33">
        <f t="shared" si="5"/>
        <v>1</v>
      </c>
    </row>
    <row r="34" spans="1:17" x14ac:dyDescent="0.2">
      <c r="A34">
        <v>29</v>
      </c>
      <c r="B34">
        <v>3</v>
      </c>
      <c r="C34">
        <v>1.7069000000000001</v>
      </c>
      <c r="D34">
        <v>301550.44</v>
      </c>
      <c r="E34">
        <v>3</v>
      </c>
      <c r="F34">
        <v>1.7069000000000001</v>
      </c>
      <c r="G34">
        <v>2015.31</v>
      </c>
      <c r="H34">
        <v>4</v>
      </c>
      <c r="I34">
        <v>1.7069799999999999</v>
      </c>
      <c r="J34">
        <v>2100.66</v>
      </c>
      <c r="K34">
        <v>3</v>
      </c>
      <c r="L34">
        <v>1.7069000000000001</v>
      </c>
      <c r="M34">
        <v>2364.7199999999998</v>
      </c>
      <c r="O34">
        <f t="shared" si="3"/>
        <v>1</v>
      </c>
      <c r="P34">
        <f t="shared" si="4"/>
        <v>1.3333333333333333</v>
      </c>
      <c r="Q34">
        <f t="shared" si="5"/>
        <v>1</v>
      </c>
    </row>
    <row r="35" spans="1:17" x14ac:dyDescent="0.2">
      <c r="A35">
        <v>30</v>
      </c>
      <c r="B35">
        <v>3</v>
      </c>
      <c r="C35">
        <v>1.94577</v>
      </c>
      <c r="D35">
        <v>365327.88</v>
      </c>
      <c r="E35">
        <v>3</v>
      </c>
      <c r="F35">
        <v>1.94577</v>
      </c>
      <c r="G35">
        <v>2035.51</v>
      </c>
      <c r="H35">
        <v>4</v>
      </c>
      <c r="I35">
        <v>1.94587</v>
      </c>
      <c r="J35">
        <v>1725.19</v>
      </c>
      <c r="K35">
        <v>3</v>
      </c>
      <c r="L35">
        <v>1.94577</v>
      </c>
      <c r="M35">
        <v>2079.3200000000002</v>
      </c>
      <c r="O35">
        <f t="shared" si="3"/>
        <v>1</v>
      </c>
      <c r="P35">
        <f t="shared" si="4"/>
        <v>1.3333333333333333</v>
      </c>
      <c r="Q35">
        <f t="shared" si="5"/>
        <v>1</v>
      </c>
    </row>
    <row r="36" spans="1:17" x14ac:dyDescent="0.2">
      <c r="A36">
        <v>31</v>
      </c>
      <c r="B36">
        <v>3</v>
      </c>
      <c r="C36">
        <v>1.0000100000000001</v>
      </c>
      <c r="D36">
        <v>50448.85</v>
      </c>
      <c r="E36">
        <v>3</v>
      </c>
      <c r="F36">
        <v>1.7951699999999999</v>
      </c>
      <c r="G36">
        <v>1678.65</v>
      </c>
      <c r="H36">
        <v>4</v>
      </c>
      <c r="I36">
        <v>1.0000100000000001</v>
      </c>
      <c r="J36">
        <v>1823.1</v>
      </c>
      <c r="K36">
        <v>3</v>
      </c>
      <c r="L36">
        <v>1.7951699999999999</v>
      </c>
      <c r="M36">
        <v>1799.06</v>
      </c>
      <c r="O36">
        <f t="shared" si="3"/>
        <v>1</v>
      </c>
      <c r="P36">
        <f t="shared" si="4"/>
        <v>1.3333333333333333</v>
      </c>
      <c r="Q36">
        <f t="shared" si="5"/>
        <v>1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90133</v>
      </c>
      <c r="C40" s="1">
        <f t="shared" ref="C40:M40" si="6">MAX(C5:C36)</f>
        <v>1.94577</v>
      </c>
      <c r="D40" s="1">
        <f t="shared" si="6"/>
        <v>1348484.15</v>
      </c>
      <c r="E40" s="1">
        <f t="shared" si="6"/>
        <v>90133</v>
      </c>
      <c r="F40" s="1">
        <f t="shared" si="6"/>
        <v>1.99997</v>
      </c>
      <c r="G40" s="1">
        <f t="shared" si="6"/>
        <v>3543.12</v>
      </c>
      <c r="H40" s="1">
        <f t="shared" si="6"/>
        <v>190132</v>
      </c>
      <c r="I40" s="1">
        <f t="shared" si="6"/>
        <v>1.94587</v>
      </c>
      <c r="J40" s="1">
        <f t="shared" si="6"/>
        <v>2747.27</v>
      </c>
      <c r="K40" s="1">
        <f t="shared" si="6"/>
        <v>90133</v>
      </c>
      <c r="L40" s="1">
        <f t="shared" si="6"/>
        <v>1.94577</v>
      </c>
      <c r="M40" s="1">
        <f t="shared" si="6"/>
        <v>2521.58</v>
      </c>
      <c r="N40" s="1">
        <v>1</v>
      </c>
      <c r="O40" s="1">
        <f t="shared" ref="O40:Q40" si="7">MAX(O5:O36)</f>
        <v>1.3333333333333333</v>
      </c>
      <c r="P40" s="1">
        <f t="shared" si="7"/>
        <v>7.709090909090909</v>
      </c>
      <c r="Q40" s="1">
        <f t="shared" si="7"/>
        <v>1.3333333333333333</v>
      </c>
    </row>
    <row r="41" spans="1:17" x14ac:dyDescent="0.2">
      <c r="A41" t="s">
        <v>12</v>
      </c>
      <c r="B41" s="1">
        <f>MIN(B5:B36)</f>
        <v>3</v>
      </c>
      <c r="C41" s="1">
        <f t="shared" ref="C41:M41" si="8">MIN(C5:C36)</f>
        <v>1</v>
      </c>
      <c r="D41" s="1">
        <f t="shared" si="8"/>
        <v>46941.4</v>
      </c>
      <c r="E41" s="1">
        <f t="shared" si="8"/>
        <v>3</v>
      </c>
      <c r="F41" s="1">
        <f t="shared" si="8"/>
        <v>1.00509</v>
      </c>
      <c r="G41" s="1">
        <f t="shared" si="8"/>
        <v>1678.65</v>
      </c>
      <c r="H41" s="1">
        <f t="shared" si="8"/>
        <v>3</v>
      </c>
      <c r="I41" s="1">
        <f t="shared" si="8"/>
        <v>1</v>
      </c>
      <c r="J41" s="1">
        <f t="shared" si="8"/>
        <v>1725.19</v>
      </c>
      <c r="K41" s="1">
        <f t="shared" si="8"/>
        <v>3</v>
      </c>
      <c r="L41" s="1">
        <f t="shared" si="8"/>
        <v>1</v>
      </c>
      <c r="M41" s="1">
        <f t="shared" si="8"/>
        <v>1799.06</v>
      </c>
      <c r="N41" s="1">
        <v>1</v>
      </c>
      <c r="O41" s="1">
        <f t="shared" ref="O41:Q41" si="9">MIN(O5:O36)</f>
        <v>1</v>
      </c>
      <c r="P41" s="1">
        <f t="shared" si="9"/>
        <v>1</v>
      </c>
      <c r="Q41" s="1">
        <f t="shared" si="9"/>
        <v>1</v>
      </c>
    </row>
    <row r="42" spans="1:17" x14ac:dyDescent="0.2">
      <c r="A42" t="s">
        <v>13</v>
      </c>
      <c r="B42" s="1">
        <f>MEDIAN(B5:B36)</f>
        <v>3</v>
      </c>
      <c r="C42" s="1">
        <f t="shared" ref="C42:M42" si="10">MEDIAN(C5:C36)</f>
        <v>1.0000100000000001</v>
      </c>
      <c r="D42" s="1">
        <f t="shared" si="10"/>
        <v>175555.45500000002</v>
      </c>
      <c r="E42" s="1">
        <f t="shared" si="10"/>
        <v>3</v>
      </c>
      <c r="F42" s="1">
        <f t="shared" si="10"/>
        <v>1.850565</v>
      </c>
      <c r="G42" s="1">
        <f t="shared" si="10"/>
        <v>2015.595</v>
      </c>
      <c r="H42" s="1">
        <f t="shared" si="10"/>
        <v>4</v>
      </c>
      <c r="I42" s="1">
        <f t="shared" si="10"/>
        <v>1.0000100000000001</v>
      </c>
      <c r="J42" s="1">
        <f t="shared" si="10"/>
        <v>1884.4549999999999</v>
      </c>
      <c r="K42" s="1">
        <f t="shared" si="10"/>
        <v>3</v>
      </c>
      <c r="L42" s="1">
        <f t="shared" si="10"/>
        <v>1.5947750000000001</v>
      </c>
      <c r="M42" s="1">
        <f t="shared" si="10"/>
        <v>2051.8650000000002</v>
      </c>
      <c r="N42" s="1">
        <v>1</v>
      </c>
      <c r="O42" s="1">
        <f t="shared" ref="O42:Q42" si="11">MEDIAN(O5:O36)</f>
        <v>1</v>
      </c>
      <c r="P42" s="1">
        <f t="shared" si="11"/>
        <v>1.3333333333333333</v>
      </c>
      <c r="Q42" s="1">
        <f t="shared" si="11"/>
        <v>1</v>
      </c>
    </row>
    <row r="43" spans="1:17" x14ac:dyDescent="0.2">
      <c r="A43" t="s">
        <v>14</v>
      </c>
      <c r="B43" s="1">
        <f>AVERAGE(B5:B36)</f>
        <v>13816.625</v>
      </c>
      <c r="C43" s="1">
        <f t="shared" ref="C43:M43" si="12">AVERAGE(C5:C36)</f>
        <v>1.3247259375000002</v>
      </c>
      <c r="D43" s="1">
        <f t="shared" si="12"/>
        <v>359151.8984375</v>
      </c>
      <c r="E43" s="1">
        <f t="shared" si="12"/>
        <v>13816.75</v>
      </c>
      <c r="F43" s="1">
        <f t="shared" si="12"/>
        <v>1.7849668750000001</v>
      </c>
      <c r="G43" s="1">
        <f t="shared" si="12"/>
        <v>2110.9053124999996</v>
      </c>
      <c r="H43" s="1">
        <f t="shared" si="12"/>
        <v>38816.96875</v>
      </c>
      <c r="I43" s="1">
        <f t="shared" si="12"/>
        <v>1.2680371875000001</v>
      </c>
      <c r="J43" s="1">
        <f t="shared" si="12"/>
        <v>1966.6031249999999</v>
      </c>
      <c r="K43" s="1">
        <f t="shared" si="12"/>
        <v>13816.84375</v>
      </c>
      <c r="L43" s="1">
        <f t="shared" si="12"/>
        <v>1.4412337500000003</v>
      </c>
      <c r="M43" s="1">
        <f t="shared" si="12"/>
        <v>2117.9553125000007</v>
      </c>
      <c r="N43" s="4">
        <v>1</v>
      </c>
      <c r="O43" s="4">
        <f t="shared" ref="O43:Q43" si="13">AVERAGE(O5:O36)</f>
        <v>1.0416666666666665</v>
      </c>
      <c r="P43" s="4">
        <f t="shared" si="13"/>
        <v>1.8572956367036626</v>
      </c>
      <c r="Q43" s="4">
        <f t="shared" si="13"/>
        <v>1.0729166666666665</v>
      </c>
    </row>
    <row r="44" spans="1:17" x14ac:dyDescent="0.2">
      <c r="A44" t="s">
        <v>15</v>
      </c>
      <c r="B44" s="1">
        <f>STDEV(B5:B36)</f>
        <v>28294.213562938294</v>
      </c>
      <c r="C44" s="1">
        <f t="shared" ref="C44:M44" si="14">STDEV(C5:C36)</f>
        <v>0.38848732376761641</v>
      </c>
      <c r="D44" s="1">
        <f t="shared" si="14"/>
        <v>402518.48490205995</v>
      </c>
      <c r="E44" s="1">
        <f t="shared" si="14"/>
        <v>28294.150569536683</v>
      </c>
      <c r="F44" s="1">
        <f t="shared" si="14"/>
        <v>0.24513569992356463</v>
      </c>
      <c r="G44" s="1">
        <f t="shared" si="14"/>
        <v>374.46085468340181</v>
      </c>
      <c r="H44" s="1">
        <f t="shared" si="14"/>
        <v>69819.92972870692</v>
      </c>
      <c r="I44" s="1">
        <f t="shared" si="14"/>
        <v>0.32327399831815901</v>
      </c>
      <c r="J44" s="1">
        <f t="shared" si="14"/>
        <v>216.21607769644746</v>
      </c>
      <c r="K44" s="1">
        <f t="shared" si="14"/>
        <v>28294.103324019339</v>
      </c>
      <c r="L44" s="1">
        <f t="shared" si="14"/>
        <v>0.37465345528858635</v>
      </c>
      <c r="M44" s="1">
        <f t="shared" si="14"/>
        <v>224.09669658263908</v>
      </c>
      <c r="N44" s="1">
        <v>1</v>
      </c>
      <c r="O44" s="1">
        <f t="shared" ref="O44:Q44" si="15">STDEV(O5:O36)</f>
        <v>0.11200358417204276</v>
      </c>
      <c r="P44" s="1">
        <f t="shared" si="15"/>
        <v>1.3993218586314655</v>
      </c>
      <c r="Q44" s="1">
        <f t="shared" si="15"/>
        <v>0.14000448021505274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DE2FE-3AA1-2A4B-BF80-0AACC7C7A130}">
  <sheetPr codeName="Sheet2"/>
  <dimension ref="A1:Q44"/>
  <sheetViews>
    <sheetView topLeftCell="C28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500003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5</v>
      </c>
      <c r="C5">
        <v>1.6552199999999999</v>
      </c>
      <c r="D5">
        <v>8040.24</v>
      </c>
      <c r="E5">
        <v>5</v>
      </c>
      <c r="F5">
        <v>1.6552199999999999</v>
      </c>
      <c r="G5">
        <v>5209.7299999999996</v>
      </c>
      <c r="H5">
        <v>9</v>
      </c>
      <c r="I5">
        <v>1.68777</v>
      </c>
      <c r="J5">
        <v>5654.68</v>
      </c>
      <c r="K5">
        <v>5</v>
      </c>
      <c r="L5">
        <v>1.6552199999999999</v>
      </c>
      <c r="M5">
        <v>4507.54</v>
      </c>
      <c r="O5">
        <f>E5/B5</f>
        <v>1</v>
      </c>
      <c r="P5">
        <f>H5/B5</f>
        <v>1.8</v>
      </c>
      <c r="Q5">
        <f>K5/B5</f>
        <v>1</v>
      </c>
    </row>
    <row r="6" spans="1:17" x14ac:dyDescent="0.2">
      <c r="A6">
        <v>1</v>
      </c>
      <c r="B6">
        <v>4</v>
      </c>
      <c r="C6">
        <v>1.5401100000000001</v>
      </c>
      <c r="D6">
        <v>5409.62</v>
      </c>
      <c r="E6">
        <v>4</v>
      </c>
      <c r="F6">
        <v>1.5401100000000001</v>
      </c>
      <c r="G6">
        <v>4718.13</v>
      </c>
      <c r="H6">
        <v>11</v>
      </c>
      <c r="I6">
        <v>1.8801300000000001</v>
      </c>
      <c r="J6">
        <v>4019.48</v>
      </c>
      <c r="K6">
        <v>4</v>
      </c>
      <c r="L6">
        <v>1.5401100000000001</v>
      </c>
      <c r="M6">
        <v>5890.83</v>
      </c>
      <c r="O6">
        <f t="shared" ref="O6:O30" si="0">E6/B6</f>
        <v>1</v>
      </c>
      <c r="P6">
        <f t="shared" ref="P6:P30" si="1">H6/B6</f>
        <v>2.75</v>
      </c>
      <c r="Q6">
        <f t="shared" ref="Q6:Q30" si="2">K6/B6</f>
        <v>1</v>
      </c>
    </row>
    <row r="7" spans="1:17" x14ac:dyDescent="0.2">
      <c r="A7">
        <v>2</v>
      </c>
      <c r="B7">
        <v>4</v>
      </c>
      <c r="C7">
        <v>1.5401100000000001</v>
      </c>
      <c r="D7">
        <v>4415.97</v>
      </c>
      <c r="E7">
        <v>4</v>
      </c>
      <c r="F7">
        <v>1.5401100000000001</v>
      </c>
      <c r="G7">
        <v>5353.03</v>
      </c>
      <c r="H7">
        <v>9</v>
      </c>
      <c r="I7">
        <v>1.98475</v>
      </c>
      <c r="J7">
        <v>4078.1</v>
      </c>
      <c r="K7">
        <v>4</v>
      </c>
      <c r="L7">
        <v>1.5401100000000001</v>
      </c>
      <c r="M7">
        <v>5275.55</v>
      </c>
      <c r="O7">
        <f t="shared" si="0"/>
        <v>1</v>
      </c>
      <c r="P7">
        <f t="shared" si="1"/>
        <v>2.25</v>
      </c>
      <c r="Q7">
        <f t="shared" si="2"/>
        <v>1</v>
      </c>
    </row>
    <row r="8" spans="1:17" x14ac:dyDescent="0.2">
      <c r="A8">
        <v>3</v>
      </c>
      <c r="B8">
        <v>5</v>
      </c>
      <c r="C8">
        <v>1.3734</v>
      </c>
      <c r="D8">
        <v>4499.2299999999996</v>
      </c>
      <c r="E8">
        <v>5</v>
      </c>
      <c r="F8">
        <v>1.3734</v>
      </c>
      <c r="G8">
        <v>4395.57</v>
      </c>
      <c r="H8">
        <v>8</v>
      </c>
      <c r="I8">
        <v>1.3742799999999999</v>
      </c>
      <c r="J8">
        <v>5265.93</v>
      </c>
      <c r="K8">
        <v>5</v>
      </c>
      <c r="L8">
        <v>1.3734</v>
      </c>
      <c r="M8">
        <v>4570.08</v>
      </c>
      <c r="O8">
        <f t="shared" si="0"/>
        <v>1</v>
      </c>
      <c r="P8">
        <f t="shared" si="1"/>
        <v>1.6</v>
      </c>
      <c r="Q8">
        <f t="shared" si="2"/>
        <v>1</v>
      </c>
    </row>
    <row r="9" spans="1:17" x14ac:dyDescent="0.2">
      <c r="A9">
        <v>4</v>
      </c>
      <c r="B9">
        <v>5</v>
      </c>
      <c r="C9">
        <v>1.6552199999999999</v>
      </c>
      <c r="D9">
        <v>4248.62</v>
      </c>
      <c r="E9">
        <v>5</v>
      </c>
      <c r="F9">
        <v>1.6552199999999999</v>
      </c>
      <c r="G9">
        <v>5551.54</v>
      </c>
      <c r="H9">
        <v>9</v>
      </c>
      <c r="I9">
        <v>1.68777</v>
      </c>
      <c r="J9">
        <v>4040.33</v>
      </c>
      <c r="K9">
        <v>5</v>
      </c>
      <c r="L9">
        <v>1.6552199999999999</v>
      </c>
      <c r="M9">
        <v>4471.04</v>
      </c>
      <c r="O9">
        <f t="shared" si="0"/>
        <v>1</v>
      </c>
      <c r="P9">
        <f t="shared" si="1"/>
        <v>1.8</v>
      </c>
      <c r="Q9">
        <f t="shared" si="2"/>
        <v>1</v>
      </c>
    </row>
    <row r="10" spans="1:17" x14ac:dyDescent="0.2">
      <c r="A10">
        <v>5</v>
      </c>
      <c r="B10">
        <v>4</v>
      </c>
      <c r="C10">
        <v>1.5401100000000001</v>
      </c>
      <c r="D10">
        <v>5443.59</v>
      </c>
      <c r="E10">
        <v>4</v>
      </c>
      <c r="F10">
        <v>1.5401100000000001</v>
      </c>
      <c r="G10">
        <v>4476.5600000000004</v>
      </c>
      <c r="H10">
        <v>11</v>
      </c>
      <c r="I10">
        <v>1.8801300000000001</v>
      </c>
      <c r="J10">
        <v>3907.04</v>
      </c>
      <c r="K10">
        <v>4</v>
      </c>
      <c r="L10">
        <v>1.5401100000000001</v>
      </c>
      <c r="M10">
        <v>4695.5200000000004</v>
      </c>
      <c r="O10">
        <f t="shared" si="0"/>
        <v>1</v>
      </c>
      <c r="P10">
        <f t="shared" si="1"/>
        <v>2.75</v>
      </c>
      <c r="Q10">
        <f t="shared" si="2"/>
        <v>1</v>
      </c>
    </row>
    <row r="11" spans="1:17" x14ac:dyDescent="0.2">
      <c r="A11">
        <v>6</v>
      </c>
      <c r="B11">
        <v>4</v>
      </c>
      <c r="C11">
        <v>1.5401100000000001</v>
      </c>
      <c r="D11">
        <v>4697.55</v>
      </c>
      <c r="E11">
        <v>4</v>
      </c>
      <c r="F11">
        <v>1.5401100000000001</v>
      </c>
      <c r="G11">
        <v>4085.98</v>
      </c>
      <c r="H11">
        <v>9</v>
      </c>
      <c r="I11">
        <v>1.98475</v>
      </c>
      <c r="J11">
        <v>3997.47</v>
      </c>
      <c r="K11">
        <v>4</v>
      </c>
      <c r="L11">
        <v>1.5401100000000001</v>
      </c>
      <c r="M11">
        <v>5202.88</v>
      </c>
      <c r="O11">
        <f t="shared" si="0"/>
        <v>1</v>
      </c>
      <c r="P11">
        <f t="shared" si="1"/>
        <v>2.25</v>
      </c>
      <c r="Q11">
        <f t="shared" si="2"/>
        <v>1</v>
      </c>
    </row>
    <row r="12" spans="1:17" x14ac:dyDescent="0.2">
      <c r="A12">
        <v>7</v>
      </c>
      <c r="B12">
        <v>5</v>
      </c>
      <c r="C12">
        <v>1.29453</v>
      </c>
      <c r="D12">
        <v>4353.5600000000004</v>
      </c>
      <c r="E12">
        <v>5</v>
      </c>
      <c r="F12">
        <v>1.29453</v>
      </c>
      <c r="G12">
        <v>4327.78</v>
      </c>
      <c r="H12">
        <v>7</v>
      </c>
      <c r="I12">
        <v>1.26996</v>
      </c>
      <c r="J12">
        <v>4380.78</v>
      </c>
      <c r="K12">
        <v>5</v>
      </c>
      <c r="L12">
        <v>1.29453</v>
      </c>
      <c r="M12">
        <v>5458.88</v>
      </c>
      <c r="O12">
        <f t="shared" si="0"/>
        <v>1</v>
      </c>
      <c r="P12">
        <f t="shared" si="1"/>
        <v>1.4</v>
      </c>
      <c r="Q12">
        <f t="shared" si="2"/>
        <v>1</v>
      </c>
    </row>
    <row r="13" spans="1:17" x14ac:dyDescent="0.2">
      <c r="A13">
        <v>8</v>
      </c>
      <c r="B13">
        <v>4</v>
      </c>
      <c r="C13">
        <v>1.5401100000000001</v>
      </c>
      <c r="D13">
        <v>4066.43</v>
      </c>
      <c r="E13">
        <v>4</v>
      </c>
      <c r="F13">
        <v>1.5401100000000001</v>
      </c>
      <c r="G13">
        <v>4119.6899999999996</v>
      </c>
      <c r="H13">
        <v>9</v>
      </c>
      <c r="I13">
        <v>1.98475</v>
      </c>
      <c r="J13">
        <v>3870.16</v>
      </c>
      <c r="K13">
        <v>4</v>
      </c>
      <c r="L13">
        <v>1.5401100000000001</v>
      </c>
      <c r="M13">
        <v>5161.93</v>
      </c>
      <c r="O13">
        <f t="shared" si="0"/>
        <v>1</v>
      </c>
      <c r="P13">
        <f t="shared" si="1"/>
        <v>2.25</v>
      </c>
      <c r="Q13">
        <f t="shared" si="2"/>
        <v>1</v>
      </c>
    </row>
    <row r="14" spans="1:17" x14ac:dyDescent="0.2">
      <c r="A14">
        <v>9</v>
      </c>
      <c r="B14">
        <v>5</v>
      </c>
      <c r="C14">
        <v>1.6552199999999999</v>
      </c>
      <c r="D14">
        <v>4062.72</v>
      </c>
      <c r="E14">
        <v>5</v>
      </c>
      <c r="F14">
        <v>1.6552199999999999</v>
      </c>
      <c r="G14">
        <v>4028.83</v>
      </c>
      <c r="H14">
        <v>9</v>
      </c>
      <c r="I14">
        <v>1.68777</v>
      </c>
      <c r="J14">
        <v>3915.34</v>
      </c>
      <c r="K14">
        <v>5</v>
      </c>
      <c r="L14">
        <v>1.6552199999999999</v>
      </c>
      <c r="M14">
        <v>5295.06</v>
      </c>
      <c r="O14">
        <f t="shared" si="0"/>
        <v>1</v>
      </c>
      <c r="P14">
        <f t="shared" si="1"/>
        <v>1.8</v>
      </c>
      <c r="Q14">
        <f t="shared" si="2"/>
        <v>1</v>
      </c>
    </row>
    <row r="15" spans="1:17" x14ac:dyDescent="0.2">
      <c r="A15">
        <v>10</v>
      </c>
      <c r="B15">
        <v>4</v>
      </c>
      <c r="C15">
        <v>1.5401100000000001</v>
      </c>
      <c r="D15">
        <v>4085.95</v>
      </c>
      <c r="E15">
        <v>4</v>
      </c>
      <c r="F15">
        <v>1.5401100000000001</v>
      </c>
      <c r="G15">
        <v>4074.65</v>
      </c>
      <c r="H15">
        <v>9</v>
      </c>
      <c r="I15">
        <v>1.98475</v>
      </c>
      <c r="J15">
        <v>3878.13</v>
      </c>
      <c r="K15">
        <v>4</v>
      </c>
      <c r="L15">
        <v>1.5401100000000001</v>
      </c>
      <c r="M15">
        <v>5285.97</v>
      </c>
      <c r="O15">
        <f t="shared" si="0"/>
        <v>1</v>
      </c>
      <c r="P15">
        <f t="shared" si="1"/>
        <v>2.25</v>
      </c>
      <c r="Q15">
        <f t="shared" si="2"/>
        <v>1</v>
      </c>
    </row>
    <row r="16" spans="1:17" x14ac:dyDescent="0.2">
      <c r="A16">
        <v>11</v>
      </c>
      <c r="B16">
        <v>7</v>
      </c>
      <c r="C16">
        <v>1.9550399999999999</v>
      </c>
      <c r="D16">
        <v>3975.61</v>
      </c>
      <c r="E16">
        <v>14</v>
      </c>
      <c r="F16">
        <v>1.9774099999999999</v>
      </c>
      <c r="G16">
        <v>3998.45</v>
      </c>
      <c r="H16">
        <v>18</v>
      </c>
      <c r="I16">
        <v>1.9778199999999999</v>
      </c>
      <c r="J16">
        <v>3927.19</v>
      </c>
      <c r="K16">
        <v>14</v>
      </c>
      <c r="L16">
        <v>1.9774099999999999</v>
      </c>
      <c r="M16">
        <v>5024.5</v>
      </c>
      <c r="O16">
        <f t="shared" si="0"/>
        <v>2</v>
      </c>
      <c r="P16">
        <f t="shared" si="1"/>
        <v>2.5714285714285716</v>
      </c>
      <c r="Q16">
        <f t="shared" si="2"/>
        <v>2</v>
      </c>
    </row>
    <row r="17" spans="1:17" x14ac:dyDescent="0.2">
      <c r="A17">
        <v>12</v>
      </c>
      <c r="B17">
        <v>4</v>
      </c>
      <c r="C17">
        <v>1.6980599999999999</v>
      </c>
      <c r="D17">
        <v>4006.76</v>
      </c>
      <c r="E17">
        <v>4</v>
      </c>
      <c r="F17">
        <v>1.6980599999999999</v>
      </c>
      <c r="G17">
        <v>4171</v>
      </c>
      <c r="H17">
        <v>8</v>
      </c>
      <c r="I17">
        <v>1.73167</v>
      </c>
      <c r="J17">
        <v>4178.6899999999996</v>
      </c>
      <c r="K17">
        <v>4</v>
      </c>
      <c r="L17">
        <v>1.6980599999999999</v>
      </c>
      <c r="M17">
        <v>5239.93</v>
      </c>
      <c r="O17">
        <f t="shared" si="0"/>
        <v>1</v>
      </c>
      <c r="P17">
        <f t="shared" si="1"/>
        <v>2</v>
      </c>
      <c r="Q17">
        <f t="shared" si="2"/>
        <v>1</v>
      </c>
    </row>
    <row r="18" spans="1:17" x14ac:dyDescent="0.2">
      <c r="A18">
        <v>13</v>
      </c>
      <c r="B18">
        <v>4</v>
      </c>
      <c r="C18">
        <v>1.5401100000000001</v>
      </c>
      <c r="D18">
        <v>4083.05</v>
      </c>
      <c r="E18">
        <v>4</v>
      </c>
      <c r="F18">
        <v>1.5401100000000001</v>
      </c>
      <c r="G18">
        <v>4048.77</v>
      </c>
      <c r="H18">
        <v>9</v>
      </c>
      <c r="I18">
        <v>1.98475</v>
      </c>
      <c r="J18">
        <v>3933.66</v>
      </c>
      <c r="K18">
        <v>4</v>
      </c>
      <c r="L18">
        <v>1.5401100000000001</v>
      </c>
      <c r="M18">
        <v>5283.6</v>
      </c>
      <c r="O18">
        <f t="shared" si="0"/>
        <v>1</v>
      </c>
      <c r="P18">
        <f t="shared" si="1"/>
        <v>2.25</v>
      </c>
      <c r="Q18">
        <f t="shared" si="2"/>
        <v>1</v>
      </c>
    </row>
    <row r="19" spans="1:17" x14ac:dyDescent="0.2">
      <c r="A19">
        <v>14</v>
      </c>
      <c r="B19">
        <v>10</v>
      </c>
      <c r="C19">
        <v>1.4192499999999999</v>
      </c>
      <c r="D19">
        <v>4131.47</v>
      </c>
      <c r="E19">
        <v>10</v>
      </c>
      <c r="F19">
        <v>1.4192499999999999</v>
      </c>
      <c r="G19">
        <v>4093.52</v>
      </c>
      <c r="H19">
        <v>13</v>
      </c>
      <c r="I19">
        <v>1.9470400000000001</v>
      </c>
      <c r="J19">
        <v>3871.46</v>
      </c>
      <c r="K19">
        <v>10</v>
      </c>
      <c r="L19">
        <v>1.4192499999999999</v>
      </c>
      <c r="M19">
        <v>5336.42</v>
      </c>
      <c r="O19">
        <f t="shared" si="0"/>
        <v>1</v>
      </c>
      <c r="P19">
        <f t="shared" si="1"/>
        <v>1.3</v>
      </c>
      <c r="Q19">
        <f t="shared" si="2"/>
        <v>1</v>
      </c>
    </row>
    <row r="20" spans="1:17" x14ac:dyDescent="0.2">
      <c r="A20">
        <v>15</v>
      </c>
      <c r="B20">
        <v>7</v>
      </c>
      <c r="C20">
        <v>1.77959</v>
      </c>
      <c r="D20">
        <v>4017.86</v>
      </c>
      <c r="E20">
        <v>7</v>
      </c>
      <c r="F20">
        <v>1.77959</v>
      </c>
      <c r="G20">
        <v>4015.71</v>
      </c>
      <c r="H20">
        <v>9</v>
      </c>
      <c r="I20">
        <v>1.84751</v>
      </c>
      <c r="J20">
        <v>3916.48</v>
      </c>
      <c r="K20">
        <v>7</v>
      </c>
      <c r="L20">
        <v>1.77959</v>
      </c>
      <c r="M20">
        <v>5045.2299999999996</v>
      </c>
      <c r="O20">
        <f t="shared" si="0"/>
        <v>1</v>
      </c>
      <c r="P20">
        <f t="shared" si="1"/>
        <v>1.2857142857142858</v>
      </c>
      <c r="Q20">
        <f t="shared" si="2"/>
        <v>1</v>
      </c>
    </row>
    <row r="21" spans="1:17" x14ac:dyDescent="0.2">
      <c r="A21">
        <v>16</v>
      </c>
      <c r="B21">
        <v>6</v>
      </c>
      <c r="C21">
        <v>1.1336599999999999</v>
      </c>
      <c r="D21">
        <v>4322.0600000000004</v>
      </c>
      <c r="E21">
        <v>6</v>
      </c>
      <c r="F21">
        <v>1.1336599999999999</v>
      </c>
      <c r="G21">
        <v>4295.0200000000004</v>
      </c>
      <c r="H21">
        <v>10</v>
      </c>
      <c r="I21">
        <v>1.05253</v>
      </c>
      <c r="J21">
        <v>4257.24</v>
      </c>
      <c r="K21">
        <v>6</v>
      </c>
      <c r="L21">
        <v>1.1336599999999999</v>
      </c>
      <c r="M21">
        <v>5646.61</v>
      </c>
      <c r="O21">
        <f t="shared" si="0"/>
        <v>1</v>
      </c>
      <c r="P21">
        <f t="shared" si="1"/>
        <v>1.6666666666666667</v>
      </c>
      <c r="Q21">
        <f t="shared" si="2"/>
        <v>1</v>
      </c>
    </row>
    <row r="22" spans="1:17" x14ac:dyDescent="0.2">
      <c r="A22">
        <v>17</v>
      </c>
      <c r="B22">
        <v>8</v>
      </c>
      <c r="C22">
        <v>1.21556</v>
      </c>
      <c r="D22">
        <v>4157.13</v>
      </c>
      <c r="E22">
        <v>10</v>
      </c>
      <c r="F22">
        <v>1.9363999999999999</v>
      </c>
      <c r="G22">
        <v>3992.23</v>
      </c>
      <c r="H22">
        <v>12</v>
      </c>
      <c r="I22">
        <v>1.9377</v>
      </c>
      <c r="J22">
        <v>3851.06</v>
      </c>
      <c r="K22">
        <v>10</v>
      </c>
      <c r="L22">
        <v>1.9363999999999999</v>
      </c>
      <c r="M22">
        <v>6021.85</v>
      </c>
      <c r="O22">
        <f t="shared" si="0"/>
        <v>1.25</v>
      </c>
      <c r="P22">
        <f t="shared" si="1"/>
        <v>1.5</v>
      </c>
      <c r="Q22">
        <f t="shared" si="2"/>
        <v>1.25</v>
      </c>
    </row>
    <row r="23" spans="1:17" x14ac:dyDescent="0.2">
      <c r="A23">
        <v>18</v>
      </c>
      <c r="B23">
        <v>7</v>
      </c>
      <c r="C23">
        <v>1.9550399999999999</v>
      </c>
      <c r="D23">
        <v>5277.82</v>
      </c>
      <c r="E23">
        <v>7</v>
      </c>
      <c r="F23">
        <v>1.9550399999999999</v>
      </c>
      <c r="G23">
        <v>4713.09</v>
      </c>
      <c r="H23">
        <v>10</v>
      </c>
      <c r="I23">
        <v>1.9616199999999999</v>
      </c>
      <c r="J23">
        <v>4090.24</v>
      </c>
      <c r="K23">
        <v>7</v>
      </c>
      <c r="L23">
        <v>1.9550399999999999</v>
      </c>
      <c r="M23">
        <v>5020.7299999999996</v>
      </c>
      <c r="O23">
        <f t="shared" si="0"/>
        <v>1</v>
      </c>
      <c r="P23">
        <f t="shared" si="1"/>
        <v>1.4285714285714286</v>
      </c>
      <c r="Q23">
        <f t="shared" si="2"/>
        <v>1</v>
      </c>
    </row>
    <row r="24" spans="1:17" x14ac:dyDescent="0.2">
      <c r="A24">
        <v>19</v>
      </c>
      <c r="B24">
        <v>4</v>
      </c>
      <c r="C24">
        <v>1.6980599999999999</v>
      </c>
      <c r="D24">
        <v>3863.55</v>
      </c>
      <c r="E24">
        <v>4</v>
      </c>
      <c r="F24">
        <v>1.6980599999999999</v>
      </c>
      <c r="G24">
        <v>3865.86</v>
      </c>
      <c r="H24">
        <v>8</v>
      </c>
      <c r="I24">
        <v>1.73167</v>
      </c>
      <c r="J24">
        <v>3793.24</v>
      </c>
      <c r="K24">
        <v>4</v>
      </c>
      <c r="L24">
        <v>1.6980599999999999</v>
      </c>
      <c r="M24">
        <v>5154.8900000000003</v>
      </c>
      <c r="O24">
        <f t="shared" si="0"/>
        <v>1</v>
      </c>
      <c r="P24">
        <f t="shared" si="1"/>
        <v>2</v>
      </c>
      <c r="Q24">
        <f t="shared" si="2"/>
        <v>1</v>
      </c>
    </row>
    <row r="25" spans="1:17" x14ac:dyDescent="0.2">
      <c r="A25">
        <v>20</v>
      </c>
      <c r="B25">
        <v>5</v>
      </c>
      <c r="C25">
        <v>1.6552199999999999</v>
      </c>
      <c r="D25">
        <v>3887.6</v>
      </c>
      <c r="E25">
        <v>5</v>
      </c>
      <c r="F25">
        <v>1.6552199999999999</v>
      </c>
      <c r="G25">
        <v>3841.78</v>
      </c>
      <c r="H25">
        <v>9</v>
      </c>
      <c r="I25">
        <v>1.68777</v>
      </c>
      <c r="J25">
        <v>3747.92</v>
      </c>
      <c r="K25">
        <v>5</v>
      </c>
      <c r="L25">
        <v>1.6552199999999999</v>
      </c>
      <c r="M25">
        <v>5036.57</v>
      </c>
      <c r="O25">
        <f t="shared" si="0"/>
        <v>1</v>
      </c>
      <c r="P25">
        <f t="shared" si="1"/>
        <v>1.8</v>
      </c>
      <c r="Q25">
        <f t="shared" si="2"/>
        <v>1</v>
      </c>
    </row>
    <row r="26" spans="1:17" x14ac:dyDescent="0.2">
      <c r="A26">
        <v>21</v>
      </c>
      <c r="B26">
        <v>4</v>
      </c>
      <c r="C26">
        <v>1.5401100000000001</v>
      </c>
      <c r="D26">
        <v>3893.99</v>
      </c>
      <c r="E26">
        <v>4</v>
      </c>
      <c r="F26">
        <v>1.5401100000000001</v>
      </c>
      <c r="G26">
        <v>3863.53</v>
      </c>
      <c r="H26">
        <v>9</v>
      </c>
      <c r="I26">
        <v>1.98475</v>
      </c>
      <c r="J26">
        <v>3654.93</v>
      </c>
      <c r="K26">
        <v>4</v>
      </c>
      <c r="L26">
        <v>1.5401100000000001</v>
      </c>
      <c r="M26">
        <v>4957.05</v>
      </c>
      <c r="O26">
        <f t="shared" si="0"/>
        <v>1</v>
      </c>
      <c r="P26">
        <f t="shared" si="1"/>
        <v>2.25</v>
      </c>
      <c r="Q26">
        <f t="shared" si="2"/>
        <v>1</v>
      </c>
    </row>
    <row r="27" spans="1:17" x14ac:dyDescent="0.2">
      <c r="A27">
        <v>22</v>
      </c>
      <c r="B27">
        <v>5</v>
      </c>
      <c r="C27">
        <v>1.73834</v>
      </c>
      <c r="D27">
        <v>3695.94</v>
      </c>
      <c r="E27">
        <v>5</v>
      </c>
      <c r="F27">
        <v>1.73834</v>
      </c>
      <c r="G27">
        <v>3687.1</v>
      </c>
      <c r="H27">
        <v>11</v>
      </c>
      <c r="I27">
        <v>1.81128</v>
      </c>
      <c r="J27">
        <v>3616.47</v>
      </c>
      <c r="K27">
        <v>5</v>
      </c>
      <c r="L27">
        <v>1.73834</v>
      </c>
      <c r="M27">
        <v>4867.32</v>
      </c>
      <c r="O27">
        <f t="shared" si="0"/>
        <v>1</v>
      </c>
      <c r="P27">
        <f t="shared" si="1"/>
        <v>2.2000000000000002</v>
      </c>
      <c r="Q27">
        <f t="shared" si="2"/>
        <v>1</v>
      </c>
    </row>
    <row r="28" spans="1:17" x14ac:dyDescent="0.2">
      <c r="A28">
        <v>23</v>
      </c>
      <c r="B28">
        <v>5</v>
      </c>
      <c r="C28">
        <v>1.9730000000000001</v>
      </c>
      <c r="D28">
        <v>3692.9</v>
      </c>
      <c r="E28">
        <v>5</v>
      </c>
      <c r="F28">
        <v>1.9730000000000001</v>
      </c>
      <c r="G28">
        <v>3683.22</v>
      </c>
      <c r="H28">
        <v>12</v>
      </c>
      <c r="I28">
        <v>1.9997100000000001</v>
      </c>
      <c r="J28">
        <v>3607.04</v>
      </c>
      <c r="K28">
        <v>5</v>
      </c>
      <c r="L28">
        <v>1.9730000000000001</v>
      </c>
      <c r="M28">
        <v>4730.08</v>
      </c>
      <c r="O28">
        <f t="shared" si="0"/>
        <v>1</v>
      </c>
      <c r="P28">
        <f t="shared" si="1"/>
        <v>2.4</v>
      </c>
      <c r="Q28">
        <f t="shared" si="2"/>
        <v>1</v>
      </c>
    </row>
    <row r="29" spans="1:17" x14ac:dyDescent="0.2">
      <c r="A29">
        <v>24</v>
      </c>
      <c r="B29">
        <v>5</v>
      </c>
      <c r="C29">
        <v>1.9730000000000001</v>
      </c>
      <c r="D29">
        <v>3645.78</v>
      </c>
      <c r="E29">
        <v>5</v>
      </c>
      <c r="F29">
        <v>1.9730000000000001</v>
      </c>
      <c r="G29">
        <v>3664.39</v>
      </c>
      <c r="H29">
        <v>12</v>
      </c>
      <c r="I29">
        <v>1.9997100000000001</v>
      </c>
      <c r="J29">
        <v>3550.03</v>
      </c>
      <c r="K29">
        <v>5</v>
      </c>
      <c r="L29">
        <v>1.9730000000000001</v>
      </c>
      <c r="M29">
        <v>4849.51</v>
      </c>
      <c r="O29">
        <f t="shared" si="0"/>
        <v>1</v>
      </c>
      <c r="P29">
        <f t="shared" si="1"/>
        <v>2.4</v>
      </c>
      <c r="Q29">
        <f t="shared" si="2"/>
        <v>1</v>
      </c>
    </row>
    <row r="30" spans="1:17" x14ac:dyDescent="0.2">
      <c r="A30">
        <v>25</v>
      </c>
      <c r="B30">
        <v>4</v>
      </c>
      <c r="C30">
        <v>1.6980599999999999</v>
      </c>
      <c r="D30">
        <v>3682.98</v>
      </c>
      <c r="E30">
        <v>4</v>
      </c>
      <c r="F30">
        <v>1.6980599999999999</v>
      </c>
      <c r="G30">
        <v>3680.58</v>
      </c>
      <c r="H30">
        <v>9</v>
      </c>
      <c r="I30">
        <v>1.83518</v>
      </c>
      <c r="J30">
        <v>3615.48</v>
      </c>
      <c r="K30">
        <v>4</v>
      </c>
      <c r="L30">
        <v>1.6980599999999999</v>
      </c>
      <c r="M30">
        <v>4924.01</v>
      </c>
      <c r="O30">
        <f t="shared" si="0"/>
        <v>1</v>
      </c>
      <c r="P30">
        <f t="shared" si="1"/>
        <v>2.25</v>
      </c>
      <c r="Q30">
        <f t="shared" si="2"/>
        <v>1</v>
      </c>
    </row>
    <row r="31" spans="1:17" x14ac:dyDescent="0.2">
      <c r="A31">
        <v>26</v>
      </c>
      <c r="B31">
        <v>5</v>
      </c>
      <c r="C31">
        <v>1.73834</v>
      </c>
      <c r="D31">
        <v>3704.03</v>
      </c>
      <c r="E31">
        <v>5</v>
      </c>
      <c r="F31">
        <v>1.73834</v>
      </c>
      <c r="G31">
        <v>3658.56</v>
      </c>
      <c r="H31">
        <v>11</v>
      </c>
      <c r="I31">
        <v>1.81128</v>
      </c>
      <c r="J31">
        <v>3545.28</v>
      </c>
      <c r="K31">
        <v>5</v>
      </c>
      <c r="L31">
        <v>1.73834</v>
      </c>
      <c r="M31">
        <v>4864.49</v>
      </c>
      <c r="O31">
        <f>E31/B31</f>
        <v>1</v>
      </c>
      <c r="P31">
        <f>H31/B31</f>
        <v>2.2000000000000002</v>
      </c>
      <c r="Q31">
        <f>K31/B31</f>
        <v>1</v>
      </c>
    </row>
    <row r="32" spans="1:17" x14ac:dyDescent="0.2">
      <c r="A32">
        <v>27</v>
      </c>
      <c r="B32">
        <v>4</v>
      </c>
      <c r="C32">
        <v>1.6980599999999999</v>
      </c>
      <c r="D32">
        <v>4062.82</v>
      </c>
      <c r="E32">
        <v>4</v>
      </c>
      <c r="F32">
        <v>1.6980599999999999</v>
      </c>
      <c r="G32">
        <v>4050.94</v>
      </c>
      <c r="H32">
        <v>8</v>
      </c>
      <c r="I32">
        <v>1.9765200000000001</v>
      </c>
      <c r="J32">
        <v>3588.68</v>
      </c>
      <c r="K32">
        <v>4</v>
      </c>
      <c r="L32">
        <v>1.6980599999999999</v>
      </c>
      <c r="M32">
        <v>5254.37</v>
      </c>
      <c r="O32">
        <f t="shared" ref="O32:O36" si="3">E32/B32</f>
        <v>1</v>
      </c>
      <c r="P32">
        <f t="shared" ref="P32:P36" si="4">H32/B32</f>
        <v>2</v>
      </c>
      <c r="Q32">
        <f t="shared" ref="Q32:Q36" si="5">K32/B32</f>
        <v>1</v>
      </c>
    </row>
    <row r="33" spans="1:17" x14ac:dyDescent="0.2">
      <c r="A33">
        <v>28</v>
      </c>
      <c r="B33">
        <v>4</v>
      </c>
      <c r="C33">
        <v>1.6980599999999999</v>
      </c>
      <c r="D33">
        <v>4080.48</v>
      </c>
      <c r="E33">
        <v>4</v>
      </c>
      <c r="F33">
        <v>1.6980599999999999</v>
      </c>
      <c r="G33">
        <v>4073.36</v>
      </c>
      <c r="H33">
        <v>8</v>
      </c>
      <c r="I33">
        <v>1.9765200000000001</v>
      </c>
      <c r="J33">
        <v>3572.88</v>
      </c>
      <c r="K33">
        <v>4</v>
      </c>
      <c r="L33">
        <v>1.6980599999999999</v>
      </c>
      <c r="M33">
        <v>5101.9799999999996</v>
      </c>
      <c r="O33">
        <f t="shared" si="3"/>
        <v>1</v>
      </c>
      <c r="P33">
        <f t="shared" si="4"/>
        <v>2</v>
      </c>
      <c r="Q33">
        <f t="shared" si="5"/>
        <v>1</v>
      </c>
    </row>
    <row r="34" spans="1:17" x14ac:dyDescent="0.2">
      <c r="A34">
        <v>29</v>
      </c>
      <c r="B34">
        <v>4</v>
      </c>
      <c r="C34">
        <v>1.5401100000000001</v>
      </c>
      <c r="D34">
        <v>4068.26</v>
      </c>
      <c r="E34">
        <v>4</v>
      </c>
      <c r="F34">
        <v>1.5401100000000001</v>
      </c>
      <c r="G34">
        <v>3995</v>
      </c>
      <c r="H34">
        <v>11</v>
      </c>
      <c r="I34">
        <v>1.8801300000000001</v>
      </c>
      <c r="J34">
        <v>3606.95</v>
      </c>
      <c r="K34">
        <v>4</v>
      </c>
      <c r="L34">
        <v>1.5401100000000001</v>
      </c>
      <c r="M34">
        <v>5228.3500000000004</v>
      </c>
      <c r="O34">
        <f t="shared" si="3"/>
        <v>1</v>
      </c>
      <c r="P34">
        <f t="shared" si="4"/>
        <v>2.75</v>
      </c>
      <c r="Q34">
        <f t="shared" si="5"/>
        <v>1</v>
      </c>
    </row>
    <row r="35" spans="1:17" x14ac:dyDescent="0.2">
      <c r="A35">
        <v>30</v>
      </c>
      <c r="B35">
        <v>5</v>
      </c>
      <c r="C35">
        <v>1.3734</v>
      </c>
      <c r="D35">
        <v>3864.85</v>
      </c>
      <c r="E35">
        <v>5</v>
      </c>
      <c r="F35">
        <v>1.3734</v>
      </c>
      <c r="G35">
        <v>3838.3</v>
      </c>
      <c r="H35">
        <v>8</v>
      </c>
      <c r="I35">
        <v>1.3742799999999999</v>
      </c>
      <c r="J35">
        <v>3754.82</v>
      </c>
      <c r="K35">
        <v>5</v>
      </c>
      <c r="L35">
        <v>1.3734</v>
      </c>
      <c r="M35">
        <v>4867.1400000000003</v>
      </c>
      <c r="O35">
        <f t="shared" si="3"/>
        <v>1</v>
      </c>
      <c r="P35">
        <f t="shared" si="4"/>
        <v>1.6</v>
      </c>
      <c r="Q35">
        <f t="shared" si="5"/>
        <v>1</v>
      </c>
    </row>
    <row r="36" spans="1:17" x14ac:dyDescent="0.2">
      <c r="A36">
        <v>31</v>
      </c>
      <c r="B36">
        <v>4</v>
      </c>
      <c r="C36">
        <v>1.5401100000000001</v>
      </c>
      <c r="D36">
        <v>3771.96</v>
      </c>
      <c r="E36">
        <v>4</v>
      </c>
      <c r="F36">
        <v>1.5401100000000001</v>
      </c>
      <c r="G36">
        <v>3894.41</v>
      </c>
      <c r="H36">
        <v>9</v>
      </c>
      <c r="I36">
        <v>1.98475</v>
      </c>
      <c r="J36">
        <v>3553.82</v>
      </c>
      <c r="K36">
        <v>4</v>
      </c>
      <c r="L36">
        <v>1.5401100000000001</v>
      </c>
      <c r="M36">
        <v>4959.8999999999996</v>
      </c>
      <c r="O36">
        <f t="shared" si="3"/>
        <v>1</v>
      </c>
      <c r="P36">
        <f t="shared" si="4"/>
        <v>2.25</v>
      </c>
      <c r="Q36">
        <f t="shared" si="5"/>
        <v>1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10</v>
      </c>
      <c r="C40" s="1">
        <f t="shared" ref="C40:M40" si="6">MAX(C5:C36)</f>
        <v>1.9730000000000001</v>
      </c>
      <c r="D40" s="1">
        <f t="shared" si="6"/>
        <v>8040.24</v>
      </c>
      <c r="E40" s="1">
        <f t="shared" si="6"/>
        <v>14</v>
      </c>
      <c r="F40" s="1">
        <f t="shared" si="6"/>
        <v>1.9774099999999999</v>
      </c>
      <c r="G40" s="1">
        <f t="shared" si="6"/>
        <v>5551.54</v>
      </c>
      <c r="H40" s="1">
        <f t="shared" si="6"/>
        <v>18</v>
      </c>
      <c r="I40" s="1">
        <f t="shared" si="6"/>
        <v>1.9997100000000001</v>
      </c>
      <c r="J40" s="1">
        <f t="shared" si="6"/>
        <v>5654.68</v>
      </c>
      <c r="K40" s="1">
        <f t="shared" si="6"/>
        <v>14</v>
      </c>
      <c r="L40" s="1">
        <f t="shared" si="6"/>
        <v>1.9774099999999999</v>
      </c>
      <c r="M40" s="1">
        <f t="shared" si="6"/>
        <v>6021.85</v>
      </c>
      <c r="N40" s="1">
        <v>1</v>
      </c>
      <c r="O40" s="1">
        <f t="shared" ref="O40:Q40" si="7">MAX(O5:O36)</f>
        <v>2</v>
      </c>
      <c r="P40" s="1">
        <f t="shared" si="7"/>
        <v>2.75</v>
      </c>
      <c r="Q40" s="1">
        <f t="shared" si="7"/>
        <v>2</v>
      </c>
    </row>
    <row r="41" spans="1:17" x14ac:dyDescent="0.2">
      <c r="A41" t="s">
        <v>12</v>
      </c>
      <c r="B41" s="1">
        <f>MIN(B5:B36)</f>
        <v>4</v>
      </c>
      <c r="C41" s="1">
        <f t="shared" ref="C41:M41" si="8">MIN(C5:C36)</f>
        <v>1.1336599999999999</v>
      </c>
      <c r="D41" s="1">
        <f t="shared" si="8"/>
        <v>3645.78</v>
      </c>
      <c r="E41" s="1">
        <f t="shared" si="8"/>
        <v>4</v>
      </c>
      <c r="F41" s="1">
        <f t="shared" si="8"/>
        <v>1.1336599999999999</v>
      </c>
      <c r="G41" s="1">
        <f t="shared" si="8"/>
        <v>3658.56</v>
      </c>
      <c r="H41" s="1">
        <f t="shared" si="8"/>
        <v>7</v>
      </c>
      <c r="I41" s="1">
        <f t="shared" si="8"/>
        <v>1.05253</v>
      </c>
      <c r="J41" s="1">
        <f t="shared" si="8"/>
        <v>3545.28</v>
      </c>
      <c r="K41" s="1">
        <f t="shared" si="8"/>
        <v>4</v>
      </c>
      <c r="L41" s="1">
        <f t="shared" si="8"/>
        <v>1.1336599999999999</v>
      </c>
      <c r="M41" s="1">
        <f t="shared" si="8"/>
        <v>4471.04</v>
      </c>
      <c r="N41" s="1">
        <v>1</v>
      </c>
      <c r="O41" s="1">
        <f t="shared" ref="O41:Q41" si="9">MIN(O5:O36)</f>
        <v>1</v>
      </c>
      <c r="P41" s="1">
        <f t="shared" si="9"/>
        <v>1.2857142857142858</v>
      </c>
      <c r="Q41" s="1">
        <f t="shared" si="9"/>
        <v>1</v>
      </c>
    </row>
    <row r="42" spans="1:17" x14ac:dyDescent="0.2">
      <c r="A42" t="s">
        <v>13</v>
      </c>
      <c r="B42" s="1">
        <f>MEDIAN(B5:B36)</f>
        <v>5</v>
      </c>
      <c r="C42" s="1">
        <f t="shared" ref="C42:M42" si="10">MEDIAN(C5:C36)</f>
        <v>1.5976650000000001</v>
      </c>
      <c r="D42" s="1">
        <f t="shared" si="10"/>
        <v>4067.3450000000003</v>
      </c>
      <c r="E42" s="1">
        <f t="shared" si="10"/>
        <v>5</v>
      </c>
      <c r="F42" s="1">
        <f t="shared" si="10"/>
        <v>1.6552199999999999</v>
      </c>
      <c r="G42" s="1">
        <f t="shared" si="10"/>
        <v>4049.855</v>
      </c>
      <c r="H42" s="1">
        <f t="shared" si="10"/>
        <v>9</v>
      </c>
      <c r="I42" s="1">
        <f t="shared" si="10"/>
        <v>1.8801300000000001</v>
      </c>
      <c r="J42" s="1">
        <f t="shared" si="10"/>
        <v>3874.7950000000001</v>
      </c>
      <c r="K42" s="1">
        <f t="shared" si="10"/>
        <v>5</v>
      </c>
      <c r="L42" s="1">
        <f t="shared" si="10"/>
        <v>1.6552199999999999</v>
      </c>
      <c r="M42" s="1">
        <f t="shared" si="10"/>
        <v>5073.6049999999996</v>
      </c>
      <c r="N42" s="1">
        <v>1</v>
      </c>
      <c r="O42" s="1">
        <f t="shared" ref="O42:Q42" si="11">MEDIAN(O5:O36)</f>
        <v>1</v>
      </c>
      <c r="P42" s="1">
        <f t="shared" si="11"/>
        <v>2.1</v>
      </c>
      <c r="Q42" s="1">
        <f t="shared" si="11"/>
        <v>1</v>
      </c>
    </row>
    <row r="43" spans="1:17" x14ac:dyDescent="0.2">
      <c r="A43" t="s">
        <v>14</v>
      </c>
      <c r="B43" s="1">
        <f>AVERAGE(B5:B36)</f>
        <v>5</v>
      </c>
      <c r="C43" s="1">
        <f t="shared" ref="C43:M43" si="12">AVERAGE(C5:C36)</f>
        <v>1.6073259374999993</v>
      </c>
      <c r="D43" s="1">
        <f t="shared" si="12"/>
        <v>4287.8243749999992</v>
      </c>
      <c r="E43" s="1">
        <f t="shared" si="12"/>
        <v>5.28125</v>
      </c>
      <c r="F43" s="1">
        <f t="shared" si="12"/>
        <v>1.6305512499999995</v>
      </c>
      <c r="G43" s="1">
        <f t="shared" si="12"/>
        <v>4170.8221874999999</v>
      </c>
      <c r="H43" s="1">
        <f t="shared" si="12"/>
        <v>9.8125</v>
      </c>
      <c r="I43" s="1">
        <f t="shared" si="12"/>
        <v>1.8094062500000003</v>
      </c>
      <c r="J43" s="1">
        <f t="shared" si="12"/>
        <v>3945.03125</v>
      </c>
      <c r="K43" s="1">
        <f t="shared" si="12"/>
        <v>5.28125</v>
      </c>
      <c r="L43" s="1">
        <f t="shared" si="12"/>
        <v>1.6305512499999995</v>
      </c>
      <c r="M43" s="1">
        <f t="shared" si="12"/>
        <v>5100.9315624999999</v>
      </c>
      <c r="N43" s="4">
        <v>1</v>
      </c>
      <c r="O43" s="4">
        <f t="shared" ref="O43:Q43" si="13">AVERAGE(O5:O36)</f>
        <v>1.0390625</v>
      </c>
      <c r="P43" s="4">
        <f t="shared" si="13"/>
        <v>2.031324404761905</v>
      </c>
      <c r="Q43" s="4">
        <f t="shared" si="13"/>
        <v>1.0390625</v>
      </c>
    </row>
    <row r="44" spans="1:17" x14ac:dyDescent="0.2">
      <c r="A44" t="s">
        <v>15</v>
      </c>
      <c r="B44" s="1">
        <f>STDEV(B5:B36)</f>
        <v>1.4142135623730951</v>
      </c>
      <c r="C44" s="1">
        <f t="shared" ref="C44:M44" si="14">STDEV(C5:C36)</f>
        <v>0.20393424843062968</v>
      </c>
      <c r="D44" s="1">
        <f t="shared" si="14"/>
        <v>828.31912404828893</v>
      </c>
      <c r="E44" s="1">
        <f t="shared" si="14"/>
        <v>2.2177346040934536</v>
      </c>
      <c r="F44" s="1">
        <f t="shared" si="14"/>
        <v>0.2002312821222601</v>
      </c>
      <c r="G44" s="1">
        <f t="shared" si="14"/>
        <v>477.73532614817742</v>
      </c>
      <c r="H44" s="1">
        <f t="shared" si="14"/>
        <v>2.0858586844781462</v>
      </c>
      <c r="I44" s="1">
        <f t="shared" si="14"/>
        <v>0.23836589807715189</v>
      </c>
      <c r="J44" s="1">
        <f t="shared" si="14"/>
        <v>456.33115409578318</v>
      </c>
      <c r="K44" s="1">
        <f t="shared" si="14"/>
        <v>2.2177346040934536</v>
      </c>
      <c r="L44" s="1">
        <f t="shared" si="14"/>
        <v>0.2002312821222601</v>
      </c>
      <c r="M44" s="1">
        <f t="shared" si="14"/>
        <v>350.92596680054783</v>
      </c>
      <c r="N44" s="1">
        <v>1</v>
      </c>
      <c r="O44" s="1">
        <f t="shared" ref="O44:Q44" si="15">STDEV(O5:O36)</f>
        <v>0.18082890460857048</v>
      </c>
      <c r="P44" s="1">
        <f t="shared" si="15"/>
        <v>0.41776970931114765</v>
      </c>
      <c r="Q44" s="1">
        <f t="shared" si="15"/>
        <v>0.18082890460857048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3"/>
  <sheetViews>
    <sheetView tabSelected="1" workbookViewId="0">
      <selection sqref="A1:B8"/>
    </sheetView>
  </sheetViews>
  <sheetFormatPr baseColWidth="10" defaultRowHeight="16" x14ac:dyDescent="0.2"/>
  <cols>
    <col min="2" max="2" width="17.33203125" bestFit="1" customWidth="1"/>
    <col min="3" max="3" width="17.33203125" customWidth="1"/>
    <col min="4" max="4" width="18" bestFit="1" customWidth="1"/>
    <col min="5" max="5" width="17.6640625" bestFit="1" customWidth="1"/>
    <col min="6" max="6" width="17.1640625" bestFit="1" customWidth="1"/>
    <col min="7" max="7" width="9.1640625" bestFit="1" customWidth="1"/>
    <col min="8" max="8" width="12.1640625" bestFit="1" customWidth="1"/>
    <col min="9" max="9" width="11.5" bestFit="1" customWidth="1"/>
    <col min="10" max="10" width="6.83203125" customWidth="1"/>
    <col min="11" max="11" width="11.1640625" bestFit="1" customWidth="1"/>
    <col min="12" max="12" width="12.1640625" bestFit="1" customWidth="1"/>
    <col min="13" max="13" width="20.1640625" bestFit="1" customWidth="1"/>
    <col min="14" max="14" width="6.83203125" bestFit="1" customWidth="1"/>
    <col min="15" max="15" width="12.5" bestFit="1" customWidth="1"/>
    <col min="16" max="20" width="12.1640625" bestFit="1" customWidth="1"/>
    <col min="21" max="24" width="6.83203125" customWidth="1"/>
    <col min="25" max="25" width="12.5" bestFit="1" customWidth="1"/>
    <col min="26" max="30" width="12.1640625" bestFit="1" customWidth="1"/>
    <col min="31" max="34" width="6.83203125" customWidth="1"/>
    <col min="36" max="36" width="9.1640625" bestFit="1" customWidth="1"/>
  </cols>
  <sheetData>
    <row r="1" spans="1:10" x14ac:dyDescent="0.2">
      <c r="A1" t="s">
        <v>26</v>
      </c>
      <c r="B1" t="s">
        <v>27</v>
      </c>
      <c r="C1" t="s">
        <v>18</v>
      </c>
      <c r="D1" t="s">
        <v>19</v>
      </c>
      <c r="E1" t="s">
        <v>20</v>
      </c>
      <c r="F1" t="s">
        <v>21</v>
      </c>
    </row>
    <row r="2" spans="1:10" x14ac:dyDescent="0.2">
      <c r="A2">
        <v>1</v>
      </c>
      <c r="B2" t="s">
        <v>23</v>
      </c>
      <c r="C2" s="2">
        <v>1</v>
      </c>
      <c r="D2" s="1">
        <v>1.0107724894929804</v>
      </c>
      <c r="E2" s="1">
        <v>1.0681268360628051</v>
      </c>
      <c r="F2">
        <v>1.0185985341760126</v>
      </c>
    </row>
    <row r="3" spans="1:10" x14ac:dyDescent="0.2">
      <c r="A3">
        <v>2</v>
      </c>
      <c r="B3" t="s">
        <v>24</v>
      </c>
      <c r="C3" s="2">
        <v>1</v>
      </c>
      <c r="D3" s="2">
        <v>1</v>
      </c>
      <c r="E3" s="1">
        <v>1.8701884920634921</v>
      </c>
      <c r="F3" s="1">
        <v>1</v>
      </c>
    </row>
    <row r="4" spans="1:10" x14ac:dyDescent="0.2">
      <c r="A4">
        <v>3</v>
      </c>
      <c r="B4" t="s">
        <v>28</v>
      </c>
      <c r="C4" s="2">
        <v>1</v>
      </c>
      <c r="D4" s="2">
        <v>1.01875</v>
      </c>
      <c r="E4" s="1">
        <v>1.384114583333333</v>
      </c>
      <c r="F4" s="1">
        <v>1.01875</v>
      </c>
    </row>
    <row r="5" spans="1:10" x14ac:dyDescent="0.2">
      <c r="A5">
        <v>4</v>
      </c>
      <c r="B5" t="s">
        <v>29</v>
      </c>
      <c r="C5" s="2">
        <v>1</v>
      </c>
      <c r="D5" s="2">
        <v>1.5</v>
      </c>
      <c r="E5" s="1">
        <v>2.5000000000000004</v>
      </c>
      <c r="F5" s="1">
        <v>1.6250000000000002</v>
      </c>
      <c r="G5" s="1"/>
      <c r="H5" s="1"/>
      <c r="I5" s="1"/>
      <c r="J5" s="1"/>
    </row>
    <row r="6" spans="1:10" x14ac:dyDescent="0.2">
      <c r="A6">
        <v>5</v>
      </c>
      <c r="B6" t="s">
        <v>30</v>
      </c>
      <c r="C6" s="2">
        <v>1</v>
      </c>
      <c r="D6" s="2">
        <v>1</v>
      </c>
      <c r="E6" s="1">
        <v>1.4750000000000005</v>
      </c>
      <c r="F6" s="1">
        <v>1.04375</v>
      </c>
      <c r="G6" s="1"/>
      <c r="H6" s="1"/>
      <c r="I6" s="1"/>
      <c r="J6" s="1"/>
    </row>
    <row r="7" spans="1:10" x14ac:dyDescent="0.2">
      <c r="A7">
        <v>6</v>
      </c>
      <c r="B7" t="s">
        <v>31</v>
      </c>
      <c r="C7" s="2">
        <v>1</v>
      </c>
      <c r="D7" s="2">
        <v>1.0416666666666665</v>
      </c>
      <c r="E7" s="1">
        <v>1.8572956367036626</v>
      </c>
      <c r="F7" s="1">
        <v>1.0729166666666665</v>
      </c>
      <c r="G7" s="1"/>
      <c r="H7" s="1"/>
      <c r="I7" s="1"/>
      <c r="J7" s="1"/>
    </row>
    <row r="8" spans="1:10" x14ac:dyDescent="0.2">
      <c r="A8">
        <v>7</v>
      </c>
      <c r="B8" t="s">
        <v>25</v>
      </c>
      <c r="C8" s="2">
        <v>1</v>
      </c>
      <c r="D8" s="2">
        <v>1.0390625</v>
      </c>
      <c r="E8" s="1">
        <v>2.031324404761905</v>
      </c>
      <c r="F8" s="1">
        <v>1.0390625</v>
      </c>
      <c r="G8" s="1"/>
      <c r="H8" s="1"/>
      <c r="I8" s="1"/>
      <c r="J8" s="1"/>
    </row>
    <row r="9" spans="1:10" x14ac:dyDescent="0.2">
      <c r="D9" s="2"/>
      <c r="E9" s="1"/>
      <c r="F9" s="1"/>
      <c r="G9" s="1"/>
      <c r="H9" s="1"/>
      <c r="I9" s="1"/>
      <c r="J9" s="1"/>
    </row>
    <row r="10" spans="1:10" x14ac:dyDescent="0.2">
      <c r="D10" s="2"/>
      <c r="E10" s="1"/>
      <c r="F10" s="1"/>
      <c r="G10" s="1"/>
      <c r="H10" s="1"/>
      <c r="I10" s="1"/>
      <c r="J10" s="1"/>
    </row>
    <row r="11" spans="1:10" x14ac:dyDescent="0.2">
      <c r="D11" s="2"/>
      <c r="E11" s="1"/>
      <c r="F11" s="1"/>
      <c r="G11" s="1"/>
      <c r="H11" s="1"/>
      <c r="I11" s="1"/>
      <c r="J11" s="1"/>
    </row>
    <row r="12" spans="1:10" x14ac:dyDescent="0.2">
      <c r="D12" s="2"/>
      <c r="E12" s="1"/>
      <c r="F12" s="1"/>
      <c r="G12" s="1"/>
      <c r="H12" s="1"/>
      <c r="I12" s="1"/>
      <c r="J12" s="1"/>
    </row>
    <row r="13" spans="1:10" x14ac:dyDescent="0.2">
      <c r="D13" s="2"/>
      <c r="E13" s="1"/>
      <c r="F13" s="1"/>
      <c r="G13" s="1"/>
      <c r="H13" s="1"/>
      <c r="I13" s="1"/>
      <c r="J13" s="1"/>
    </row>
    <row r="14" spans="1:10" x14ac:dyDescent="0.2">
      <c r="D14" s="2"/>
      <c r="E14" s="1"/>
      <c r="F14" s="1"/>
      <c r="G14" s="1"/>
      <c r="H14" s="1"/>
      <c r="I14" s="1"/>
      <c r="J14" s="1"/>
    </row>
    <row r="28" spans="2:34" x14ac:dyDescent="0.2">
      <c r="E28" s="5"/>
      <c r="F28" s="5"/>
      <c r="G28" s="3"/>
      <c r="H28" s="3"/>
      <c r="I28" s="3"/>
      <c r="J28" s="3"/>
    </row>
    <row r="29" spans="2:34" x14ac:dyDescent="0.2">
      <c r="B29" s="2"/>
      <c r="C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2:34" x14ac:dyDescent="0.2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2:34" x14ac:dyDescent="0.2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2:34" x14ac:dyDescent="0.2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2:34" x14ac:dyDescent="0.2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</sheetData>
  <mergeCells count="1">
    <mergeCell ref="E28:F28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grids</vt:lpstr>
      <vt:lpstr>sphere_c</vt:lpstr>
      <vt:lpstr>sphere_t</vt:lpstr>
      <vt:lpstr>cylinder_r</vt:lpstr>
      <vt:lpstr>cylinder_s</vt:lpstr>
      <vt:lpstr>cylinder_a</vt:lpstr>
      <vt:lpstr>random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2018-05-08T01:58:12Z</dcterms:modified>
</cp:coreProperties>
</file>