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ssp/"/>
    </mc:Choice>
  </mc:AlternateContent>
  <xr:revisionPtr revIDLastSave="0" documentId="13_ncr:1_{7033D1B6-F46D-E241-9853-BA16659E6ABB}" xr6:coauthVersionLast="32" xr6:coauthVersionMax="32" xr10:uidLastSave="{00000000-0000-0000-0000-000000000000}"/>
  <bookViews>
    <workbookView xWindow="1600" yWindow="460" windowWidth="21800" windowHeight="13940" tabRatio="500" activeTab="7" xr2:uid="{00000000-000D-0000-FFFF-FFFF00000000}"/>
  </bookViews>
  <sheets>
    <sheet name="grids" sheetId="1" r:id="rId1"/>
    <sheet name="random" sheetId="7" r:id="rId2"/>
    <sheet name="sphere_c" sheetId="9" r:id="rId3"/>
    <sheet name="sphere_t" sheetId="8" r:id="rId4"/>
    <sheet name="cylinder_r" sheetId="10" r:id="rId5"/>
    <sheet name="cylinder_s" sheetId="11" r:id="rId6"/>
    <sheet name="cylinder_a" sheetId="12" r:id="rId7"/>
    <sheet name="Summary" sheetId="6" r:id="rId8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8" i="6" l="1"/>
  <c r="E38" i="6"/>
  <c r="F38" i="6"/>
  <c r="G38" i="6"/>
  <c r="H38" i="6"/>
  <c r="I38" i="6"/>
  <c r="D39" i="6"/>
  <c r="E39" i="6"/>
  <c r="F39" i="6"/>
  <c r="G39" i="6"/>
  <c r="H39" i="6"/>
  <c r="I39" i="6"/>
  <c r="D40" i="6"/>
  <c r="E40" i="6"/>
  <c r="F40" i="6"/>
  <c r="G40" i="6"/>
  <c r="H40" i="6"/>
  <c r="I40" i="6"/>
  <c r="D41" i="6"/>
  <c r="E41" i="6"/>
  <c r="F41" i="6"/>
  <c r="G41" i="6"/>
  <c r="H41" i="6"/>
  <c r="I41" i="6"/>
  <c r="D42" i="6"/>
  <c r="E42" i="6"/>
  <c r="F42" i="6"/>
  <c r="G42" i="6"/>
  <c r="H42" i="6"/>
  <c r="I42" i="6"/>
  <c r="D43" i="6"/>
  <c r="E43" i="6"/>
  <c r="F43" i="6"/>
  <c r="G43" i="6"/>
  <c r="H43" i="6"/>
  <c r="I43" i="6"/>
  <c r="D44" i="6"/>
  <c r="E44" i="6"/>
  <c r="F44" i="6"/>
  <c r="G44" i="6"/>
  <c r="H44" i="6"/>
  <c r="I44" i="6"/>
  <c r="D45" i="6"/>
  <c r="E45" i="6"/>
  <c r="F45" i="6"/>
  <c r="G45" i="6"/>
  <c r="H45" i="6"/>
  <c r="I45" i="6"/>
  <c r="D46" i="6"/>
  <c r="E46" i="6"/>
  <c r="F46" i="6"/>
  <c r="G46" i="6"/>
  <c r="H46" i="6"/>
  <c r="I46" i="6"/>
  <c r="D47" i="6"/>
  <c r="E47" i="6"/>
  <c r="F47" i="6"/>
  <c r="G47" i="6"/>
  <c r="H47" i="6"/>
  <c r="I47" i="6"/>
  <c r="I37" i="6"/>
  <c r="H37" i="6"/>
  <c r="G37" i="6"/>
  <c r="F37" i="6"/>
  <c r="E37" i="6"/>
  <c r="D37" i="6"/>
  <c r="C38" i="6"/>
  <c r="C39" i="6"/>
  <c r="C40" i="6"/>
  <c r="C41" i="6"/>
  <c r="C42" i="6"/>
  <c r="C43" i="6"/>
  <c r="C44" i="6"/>
  <c r="C45" i="6"/>
  <c r="C46" i="6"/>
  <c r="C47" i="6"/>
  <c r="C37" i="6"/>
  <c r="Q14" i="12"/>
  <c r="P14" i="12"/>
  <c r="O14" i="12"/>
  <c r="Q13" i="12"/>
  <c r="P13" i="12"/>
  <c r="O13" i="12"/>
  <c r="Q12" i="12"/>
  <c r="P12" i="12"/>
  <c r="O12" i="12"/>
  <c r="Q11" i="12"/>
  <c r="P11" i="12"/>
  <c r="O11" i="12"/>
  <c r="Q10" i="12"/>
  <c r="P10" i="12"/>
  <c r="O10" i="12"/>
  <c r="Q9" i="12"/>
  <c r="P9" i="12"/>
  <c r="O9" i="12"/>
  <c r="Q8" i="12"/>
  <c r="P8" i="12"/>
  <c r="O8" i="12"/>
  <c r="Q7" i="12"/>
  <c r="P7" i="12"/>
  <c r="O7" i="12"/>
  <c r="Q6" i="12"/>
  <c r="P6" i="12"/>
  <c r="O6" i="12"/>
  <c r="Q5" i="12"/>
  <c r="P5" i="12"/>
  <c r="O5" i="12"/>
  <c r="Q4" i="12"/>
  <c r="P4" i="12"/>
  <c r="O4" i="12"/>
  <c r="Q14" i="11"/>
  <c r="P14" i="11"/>
  <c r="O14" i="11"/>
  <c r="Q13" i="11"/>
  <c r="P13" i="11"/>
  <c r="O13" i="11"/>
  <c r="Q12" i="11"/>
  <c r="P12" i="11"/>
  <c r="O12" i="11"/>
  <c r="Q11" i="11"/>
  <c r="P11" i="11"/>
  <c r="O11" i="11"/>
  <c r="Q10" i="11"/>
  <c r="P10" i="11"/>
  <c r="O10" i="11"/>
  <c r="Q9" i="11"/>
  <c r="P9" i="11"/>
  <c r="O9" i="11"/>
  <c r="Q8" i="11"/>
  <c r="P8" i="11"/>
  <c r="O8" i="11"/>
  <c r="Q7" i="11"/>
  <c r="P7" i="11"/>
  <c r="O7" i="11"/>
  <c r="Q6" i="11"/>
  <c r="P6" i="11"/>
  <c r="O6" i="11"/>
  <c r="Q5" i="11"/>
  <c r="P5" i="11"/>
  <c r="O5" i="11"/>
  <c r="Q4" i="11"/>
  <c r="P4" i="11"/>
  <c r="O4" i="11"/>
  <c r="Q14" i="10"/>
  <c r="P14" i="10"/>
  <c r="O14" i="10"/>
  <c r="Q13" i="10"/>
  <c r="P13" i="10"/>
  <c r="O13" i="10"/>
  <c r="Q12" i="10"/>
  <c r="P12" i="10"/>
  <c r="O12" i="10"/>
  <c r="Q11" i="10"/>
  <c r="P11" i="10"/>
  <c r="O11" i="10"/>
  <c r="Q10" i="10"/>
  <c r="P10" i="10"/>
  <c r="O10" i="10"/>
  <c r="Q9" i="10"/>
  <c r="P9" i="10"/>
  <c r="O9" i="10"/>
  <c r="Q8" i="10"/>
  <c r="P8" i="10"/>
  <c r="O8" i="10"/>
  <c r="Q7" i="10"/>
  <c r="P7" i="10"/>
  <c r="O7" i="10"/>
  <c r="Q6" i="10"/>
  <c r="P6" i="10"/>
  <c r="O6" i="10"/>
  <c r="Q5" i="10"/>
  <c r="P5" i="10"/>
  <c r="O5" i="10"/>
  <c r="Q4" i="10"/>
  <c r="P4" i="10"/>
  <c r="O4" i="10"/>
  <c r="Q14" i="8"/>
  <c r="P14" i="8"/>
  <c r="O14" i="8"/>
  <c r="Q13" i="8"/>
  <c r="P13" i="8"/>
  <c r="O13" i="8"/>
  <c r="Q12" i="8"/>
  <c r="P12" i="8"/>
  <c r="O12" i="8"/>
  <c r="Q11" i="8"/>
  <c r="P11" i="8"/>
  <c r="O11" i="8"/>
  <c r="Q10" i="8"/>
  <c r="P10" i="8"/>
  <c r="O10" i="8"/>
  <c r="Q9" i="8"/>
  <c r="P9" i="8"/>
  <c r="O9" i="8"/>
  <c r="Q8" i="8"/>
  <c r="P8" i="8"/>
  <c r="O8" i="8"/>
  <c r="Q7" i="8"/>
  <c r="P7" i="8"/>
  <c r="O7" i="8"/>
  <c r="Q6" i="8"/>
  <c r="P6" i="8"/>
  <c r="O6" i="8"/>
  <c r="Q5" i="8"/>
  <c r="P5" i="8"/>
  <c r="O5" i="8"/>
  <c r="Q4" i="8"/>
  <c r="P4" i="8"/>
  <c r="O4" i="8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Q4" i="9"/>
  <c r="P4" i="9"/>
  <c r="O4" i="9"/>
  <c r="Q14" i="7"/>
  <c r="P14" i="7"/>
  <c r="O14" i="7"/>
  <c r="Q13" i="7"/>
  <c r="P13" i="7"/>
  <c r="O13" i="7"/>
  <c r="Q12" i="7"/>
  <c r="P12" i="7"/>
  <c r="O12" i="7"/>
  <c r="Q11" i="7"/>
  <c r="P11" i="7"/>
  <c r="O11" i="7"/>
  <c r="Q10" i="7"/>
  <c r="P10" i="7"/>
  <c r="O10" i="7"/>
  <c r="Q9" i="7"/>
  <c r="P9" i="7"/>
  <c r="O9" i="7"/>
  <c r="Q8" i="7"/>
  <c r="P8" i="7"/>
  <c r="O8" i="7"/>
  <c r="Q7" i="7"/>
  <c r="P7" i="7"/>
  <c r="O7" i="7"/>
  <c r="Q6" i="7"/>
  <c r="P6" i="7"/>
  <c r="O6" i="7"/>
  <c r="Q5" i="7"/>
  <c r="P5" i="7"/>
  <c r="O5" i="7"/>
  <c r="Q4" i="7"/>
  <c r="P4" i="7"/>
  <c r="O4" i="7"/>
  <c r="Q5" i="1"/>
  <c r="Q6" i="1"/>
  <c r="Q7" i="1"/>
  <c r="Q8" i="1"/>
  <c r="Q9" i="1"/>
  <c r="Q10" i="1"/>
  <c r="Q11" i="1"/>
  <c r="Q12" i="1"/>
  <c r="Q13" i="1"/>
  <c r="Q14" i="1"/>
  <c r="Q4" i="1"/>
  <c r="P5" i="1"/>
  <c r="P6" i="1"/>
  <c r="P7" i="1"/>
  <c r="P8" i="1"/>
  <c r="P9" i="1"/>
  <c r="P10" i="1"/>
  <c r="P11" i="1"/>
  <c r="P12" i="1"/>
  <c r="P13" i="1"/>
  <c r="P14" i="1"/>
  <c r="P4" i="1"/>
  <c r="O5" i="1"/>
  <c r="O6" i="1"/>
  <c r="O7" i="1"/>
  <c r="O8" i="1"/>
  <c r="O9" i="1"/>
  <c r="O10" i="1"/>
  <c r="O11" i="1"/>
  <c r="O12" i="1"/>
  <c r="O13" i="1"/>
  <c r="O14" i="1"/>
  <c r="O4" i="1"/>
  <c r="E24" i="6" l="1"/>
  <c r="F24" i="6"/>
  <c r="G24" i="6"/>
  <c r="H24" i="6"/>
  <c r="I24" i="6"/>
  <c r="E25" i="6"/>
  <c r="F25" i="6"/>
  <c r="G25" i="6"/>
  <c r="H25" i="6"/>
  <c r="I25" i="6"/>
  <c r="E26" i="6"/>
  <c r="F26" i="6"/>
  <c r="G26" i="6"/>
  <c r="H26" i="6"/>
  <c r="I26" i="6"/>
  <c r="E27" i="6"/>
  <c r="F27" i="6"/>
  <c r="G27" i="6"/>
  <c r="H27" i="6"/>
  <c r="I27" i="6"/>
  <c r="E28" i="6"/>
  <c r="F28" i="6"/>
  <c r="G28" i="6"/>
  <c r="H28" i="6"/>
  <c r="I28" i="6"/>
  <c r="E29" i="6"/>
  <c r="F29" i="6"/>
  <c r="G29" i="6"/>
  <c r="H29" i="6"/>
  <c r="I29" i="6"/>
  <c r="E30" i="6"/>
  <c r="F30" i="6"/>
  <c r="G30" i="6"/>
  <c r="H30" i="6"/>
  <c r="I30" i="6"/>
  <c r="E31" i="6"/>
  <c r="F31" i="6"/>
  <c r="G31" i="6"/>
  <c r="H31" i="6"/>
  <c r="I31" i="6"/>
  <c r="E32" i="6"/>
  <c r="F32" i="6"/>
  <c r="G32" i="6"/>
  <c r="H32" i="6"/>
  <c r="I32" i="6"/>
  <c r="E33" i="6"/>
  <c r="F33" i="6"/>
  <c r="G33" i="6"/>
  <c r="H33" i="6"/>
  <c r="I33" i="6"/>
  <c r="I23" i="6"/>
  <c r="H23" i="6"/>
  <c r="G23" i="6"/>
  <c r="F23" i="6"/>
  <c r="E23" i="6"/>
  <c r="E4" i="6"/>
  <c r="F4" i="6"/>
  <c r="G4" i="6"/>
  <c r="H4" i="6"/>
  <c r="I4" i="6"/>
  <c r="E5" i="6"/>
  <c r="F5" i="6"/>
  <c r="G5" i="6"/>
  <c r="H5" i="6"/>
  <c r="I5" i="6"/>
  <c r="E6" i="6"/>
  <c r="F6" i="6"/>
  <c r="G6" i="6"/>
  <c r="H6" i="6"/>
  <c r="I6" i="6"/>
  <c r="E7" i="6"/>
  <c r="F7" i="6"/>
  <c r="G7" i="6"/>
  <c r="H7" i="6"/>
  <c r="I7" i="6"/>
  <c r="E8" i="6"/>
  <c r="F8" i="6"/>
  <c r="G8" i="6"/>
  <c r="H8" i="6"/>
  <c r="I8" i="6"/>
  <c r="E9" i="6"/>
  <c r="F9" i="6"/>
  <c r="G9" i="6"/>
  <c r="H9" i="6"/>
  <c r="I9" i="6"/>
  <c r="E10" i="6"/>
  <c r="F10" i="6"/>
  <c r="G10" i="6"/>
  <c r="H10" i="6"/>
  <c r="I10" i="6"/>
  <c r="E11" i="6"/>
  <c r="F11" i="6"/>
  <c r="G11" i="6"/>
  <c r="H11" i="6"/>
  <c r="I11" i="6"/>
  <c r="E12" i="6"/>
  <c r="F12" i="6"/>
  <c r="G12" i="6"/>
  <c r="H12" i="6"/>
  <c r="I12" i="6"/>
  <c r="E13" i="6"/>
  <c r="F13" i="6"/>
  <c r="G13" i="6"/>
  <c r="H13" i="6"/>
  <c r="I13" i="6"/>
  <c r="I3" i="6"/>
  <c r="H3" i="6"/>
  <c r="G3" i="6"/>
  <c r="F3" i="6"/>
  <c r="E3" i="6"/>
  <c r="D33" i="6" l="1"/>
  <c r="D13" i="6"/>
  <c r="D32" i="6"/>
  <c r="D12" i="6"/>
  <c r="D31" i="6"/>
  <c r="D11" i="6"/>
  <c r="D30" i="6"/>
  <c r="D10" i="6"/>
  <c r="D29" i="6"/>
  <c r="D9" i="6"/>
  <c r="D28" i="6"/>
  <c r="D8" i="6"/>
  <c r="D27" i="6"/>
  <c r="D7" i="6"/>
  <c r="D26" i="6"/>
  <c r="D6" i="6"/>
  <c r="D25" i="6"/>
  <c r="D5" i="6"/>
  <c r="D24" i="6"/>
  <c r="D4" i="6"/>
  <c r="D23" i="6"/>
  <c r="D3" i="6"/>
  <c r="C4" i="6"/>
  <c r="C24" i="6"/>
  <c r="C5" i="6"/>
  <c r="C25" i="6"/>
  <c r="C6" i="6"/>
  <c r="C26" i="6"/>
  <c r="C7" i="6"/>
  <c r="C27" i="6"/>
  <c r="C8" i="6"/>
  <c r="C28" i="6"/>
  <c r="C9" i="6"/>
  <c r="C29" i="6"/>
  <c r="C10" i="6"/>
  <c r="C30" i="6"/>
  <c r="C11" i="6"/>
  <c r="C31" i="6"/>
  <c r="C12" i="6"/>
  <c r="C32" i="6"/>
  <c r="C13" i="6"/>
  <c r="C33" i="6"/>
  <c r="C23" i="6"/>
  <c r="C3" i="6"/>
</calcChain>
</file>

<file path=xl/sharedStrings.xml><?xml version="1.0" encoding="utf-8"?>
<sst xmlns="http://schemas.openxmlformats.org/spreadsheetml/2006/main" count="177" uniqueCount="26">
  <si>
    <t>Graph Info:</t>
  </si>
  <si>
    <t>Number of Vertices</t>
  </si>
  <si>
    <t>Runtime (ms)</t>
  </si>
  <si>
    <t>Average</t>
  </si>
  <si>
    <t>grids_5</t>
  </si>
  <si>
    <t>random_5</t>
  </si>
  <si>
    <t>Sphere_c_12</t>
  </si>
  <si>
    <t>Sphere_t_12</t>
  </si>
  <si>
    <t>cylinder/rnd_5</t>
  </si>
  <si>
    <t>cylinder/symm_5</t>
  </si>
  <si>
    <t>cylinder/unsymm_5</t>
  </si>
  <si>
    <t>r</t>
  </si>
  <si>
    <t>t (ms)</t>
  </si>
  <si>
    <t>Cylinder_asym</t>
  </si>
  <si>
    <t>Cylinder_sym</t>
  </si>
  <si>
    <t>Cylinder_rnd</t>
  </si>
  <si>
    <t>Sphere_tetrahedron</t>
  </si>
  <si>
    <t>Sphere_cube</t>
  </si>
  <si>
    <t>Random</t>
  </si>
  <si>
    <t>Grids</t>
  </si>
  <si>
    <t>RSD SSSP</t>
  </si>
  <si>
    <t>Dijkstra SSSP</t>
  </si>
  <si>
    <t>RSD %</t>
  </si>
  <si>
    <t>RSD total</t>
  </si>
  <si>
    <t>RSD only</t>
  </si>
  <si>
    <t>Dijk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</si>
</sst>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RSD 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Summary!$C$3:$C$13</c:f>
              <c:numCache>
                <c:formatCode>0.00</c:formatCode>
                <c:ptCount val="11"/>
                <c:pt idx="0">
                  <c:v>162610.17500000002</c:v>
                </c:pt>
                <c:pt idx="1">
                  <c:v>126834.73999999999</c:v>
                </c:pt>
                <c:pt idx="2">
                  <c:v>123012.7825</c:v>
                </c:pt>
                <c:pt idx="3">
                  <c:v>124258.14750000001</c:v>
                </c:pt>
                <c:pt idx="4">
                  <c:v>135073.51999999999</c:v>
                </c:pt>
                <c:pt idx="5">
                  <c:v>136178.22500000001</c:v>
                </c:pt>
                <c:pt idx="6">
                  <c:v>145257.4325</c:v>
                </c:pt>
                <c:pt idx="7">
                  <c:v>163814.4975</c:v>
                </c:pt>
                <c:pt idx="8">
                  <c:v>175236.29750000002</c:v>
                </c:pt>
                <c:pt idx="9">
                  <c:v>166687.1525</c:v>
                </c:pt>
                <c:pt idx="10">
                  <c:v>150049.33499999999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DB-3141-B9F5-831ED836E8AE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Summary!$D$3:$D$13</c:f>
              <c:numCache>
                <c:formatCode>0.00</c:formatCode>
                <c:ptCount val="11"/>
                <c:pt idx="0">
                  <c:v>114632.47</c:v>
                </c:pt>
                <c:pt idx="1">
                  <c:v>116090.2075</c:v>
                </c:pt>
                <c:pt idx="2">
                  <c:v>121005.5675</c:v>
                </c:pt>
                <c:pt idx="3">
                  <c:v>118521.91750000001</c:v>
                </c:pt>
                <c:pt idx="4">
                  <c:v>122205.97749999999</c:v>
                </c:pt>
                <c:pt idx="5">
                  <c:v>140468.29249999998</c:v>
                </c:pt>
                <c:pt idx="6">
                  <c:v>117187.50750000001</c:v>
                </c:pt>
                <c:pt idx="7">
                  <c:v>118915.31000000001</c:v>
                </c:pt>
                <c:pt idx="8">
                  <c:v>125255.5675</c:v>
                </c:pt>
                <c:pt idx="9">
                  <c:v>134991.785</c:v>
                </c:pt>
                <c:pt idx="10">
                  <c:v>137913.95250000001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DB-3141-B9F5-831ED836E8AE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Summary!$E$3:$E$13</c:f>
              <c:numCache>
                <c:formatCode>General</c:formatCode>
                <c:ptCount val="11"/>
                <c:pt idx="0">
                  <c:v>180262.39749999999</c:v>
                </c:pt>
                <c:pt idx="1">
                  <c:v>175335.11</c:v>
                </c:pt>
                <c:pt idx="2">
                  <c:v>180211.53499999997</c:v>
                </c:pt>
                <c:pt idx="3">
                  <c:v>185232.54249999998</c:v>
                </c:pt>
                <c:pt idx="4">
                  <c:v>194565.38249999998</c:v>
                </c:pt>
                <c:pt idx="5">
                  <c:v>194263.43000000002</c:v>
                </c:pt>
                <c:pt idx="6">
                  <c:v>199895.24</c:v>
                </c:pt>
                <c:pt idx="7">
                  <c:v>220779.92749999999</c:v>
                </c:pt>
                <c:pt idx="8">
                  <c:v>244087.31</c:v>
                </c:pt>
                <c:pt idx="9">
                  <c:v>300845.84749999997</c:v>
                </c:pt>
                <c:pt idx="10">
                  <c:v>293181.74250000005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DB-3141-B9F5-831ED836E8AE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Summary!$F$3:$F$13</c:f>
              <c:numCache>
                <c:formatCode>General</c:formatCode>
                <c:ptCount val="11"/>
                <c:pt idx="0">
                  <c:v>81435.572499999995</c:v>
                </c:pt>
                <c:pt idx="1">
                  <c:v>88201.125</c:v>
                </c:pt>
                <c:pt idx="2">
                  <c:v>98011.70749999999</c:v>
                </c:pt>
                <c:pt idx="3">
                  <c:v>100855.4025</c:v>
                </c:pt>
                <c:pt idx="4">
                  <c:v>96203.59</c:v>
                </c:pt>
                <c:pt idx="5">
                  <c:v>97343.014999999999</c:v>
                </c:pt>
                <c:pt idx="6">
                  <c:v>95121.989999999991</c:v>
                </c:pt>
                <c:pt idx="7">
                  <c:v>94123.182499999995</c:v>
                </c:pt>
                <c:pt idx="8">
                  <c:v>95956.32</c:v>
                </c:pt>
                <c:pt idx="9">
                  <c:v>118661.5775</c:v>
                </c:pt>
                <c:pt idx="10">
                  <c:v>108266.6725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DB-3141-B9F5-831ED836E8AE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Summary!$G$3:$G$13</c:f>
              <c:numCache>
                <c:formatCode>General</c:formatCode>
                <c:ptCount val="11"/>
                <c:pt idx="0">
                  <c:v>69614.39</c:v>
                </c:pt>
                <c:pt idx="1">
                  <c:v>67901.542499999996</c:v>
                </c:pt>
                <c:pt idx="2">
                  <c:v>70321.402499999997</c:v>
                </c:pt>
                <c:pt idx="3">
                  <c:v>80124.007500000007</c:v>
                </c:pt>
                <c:pt idx="4">
                  <c:v>67214.022500000006</c:v>
                </c:pt>
                <c:pt idx="5">
                  <c:v>73205.664999999994</c:v>
                </c:pt>
                <c:pt idx="6">
                  <c:v>69465.737499999988</c:v>
                </c:pt>
                <c:pt idx="7">
                  <c:v>67779.34</c:v>
                </c:pt>
                <c:pt idx="8">
                  <c:v>72219.404999999999</c:v>
                </c:pt>
                <c:pt idx="9">
                  <c:v>84328.732499999998</c:v>
                </c:pt>
                <c:pt idx="10">
                  <c:v>73162.600000000006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DB-3141-B9F5-831ED836E8AE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Summary!$H$3:$H$13</c:f>
              <c:numCache>
                <c:formatCode>General</c:formatCode>
                <c:ptCount val="11"/>
                <c:pt idx="0">
                  <c:v>56551.227499999994</c:v>
                </c:pt>
                <c:pt idx="1">
                  <c:v>55739.264999999999</c:v>
                </c:pt>
                <c:pt idx="2">
                  <c:v>61043.272500000006</c:v>
                </c:pt>
                <c:pt idx="3">
                  <c:v>69254.682499999995</c:v>
                </c:pt>
                <c:pt idx="4">
                  <c:v>62716.955000000002</c:v>
                </c:pt>
                <c:pt idx="5">
                  <c:v>66601.67</c:v>
                </c:pt>
                <c:pt idx="6">
                  <c:v>68024.287500000006</c:v>
                </c:pt>
                <c:pt idx="7">
                  <c:v>65642.447499999995</c:v>
                </c:pt>
                <c:pt idx="8">
                  <c:v>63627.177500000005</c:v>
                </c:pt>
                <c:pt idx="9">
                  <c:v>72412.934999999998</c:v>
                </c:pt>
                <c:pt idx="10">
                  <c:v>70223.145000000004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DB-3141-B9F5-831ED836E8AE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Summary!$B$3:$B$13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Summary!$I$3:$I$13</c:f>
              <c:numCache>
                <c:formatCode>General</c:formatCode>
                <c:ptCount val="11"/>
                <c:pt idx="0">
                  <c:v>60581.934999999998</c:v>
                </c:pt>
                <c:pt idx="1">
                  <c:v>57417.892500000002</c:v>
                </c:pt>
                <c:pt idx="2">
                  <c:v>60788.544999999998</c:v>
                </c:pt>
                <c:pt idx="3">
                  <c:v>61180.032499999994</c:v>
                </c:pt>
                <c:pt idx="4">
                  <c:v>63847.520000000004</c:v>
                </c:pt>
                <c:pt idx="5">
                  <c:v>57554.502500000002</c:v>
                </c:pt>
                <c:pt idx="6">
                  <c:v>65687.347500000003</c:v>
                </c:pt>
                <c:pt idx="7">
                  <c:v>62385.087500000001</c:v>
                </c:pt>
                <c:pt idx="8">
                  <c:v>65841.955000000002</c:v>
                </c:pt>
                <c:pt idx="9">
                  <c:v>76963.684999999998</c:v>
                </c:pt>
                <c:pt idx="10">
                  <c:v>75942.672500000001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DB-3141-B9F5-831ED836E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3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024700037495309"/>
          <c:y val="0.1042668416447944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RSD Only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Summary!$C$23:$C$33</c:f>
              <c:numCache>
                <c:formatCode>General</c:formatCode>
                <c:ptCount val="11"/>
                <c:pt idx="0">
                  <c:v>10330.5491</c:v>
                </c:pt>
                <c:pt idx="1">
                  <c:v>11525.533015999999</c:v>
                </c:pt>
                <c:pt idx="2">
                  <c:v>7654.3370419999992</c:v>
                </c:pt>
                <c:pt idx="3">
                  <c:v>8878.0108390000005</c:v>
                </c:pt>
                <c:pt idx="4">
                  <c:v>8084.2541737500014</c:v>
                </c:pt>
                <c:pt idx="5">
                  <c:v>7585.5177159999994</c:v>
                </c:pt>
                <c:pt idx="6">
                  <c:v>9734.4327942500004</c:v>
                </c:pt>
                <c:pt idx="7">
                  <c:v>12572.53667275</c:v>
                </c:pt>
                <c:pt idx="8">
                  <c:v>26052.697170749998</c:v>
                </c:pt>
                <c:pt idx="9">
                  <c:v>20506.037812499999</c:v>
                </c:pt>
                <c:pt idx="10">
                  <c:v>9505.4794787499995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0-454B-B178-D2597865D860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Summary!$D$23:$D$33</c:f>
              <c:numCache>
                <c:formatCode>General</c:formatCode>
                <c:ptCount val="11"/>
                <c:pt idx="0">
                  <c:v>9618.379692999999</c:v>
                </c:pt>
                <c:pt idx="1">
                  <c:v>12197.35072875</c:v>
                </c:pt>
                <c:pt idx="2">
                  <c:v>10078.59475475</c:v>
                </c:pt>
                <c:pt idx="3">
                  <c:v>11419.58498775</c:v>
                </c:pt>
                <c:pt idx="4">
                  <c:v>10884.893282749999</c:v>
                </c:pt>
                <c:pt idx="5">
                  <c:v>13068.058633999999</c:v>
                </c:pt>
                <c:pt idx="6">
                  <c:v>10380.325177250001</c:v>
                </c:pt>
                <c:pt idx="7">
                  <c:v>10441.8837745</c:v>
                </c:pt>
                <c:pt idx="8">
                  <c:v>13443.127756999998</c:v>
                </c:pt>
                <c:pt idx="9">
                  <c:v>14260.03125675</c:v>
                </c:pt>
                <c:pt idx="10">
                  <c:v>20261.825951749997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0-454B-B178-D2597865D860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Summary!$E$23:$E$33</c:f>
              <c:numCache>
                <c:formatCode>General</c:formatCode>
                <c:ptCount val="11"/>
                <c:pt idx="0">
                  <c:v>30222.513949750002</c:v>
                </c:pt>
                <c:pt idx="1">
                  <c:v>19484.680232749997</c:v>
                </c:pt>
                <c:pt idx="2">
                  <c:v>31014.98419825</c:v>
                </c:pt>
                <c:pt idx="3">
                  <c:v>21528.835078750002</c:v>
                </c:pt>
                <c:pt idx="4">
                  <c:v>17190.881299499997</c:v>
                </c:pt>
                <c:pt idx="5">
                  <c:v>32409.150985249998</c:v>
                </c:pt>
                <c:pt idx="6">
                  <c:v>24952.642426749997</c:v>
                </c:pt>
                <c:pt idx="7">
                  <c:v>27686.40077425</c:v>
                </c:pt>
                <c:pt idx="8">
                  <c:v>39073.915135000003</c:v>
                </c:pt>
                <c:pt idx="9">
                  <c:v>32748.966171749998</c:v>
                </c:pt>
                <c:pt idx="10">
                  <c:v>29335.53877875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0-454B-B178-D2597865D860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Summary!$F$23:$F$33</c:f>
              <c:numCache>
                <c:formatCode>General</c:formatCode>
                <c:ptCount val="11"/>
                <c:pt idx="0">
                  <c:v>6783.9947379999994</c:v>
                </c:pt>
                <c:pt idx="1">
                  <c:v>7479.5559309999999</c:v>
                </c:pt>
                <c:pt idx="2">
                  <c:v>10497.165276500002</c:v>
                </c:pt>
                <c:pt idx="3">
                  <c:v>14520.227538250001</c:v>
                </c:pt>
                <c:pt idx="4">
                  <c:v>10442.397526000001</c:v>
                </c:pt>
                <c:pt idx="5">
                  <c:v>12788.655199499997</c:v>
                </c:pt>
                <c:pt idx="6">
                  <c:v>14369.642419499998</c:v>
                </c:pt>
                <c:pt idx="7">
                  <c:v>14520.736383750002</c:v>
                </c:pt>
                <c:pt idx="8">
                  <c:v>15826.441347249998</c:v>
                </c:pt>
                <c:pt idx="9">
                  <c:v>15825.80804</c:v>
                </c:pt>
                <c:pt idx="10">
                  <c:v>8458.7090152500004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60-454B-B178-D2597865D860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Summary!$G$23:$G$33</c:f>
              <c:numCache>
                <c:formatCode>General</c:formatCode>
                <c:ptCount val="11"/>
                <c:pt idx="0">
                  <c:v>6965.0679524999996</c:v>
                </c:pt>
                <c:pt idx="1">
                  <c:v>4885.4519359999995</c:v>
                </c:pt>
                <c:pt idx="2">
                  <c:v>8382.7885282499992</c:v>
                </c:pt>
                <c:pt idx="3">
                  <c:v>7117.2669372500004</c:v>
                </c:pt>
                <c:pt idx="4">
                  <c:v>4380.2158115000002</c:v>
                </c:pt>
                <c:pt idx="5">
                  <c:v>4901.4884547500005</c:v>
                </c:pt>
                <c:pt idx="6">
                  <c:v>5449.8504119999998</c:v>
                </c:pt>
                <c:pt idx="7">
                  <c:v>3923.4680897499998</c:v>
                </c:pt>
                <c:pt idx="8">
                  <c:v>4941.4389735000004</c:v>
                </c:pt>
                <c:pt idx="9">
                  <c:v>7431.4359242499995</c:v>
                </c:pt>
                <c:pt idx="10">
                  <c:v>4505.6686519999994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60-454B-B178-D2597865D860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Summary!$H$23:$H$33</c:f>
              <c:numCache>
                <c:formatCode>General</c:formatCode>
                <c:ptCount val="11"/>
                <c:pt idx="0">
                  <c:v>3294.2832142499997</c:v>
                </c:pt>
                <c:pt idx="1">
                  <c:v>3166.8837510000003</c:v>
                </c:pt>
                <c:pt idx="2">
                  <c:v>6101.7810380000001</c:v>
                </c:pt>
                <c:pt idx="3">
                  <c:v>10164.845864749999</c:v>
                </c:pt>
                <c:pt idx="4">
                  <c:v>4821.0257879999999</c:v>
                </c:pt>
                <c:pt idx="5">
                  <c:v>3827.3095372500002</c:v>
                </c:pt>
                <c:pt idx="6">
                  <c:v>2982.7421967499999</c:v>
                </c:pt>
                <c:pt idx="7">
                  <c:v>3279.9291334999998</c:v>
                </c:pt>
                <c:pt idx="8">
                  <c:v>3902.8160265000001</c:v>
                </c:pt>
                <c:pt idx="9">
                  <c:v>5001.1739980000002</c:v>
                </c:pt>
                <c:pt idx="10">
                  <c:v>2759.1594174999996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D60-454B-B178-D2597865D860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Summary!$B$23:$B$33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Summary!$I$23:$I$33</c:f>
              <c:numCache>
                <c:formatCode>General</c:formatCode>
                <c:ptCount val="11"/>
                <c:pt idx="0">
                  <c:v>5104.6700995000001</c:v>
                </c:pt>
                <c:pt idx="1">
                  <c:v>5081.790429749999</c:v>
                </c:pt>
                <c:pt idx="2">
                  <c:v>4851.4153139999999</c:v>
                </c:pt>
                <c:pt idx="3">
                  <c:v>6919.568775499999</c:v>
                </c:pt>
                <c:pt idx="4">
                  <c:v>4251.1816330000001</c:v>
                </c:pt>
                <c:pt idx="5">
                  <c:v>4524.8686454999997</c:v>
                </c:pt>
                <c:pt idx="6">
                  <c:v>3455.1076937500002</c:v>
                </c:pt>
                <c:pt idx="7">
                  <c:v>2874.2940625000001</c:v>
                </c:pt>
                <c:pt idx="8">
                  <c:v>3617.955242</c:v>
                </c:pt>
                <c:pt idx="9">
                  <c:v>7151.7301440000001</c:v>
                </c:pt>
                <c:pt idx="10">
                  <c:v>5798.0607362499995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D60-454B-B178-D2597865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826287339082608"/>
          <c:y val="0.10704461942257218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Dijkstra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39320084989377"/>
          <c:y val="0.10302777777777777"/>
          <c:w val="0.76630093113360842"/>
          <c:h val="0.77362970253718288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Grids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Summary!$C$37:$C$47</c:f>
              <c:numCache>
                <c:formatCode>General</c:formatCode>
                <c:ptCount val="11"/>
                <c:pt idx="0">
                  <c:v>819.59750000000008</c:v>
                </c:pt>
                <c:pt idx="1">
                  <c:v>572.11</c:v>
                </c:pt>
                <c:pt idx="2">
                  <c:v>484.16249999999997</c:v>
                </c:pt>
                <c:pt idx="3">
                  <c:v>1289.0999999999999</c:v>
                </c:pt>
                <c:pt idx="4">
                  <c:v>510.91250000000002</c:v>
                </c:pt>
                <c:pt idx="5">
                  <c:v>766.76</c:v>
                </c:pt>
                <c:pt idx="6">
                  <c:v>552.36250000000007</c:v>
                </c:pt>
                <c:pt idx="7">
                  <c:v>569.26499999999999</c:v>
                </c:pt>
                <c:pt idx="8">
                  <c:v>577.41750000000002</c:v>
                </c:pt>
                <c:pt idx="9">
                  <c:v>536.48749999999995</c:v>
                </c:pt>
                <c:pt idx="10">
                  <c:v>633.54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D-5D40-8114-04FC4F9154D6}"/>
            </c:ext>
          </c:extLst>
        </c:ser>
        <c:ser>
          <c:idx val="1"/>
          <c:order val="1"/>
          <c:tx>
            <c:strRef>
              <c:f>Summary!$D$2</c:f>
              <c:strCache>
                <c:ptCount val="1"/>
                <c:pt idx="0">
                  <c:v>Random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Summary!$D$37:$D$47</c:f>
              <c:numCache>
                <c:formatCode>General</c:formatCode>
                <c:ptCount val="11"/>
                <c:pt idx="0">
                  <c:v>531.1825</c:v>
                </c:pt>
                <c:pt idx="1">
                  <c:v>556.745</c:v>
                </c:pt>
                <c:pt idx="2">
                  <c:v>324.52499999999998</c:v>
                </c:pt>
                <c:pt idx="3">
                  <c:v>571.29250000000002</c:v>
                </c:pt>
                <c:pt idx="4">
                  <c:v>823.25750000000005</c:v>
                </c:pt>
                <c:pt idx="5">
                  <c:v>460.98249999999996</c:v>
                </c:pt>
                <c:pt idx="6">
                  <c:v>434.66249999999997</c:v>
                </c:pt>
                <c:pt idx="7">
                  <c:v>480.7475</c:v>
                </c:pt>
                <c:pt idx="8">
                  <c:v>506.86499999999995</c:v>
                </c:pt>
                <c:pt idx="9">
                  <c:v>265.0625</c:v>
                </c:pt>
                <c:pt idx="10">
                  <c:v>597.26250000000005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0D-5D40-8114-04FC4F9154D6}"/>
            </c:ext>
          </c:extLst>
        </c:ser>
        <c:ser>
          <c:idx val="2"/>
          <c:order val="2"/>
          <c:tx>
            <c:strRef>
              <c:f>Summary!$E$2</c:f>
              <c:strCache>
                <c:ptCount val="1"/>
                <c:pt idx="0">
                  <c:v>Sphere_cube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Summary!$E$37:$E$47</c:f>
              <c:numCache>
                <c:formatCode>General</c:formatCode>
                <c:ptCount val="11"/>
                <c:pt idx="0">
                  <c:v>1773.415</c:v>
                </c:pt>
                <c:pt idx="1">
                  <c:v>1200.1825000000001</c:v>
                </c:pt>
                <c:pt idx="2">
                  <c:v>693.43500000000006</c:v>
                </c:pt>
                <c:pt idx="3">
                  <c:v>675.33249999999998</c:v>
                </c:pt>
                <c:pt idx="4">
                  <c:v>617.44749999999999</c:v>
                </c:pt>
                <c:pt idx="5">
                  <c:v>634.54250000000002</c:v>
                </c:pt>
                <c:pt idx="6">
                  <c:v>747.99250000000006</c:v>
                </c:pt>
                <c:pt idx="7">
                  <c:v>771.93</c:v>
                </c:pt>
                <c:pt idx="8">
                  <c:v>1036.6975</c:v>
                </c:pt>
                <c:pt idx="9">
                  <c:v>725.41499999999996</c:v>
                </c:pt>
                <c:pt idx="10">
                  <c:v>2010.1000000000001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E0D-5D40-8114-04FC4F9154D6}"/>
            </c:ext>
          </c:extLst>
        </c:ser>
        <c:ser>
          <c:idx val="3"/>
          <c:order val="3"/>
          <c:tx>
            <c:strRef>
              <c:f>Summary!$F$2</c:f>
              <c:strCache>
                <c:ptCount val="1"/>
                <c:pt idx="0">
                  <c:v>Sphere_tetrahedron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Summary!$F$37:$F$47</c:f>
              <c:numCache>
                <c:formatCode>General</c:formatCode>
                <c:ptCount val="11"/>
                <c:pt idx="0">
                  <c:v>515.17499999999995</c:v>
                </c:pt>
                <c:pt idx="1">
                  <c:v>405.01750000000004</c:v>
                </c:pt>
                <c:pt idx="2">
                  <c:v>259.78000000000003</c:v>
                </c:pt>
                <c:pt idx="3">
                  <c:v>343.4975</c:v>
                </c:pt>
                <c:pt idx="4">
                  <c:v>345.57</c:v>
                </c:pt>
                <c:pt idx="5">
                  <c:v>232.46749999999997</c:v>
                </c:pt>
                <c:pt idx="6">
                  <c:v>491.82000000000005</c:v>
                </c:pt>
                <c:pt idx="7">
                  <c:v>303.64</c:v>
                </c:pt>
                <c:pt idx="8">
                  <c:v>373.53750000000002</c:v>
                </c:pt>
                <c:pt idx="9">
                  <c:v>226.71499999999997</c:v>
                </c:pt>
                <c:pt idx="10">
                  <c:v>157.61250000000001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0D-5D40-8114-04FC4F9154D6}"/>
            </c:ext>
          </c:extLst>
        </c:ser>
        <c:ser>
          <c:idx val="4"/>
          <c:order val="4"/>
          <c:tx>
            <c:strRef>
              <c:f>Summary!$G$2</c:f>
              <c:strCache>
                <c:ptCount val="1"/>
                <c:pt idx="0">
                  <c:v>Cylinder_rnd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Summary!$G$37:$G$47</c:f>
              <c:numCache>
                <c:formatCode>General</c:formatCode>
                <c:ptCount val="11"/>
                <c:pt idx="0">
                  <c:v>447.63249999999999</c:v>
                </c:pt>
                <c:pt idx="1">
                  <c:v>302.73</c:v>
                </c:pt>
                <c:pt idx="2">
                  <c:v>228.36</c:v>
                </c:pt>
                <c:pt idx="3">
                  <c:v>468.83500000000004</c:v>
                </c:pt>
                <c:pt idx="4">
                  <c:v>230.7</c:v>
                </c:pt>
                <c:pt idx="5">
                  <c:v>220.0625</c:v>
                </c:pt>
                <c:pt idx="6">
                  <c:v>232.98750000000001</c:v>
                </c:pt>
                <c:pt idx="7">
                  <c:v>234.33250000000001</c:v>
                </c:pt>
                <c:pt idx="8">
                  <c:v>238.965</c:v>
                </c:pt>
                <c:pt idx="9">
                  <c:v>412.67499999999995</c:v>
                </c:pt>
                <c:pt idx="10">
                  <c:v>506.56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E0D-5D40-8114-04FC4F9154D6}"/>
            </c:ext>
          </c:extLst>
        </c:ser>
        <c:ser>
          <c:idx val="5"/>
          <c:order val="5"/>
          <c:tx>
            <c:strRef>
              <c:f>Summary!$H$2</c:f>
              <c:strCache>
                <c:ptCount val="1"/>
                <c:pt idx="0">
                  <c:v>Cylinder_sym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Summary!$H$37:$H$47</c:f>
              <c:numCache>
                <c:formatCode>General</c:formatCode>
                <c:ptCount val="11"/>
                <c:pt idx="0">
                  <c:v>126.66749999999999</c:v>
                </c:pt>
                <c:pt idx="1">
                  <c:v>127.67750000000001</c:v>
                </c:pt>
                <c:pt idx="2">
                  <c:v>168.48500000000001</c:v>
                </c:pt>
                <c:pt idx="3">
                  <c:v>155.36000000000001</c:v>
                </c:pt>
                <c:pt idx="4">
                  <c:v>407.38749999999999</c:v>
                </c:pt>
                <c:pt idx="5">
                  <c:v>129.32249999999999</c:v>
                </c:pt>
                <c:pt idx="6">
                  <c:v>123.42500000000001</c:v>
                </c:pt>
                <c:pt idx="7">
                  <c:v>126.16</c:v>
                </c:pt>
                <c:pt idx="8">
                  <c:v>394.21</c:v>
                </c:pt>
                <c:pt idx="9">
                  <c:v>143.46250000000001</c:v>
                </c:pt>
                <c:pt idx="10">
                  <c:v>357.17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E0D-5D40-8114-04FC4F9154D6}"/>
            </c:ext>
          </c:extLst>
        </c:ser>
        <c:ser>
          <c:idx val="6"/>
          <c:order val="6"/>
          <c:tx>
            <c:strRef>
              <c:f>Summary!$I$2</c:f>
              <c:strCache>
                <c:ptCount val="1"/>
                <c:pt idx="0">
                  <c:v>Cylinder_asym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Summary!$B$37:$B$47</c:f>
              <c:numCache>
                <c:formatCode>General</c:formatCode>
                <c:ptCount val="11"/>
                <c:pt idx="0">
                  <c:v>100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1200</c:v>
                </c:pt>
                <c:pt idx="7">
                  <c:v>1600</c:v>
                </c:pt>
                <c:pt idx="8">
                  <c:v>2000</c:v>
                </c:pt>
                <c:pt idx="9">
                  <c:v>4000</c:v>
                </c:pt>
                <c:pt idx="10">
                  <c:v>10000</c:v>
                </c:pt>
              </c:numCache>
            </c:numRef>
          </c:xVal>
          <c:yVal>
            <c:numRef>
              <c:f>Summary!$I$37:$I$47</c:f>
              <c:numCache>
                <c:formatCode>General</c:formatCode>
                <c:ptCount val="11"/>
                <c:pt idx="0">
                  <c:v>322.25250000000005</c:v>
                </c:pt>
                <c:pt idx="1">
                  <c:v>155.61249999999998</c:v>
                </c:pt>
                <c:pt idx="2">
                  <c:v>154.60749999999999</c:v>
                </c:pt>
                <c:pt idx="3">
                  <c:v>166.51999999999998</c:v>
                </c:pt>
                <c:pt idx="4">
                  <c:v>163.0575</c:v>
                </c:pt>
                <c:pt idx="5">
                  <c:v>534.64</c:v>
                </c:pt>
                <c:pt idx="6">
                  <c:v>153.27750000000003</c:v>
                </c:pt>
                <c:pt idx="7">
                  <c:v>417.94</c:v>
                </c:pt>
                <c:pt idx="8">
                  <c:v>159.61750000000001</c:v>
                </c:pt>
                <c:pt idx="9">
                  <c:v>165.785</c:v>
                </c:pt>
                <c:pt idx="10">
                  <c:v>415.46000000000004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E0D-5D40-8114-04FC4F915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445791"/>
        <c:axId val="1210447599"/>
      </c:scatterChart>
      <c:valAx>
        <c:axId val="1210445791"/>
        <c:scaling>
          <c:logBase val="10"/>
          <c:orientation val="minMax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7599"/>
        <c:crosses val="autoZero"/>
        <c:crossBetween val="midCat"/>
      </c:valAx>
      <c:valAx>
        <c:axId val="1210447599"/>
        <c:scaling>
          <c:orientation val="minMax"/>
          <c:max val="2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Runtime (ms)</a:t>
                </a:r>
              </a:p>
            </c:rich>
          </c:tx>
          <c:layout>
            <c:manualLayout>
              <c:xMode val="edge"/>
              <c:yMode val="edge"/>
              <c:x val="1.6400137482814648E-2"/>
              <c:y val="0.3751898512685914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04457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826287339082608"/>
          <c:y val="0.10704461942257218"/>
          <c:w val="0.32967363454568177"/>
          <c:h val="0.392868985126859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298450</xdr:colOff>
      <xdr:row>1</xdr:row>
      <xdr:rowOff>76200</xdr:rowOff>
    </xdr:from>
    <xdr:to>
      <xdr:col>15</xdr:col>
      <xdr:colOff>908050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AB7B7C-A09B-6145-91A7-CD4DC7C3B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26</xdr:row>
      <xdr:rowOff>0</xdr:rowOff>
    </xdr:from>
    <xdr:to>
      <xdr:col>16</xdr:col>
      <xdr:colOff>609600</xdr:colOff>
      <xdr:row>48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7A9697-E787-B948-813A-0D38C5E65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52</xdr:row>
      <xdr:rowOff>0</xdr:rowOff>
    </xdr:from>
    <xdr:to>
      <xdr:col>16</xdr:col>
      <xdr:colOff>609600</xdr:colOff>
      <xdr:row>74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43B958-27E0-5E45-B12B-D4D76388F4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4"/>
  <sheetViews>
    <sheetView topLeftCell="B1" workbookViewId="0">
      <selection activeCell="P4" sqref="P4"/>
    </sheetView>
  </sheetViews>
  <sheetFormatPr baseColWidth="10" defaultRowHeight="16" x14ac:dyDescent="0.2"/>
  <sheetData>
    <row r="1" spans="1:17" x14ac:dyDescent="0.2">
      <c r="A1" t="s">
        <v>0</v>
      </c>
      <c r="B1" t="s">
        <v>4</v>
      </c>
      <c r="C1" t="s">
        <v>1</v>
      </c>
      <c r="D1">
        <v>595856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182245.62</v>
      </c>
      <c r="C4">
        <v>7.15</v>
      </c>
      <c r="D4">
        <v>167831.78</v>
      </c>
      <c r="E4">
        <v>7.33</v>
      </c>
      <c r="F4">
        <v>155869.17000000001</v>
      </c>
      <c r="G4">
        <v>5.41</v>
      </c>
      <c r="H4">
        <v>144494.13</v>
      </c>
      <c r="I4">
        <v>5.23</v>
      </c>
      <c r="J4">
        <v>1522</v>
      </c>
      <c r="K4">
        <v>740.3</v>
      </c>
      <c r="L4">
        <v>483.46</v>
      </c>
      <c r="M4">
        <v>532.63</v>
      </c>
      <c r="O4">
        <f>AVERAGE(B4,D4,F4,H4)</f>
        <v>162610.17500000002</v>
      </c>
      <c r="P4">
        <f>AVERAGE(B4*C4/100,D4*E4/100,F4*G4/100,H4*I4/100)</f>
        <v>10330.5491</v>
      </c>
      <c r="Q4">
        <f>AVERAGE(J4:M4)</f>
        <v>819.59750000000008</v>
      </c>
    </row>
    <row r="5" spans="1:17" x14ac:dyDescent="0.2">
      <c r="A5">
        <v>600</v>
      </c>
      <c r="B5">
        <v>121065.2</v>
      </c>
      <c r="C5">
        <v>5.39</v>
      </c>
      <c r="D5">
        <v>126129.52</v>
      </c>
      <c r="E5">
        <v>5.22</v>
      </c>
      <c r="F5">
        <v>131289.4</v>
      </c>
      <c r="G5">
        <v>9.77</v>
      </c>
      <c r="H5">
        <v>128854.84</v>
      </c>
      <c r="I5">
        <v>15.65</v>
      </c>
      <c r="J5">
        <v>593.61</v>
      </c>
      <c r="K5">
        <v>607.55999999999995</v>
      </c>
      <c r="L5">
        <v>592.35</v>
      </c>
      <c r="M5">
        <v>494.92</v>
      </c>
      <c r="O5">
        <f t="shared" ref="O5:O14" si="0">AVERAGE(B5,D5,F5,H5)</f>
        <v>126834.73999999999</v>
      </c>
      <c r="P5">
        <f t="shared" ref="P5:P14" si="1">AVERAGE(B5*C5/100,D5*E5/100,F5*G5/100,H5*I5/100)</f>
        <v>11525.533015999999</v>
      </c>
      <c r="Q5">
        <f t="shared" ref="Q5:Q14" si="2">AVERAGE(J5:M5)</f>
        <v>572.11</v>
      </c>
    </row>
    <row r="6" spans="1:17" x14ac:dyDescent="0.2">
      <c r="A6">
        <v>800</v>
      </c>
      <c r="B6">
        <v>126443.56</v>
      </c>
      <c r="C6">
        <v>6.04</v>
      </c>
      <c r="D6">
        <v>124667.06</v>
      </c>
      <c r="E6">
        <v>6.26</v>
      </c>
      <c r="F6">
        <v>122625.18</v>
      </c>
      <c r="G6">
        <v>5.95</v>
      </c>
      <c r="H6">
        <v>118315.33</v>
      </c>
      <c r="I6">
        <v>6.66</v>
      </c>
      <c r="J6">
        <v>513.05999999999995</v>
      </c>
      <c r="K6">
        <v>485.59</v>
      </c>
      <c r="L6">
        <v>470.19</v>
      </c>
      <c r="M6">
        <v>467.81</v>
      </c>
      <c r="O6">
        <f t="shared" si="0"/>
        <v>123012.7825</v>
      </c>
      <c r="P6">
        <f t="shared" si="1"/>
        <v>7654.3370419999992</v>
      </c>
      <c r="Q6">
        <f t="shared" si="2"/>
        <v>484.16249999999997</v>
      </c>
    </row>
    <row r="7" spans="1:17" x14ac:dyDescent="0.2">
      <c r="A7">
        <v>900</v>
      </c>
      <c r="B7">
        <v>114456.13</v>
      </c>
      <c r="C7">
        <v>10.220000000000001</v>
      </c>
      <c r="D7">
        <v>143955.70000000001</v>
      </c>
      <c r="E7">
        <v>5.29</v>
      </c>
      <c r="F7">
        <v>118689.7</v>
      </c>
      <c r="G7">
        <v>7.03</v>
      </c>
      <c r="H7">
        <v>119931.06</v>
      </c>
      <c r="I7">
        <v>6.55</v>
      </c>
      <c r="J7">
        <v>2557.42</v>
      </c>
      <c r="K7">
        <v>618.92999999999995</v>
      </c>
      <c r="L7">
        <v>619.48</v>
      </c>
      <c r="M7">
        <v>1360.57</v>
      </c>
      <c r="O7">
        <f t="shared" si="0"/>
        <v>124258.14750000001</v>
      </c>
      <c r="P7">
        <f t="shared" si="1"/>
        <v>8878.0108390000005</v>
      </c>
      <c r="Q7">
        <f t="shared" si="2"/>
        <v>1289.0999999999999</v>
      </c>
    </row>
    <row r="8" spans="1:17" x14ac:dyDescent="0.2">
      <c r="A8">
        <v>1000</v>
      </c>
      <c r="B8">
        <v>129425.07</v>
      </c>
      <c r="C8">
        <v>5.29</v>
      </c>
      <c r="D8">
        <v>137765.20000000001</v>
      </c>
      <c r="E8">
        <v>6.24</v>
      </c>
      <c r="F8">
        <v>130813.85</v>
      </c>
      <c r="G8">
        <v>6.04</v>
      </c>
      <c r="H8">
        <v>142289.96</v>
      </c>
      <c r="I8">
        <v>6.32</v>
      </c>
      <c r="J8">
        <v>524.55999999999995</v>
      </c>
      <c r="K8">
        <v>568.57000000000005</v>
      </c>
      <c r="L8">
        <v>477.8</v>
      </c>
      <c r="M8">
        <v>472.72</v>
      </c>
      <c r="O8">
        <f t="shared" si="0"/>
        <v>135073.51999999999</v>
      </c>
      <c r="P8">
        <f t="shared" si="1"/>
        <v>8084.2541737500014</v>
      </c>
      <c r="Q8">
        <f t="shared" si="2"/>
        <v>510.91250000000002</v>
      </c>
    </row>
    <row r="9" spans="1:17" x14ac:dyDescent="0.2">
      <c r="A9">
        <v>1100</v>
      </c>
      <c r="B9">
        <v>134324.32</v>
      </c>
      <c r="C9">
        <v>5.74</v>
      </c>
      <c r="D9">
        <v>138796.72</v>
      </c>
      <c r="E9">
        <v>6.05</v>
      </c>
      <c r="F9">
        <v>143895.60999999999</v>
      </c>
      <c r="G9">
        <v>5.26</v>
      </c>
      <c r="H9">
        <v>127696.25</v>
      </c>
      <c r="I9">
        <v>5.22</v>
      </c>
      <c r="J9">
        <v>520.66999999999996</v>
      </c>
      <c r="K9">
        <v>494.57</v>
      </c>
      <c r="L9">
        <v>671.58</v>
      </c>
      <c r="M9">
        <v>1380.22</v>
      </c>
      <c r="O9">
        <f t="shared" si="0"/>
        <v>136178.22500000001</v>
      </c>
      <c r="P9">
        <f t="shared" si="1"/>
        <v>7585.5177159999994</v>
      </c>
      <c r="Q9">
        <f t="shared" si="2"/>
        <v>766.76</v>
      </c>
    </row>
    <row r="10" spans="1:17" x14ac:dyDescent="0.2">
      <c r="A10">
        <v>1200</v>
      </c>
      <c r="B10">
        <v>137607.07</v>
      </c>
      <c r="C10">
        <v>7.97</v>
      </c>
      <c r="D10">
        <v>149410.31</v>
      </c>
      <c r="E10">
        <v>7.07</v>
      </c>
      <c r="F10">
        <v>145794.89000000001</v>
      </c>
      <c r="G10">
        <v>4.63</v>
      </c>
      <c r="H10">
        <v>148217.46</v>
      </c>
      <c r="I10">
        <v>7.19</v>
      </c>
      <c r="J10">
        <v>719.57</v>
      </c>
      <c r="K10">
        <v>519.83000000000004</v>
      </c>
      <c r="L10">
        <v>482.13</v>
      </c>
      <c r="M10">
        <v>487.92</v>
      </c>
      <c r="O10">
        <f t="shared" si="0"/>
        <v>145257.4325</v>
      </c>
      <c r="P10">
        <f t="shared" si="1"/>
        <v>9734.4327942500004</v>
      </c>
      <c r="Q10">
        <f t="shared" si="2"/>
        <v>552.36250000000007</v>
      </c>
    </row>
    <row r="11" spans="1:17" x14ac:dyDescent="0.2">
      <c r="A11">
        <v>1400</v>
      </c>
      <c r="B11">
        <v>164443.20000000001</v>
      </c>
      <c r="C11">
        <v>10.62</v>
      </c>
      <c r="D11">
        <v>166932.92000000001</v>
      </c>
      <c r="E11">
        <v>10.220000000000001</v>
      </c>
      <c r="F11">
        <v>130224.49</v>
      </c>
      <c r="G11">
        <v>5.37</v>
      </c>
      <c r="H11">
        <v>193657.38</v>
      </c>
      <c r="I11">
        <v>4.53</v>
      </c>
      <c r="J11">
        <v>731.24</v>
      </c>
      <c r="K11">
        <v>520.28</v>
      </c>
      <c r="L11">
        <v>548.77</v>
      </c>
      <c r="M11">
        <v>476.77</v>
      </c>
      <c r="O11">
        <f t="shared" si="0"/>
        <v>163814.4975</v>
      </c>
      <c r="P11">
        <f t="shared" si="1"/>
        <v>12572.53667275</v>
      </c>
      <c r="Q11">
        <f t="shared" si="2"/>
        <v>569.26499999999999</v>
      </c>
    </row>
    <row r="12" spans="1:17" x14ac:dyDescent="0.2">
      <c r="A12">
        <v>1600</v>
      </c>
      <c r="B12">
        <v>150151.97</v>
      </c>
      <c r="C12">
        <v>6.89</v>
      </c>
      <c r="D12">
        <v>150448.69</v>
      </c>
      <c r="E12">
        <v>5.86</v>
      </c>
      <c r="F12">
        <v>191104.51</v>
      </c>
      <c r="G12">
        <v>5</v>
      </c>
      <c r="H12">
        <v>209240.02</v>
      </c>
      <c r="I12">
        <v>36.08</v>
      </c>
      <c r="J12">
        <v>814.55</v>
      </c>
      <c r="K12">
        <v>505.67</v>
      </c>
      <c r="L12">
        <v>503.1</v>
      </c>
      <c r="M12">
        <v>486.35</v>
      </c>
      <c r="O12">
        <f t="shared" si="0"/>
        <v>175236.29750000002</v>
      </c>
      <c r="P12">
        <f t="shared" si="1"/>
        <v>26052.697170749998</v>
      </c>
      <c r="Q12">
        <f t="shared" si="2"/>
        <v>577.41750000000002</v>
      </c>
    </row>
    <row r="13" spans="1:17" x14ac:dyDescent="0.2">
      <c r="A13">
        <v>1800</v>
      </c>
      <c r="B13">
        <v>142329.68</v>
      </c>
      <c r="C13">
        <v>6.02</v>
      </c>
      <c r="D13">
        <v>168759.93</v>
      </c>
      <c r="E13">
        <v>4.38</v>
      </c>
      <c r="F13">
        <v>168342.2</v>
      </c>
      <c r="G13">
        <v>4.8499999999999996</v>
      </c>
      <c r="H13">
        <v>187316.8</v>
      </c>
      <c r="I13">
        <v>30.91</v>
      </c>
      <c r="J13">
        <v>578.5</v>
      </c>
      <c r="K13">
        <v>543.02</v>
      </c>
      <c r="L13">
        <v>511.73</v>
      </c>
      <c r="M13">
        <v>512.70000000000005</v>
      </c>
      <c r="O13">
        <f t="shared" si="0"/>
        <v>166687.1525</v>
      </c>
      <c r="P13">
        <f t="shared" si="1"/>
        <v>20506.037812499999</v>
      </c>
      <c r="Q13">
        <f t="shared" si="2"/>
        <v>536.48749999999995</v>
      </c>
    </row>
    <row r="14" spans="1:17" x14ac:dyDescent="0.2">
      <c r="A14">
        <v>2000</v>
      </c>
      <c r="B14">
        <v>150893.60999999999</v>
      </c>
      <c r="C14">
        <v>9.82</v>
      </c>
      <c r="D14">
        <v>148518.59</v>
      </c>
      <c r="E14">
        <v>5.24</v>
      </c>
      <c r="F14">
        <v>163959.75</v>
      </c>
      <c r="G14">
        <v>5.25</v>
      </c>
      <c r="H14">
        <v>136825.39000000001</v>
      </c>
      <c r="I14">
        <v>4.9800000000000004</v>
      </c>
      <c r="J14">
        <v>543.58000000000004</v>
      </c>
      <c r="K14">
        <v>496.7</v>
      </c>
      <c r="L14">
        <v>1024.6199999999999</v>
      </c>
      <c r="M14">
        <v>469.26</v>
      </c>
      <c r="O14">
        <f t="shared" si="0"/>
        <v>150049.33499999999</v>
      </c>
      <c r="P14">
        <f t="shared" si="1"/>
        <v>9505.4794787499995</v>
      </c>
      <c r="Q14">
        <f t="shared" si="2"/>
        <v>633.54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BB1DA-0349-3F43-8020-283F409C3838}">
  <sheetPr codeName="Sheet2"/>
  <dimension ref="A1:Q44"/>
  <sheetViews>
    <sheetView topLeftCell="C1" workbookViewId="0">
      <selection activeCell="O1" sqref="O1:Q14"/>
    </sheetView>
  </sheetViews>
  <sheetFormatPr baseColWidth="10" defaultRowHeight="16" x14ac:dyDescent="0.2"/>
  <sheetData>
    <row r="1" spans="1:17" x14ac:dyDescent="0.2">
      <c r="A1" t="s">
        <v>0</v>
      </c>
      <c r="B1" t="s">
        <v>5</v>
      </c>
      <c r="C1" t="s">
        <v>1</v>
      </c>
      <c r="D1">
        <v>500003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130615.16</v>
      </c>
      <c r="C4">
        <v>10.87</v>
      </c>
      <c r="D4">
        <v>118111.2</v>
      </c>
      <c r="E4">
        <v>6.64</v>
      </c>
      <c r="F4">
        <v>103198.14</v>
      </c>
      <c r="G4">
        <v>7.67</v>
      </c>
      <c r="H4">
        <v>106605.38</v>
      </c>
      <c r="I4">
        <v>7.99</v>
      </c>
      <c r="J4">
        <v>1309</v>
      </c>
      <c r="K4">
        <v>281.74</v>
      </c>
      <c r="L4">
        <v>267.94</v>
      </c>
      <c r="M4">
        <v>266.05</v>
      </c>
      <c r="O4">
        <f>AVERAGE(B4,D4,F4,H4)</f>
        <v>114632.47</v>
      </c>
      <c r="P4">
        <f>AVERAGE(B4*C4/100,D4*E4/100,F4*G4/100,H4*I4/100)</f>
        <v>9618.379692999999</v>
      </c>
      <c r="Q4">
        <f>AVERAGE(J4:M4)</f>
        <v>531.1825</v>
      </c>
    </row>
    <row r="5" spans="1:17" x14ac:dyDescent="0.2">
      <c r="A5">
        <v>600</v>
      </c>
      <c r="B5">
        <v>98974.42</v>
      </c>
      <c r="C5">
        <v>9.2100000000000009</v>
      </c>
      <c r="D5">
        <v>125698.42</v>
      </c>
      <c r="E5">
        <v>16.71</v>
      </c>
      <c r="F5">
        <v>133585.98000000001</v>
      </c>
      <c r="G5">
        <v>6.47</v>
      </c>
      <c r="H5">
        <v>106102.01</v>
      </c>
      <c r="I5">
        <v>9.4499999999999993</v>
      </c>
      <c r="J5">
        <v>357.27</v>
      </c>
      <c r="K5">
        <v>386.21</v>
      </c>
      <c r="L5">
        <v>293.75</v>
      </c>
      <c r="M5">
        <v>1189.75</v>
      </c>
      <c r="O5">
        <f t="shared" ref="O5:O14" si="0">AVERAGE(B5,D5,F5,H5)</f>
        <v>116090.2075</v>
      </c>
      <c r="P5">
        <f t="shared" ref="P5:P14" si="1">AVERAGE(B5*C5/100,D5*E5/100,F5*G5/100,H5*I5/100)</f>
        <v>12197.35072875</v>
      </c>
      <c r="Q5">
        <f t="shared" ref="Q5:Q14" si="2">AVERAGE(J5:M5)</f>
        <v>556.745</v>
      </c>
    </row>
    <row r="6" spans="1:17" x14ac:dyDescent="0.2">
      <c r="A6">
        <v>800</v>
      </c>
      <c r="B6">
        <v>107781.11</v>
      </c>
      <c r="C6">
        <v>8.51</v>
      </c>
      <c r="D6">
        <v>112812.68</v>
      </c>
      <c r="E6">
        <v>8.5</v>
      </c>
      <c r="F6">
        <v>146144.14000000001</v>
      </c>
      <c r="G6">
        <v>6.53</v>
      </c>
      <c r="H6">
        <v>117284.34</v>
      </c>
      <c r="I6">
        <v>10.24</v>
      </c>
      <c r="J6">
        <v>296.64</v>
      </c>
      <c r="K6">
        <v>289.42</v>
      </c>
      <c r="L6">
        <v>366.55</v>
      </c>
      <c r="M6">
        <v>345.49</v>
      </c>
      <c r="O6">
        <f t="shared" si="0"/>
        <v>121005.5675</v>
      </c>
      <c r="P6">
        <f t="shared" si="1"/>
        <v>10078.59475475</v>
      </c>
      <c r="Q6">
        <f t="shared" si="2"/>
        <v>324.52499999999998</v>
      </c>
    </row>
    <row r="7" spans="1:17" x14ac:dyDescent="0.2">
      <c r="A7">
        <v>900</v>
      </c>
      <c r="B7">
        <v>129481.09</v>
      </c>
      <c r="C7">
        <v>9.0500000000000007</v>
      </c>
      <c r="D7">
        <v>118901.42</v>
      </c>
      <c r="E7">
        <v>11.69</v>
      </c>
      <c r="F7">
        <v>114312.83</v>
      </c>
      <c r="G7">
        <v>9.5</v>
      </c>
      <c r="H7">
        <v>111392.33</v>
      </c>
      <c r="I7">
        <v>8.26</v>
      </c>
      <c r="J7">
        <v>267.33</v>
      </c>
      <c r="K7">
        <v>1331.28</v>
      </c>
      <c r="L7">
        <v>349.93</v>
      </c>
      <c r="M7">
        <v>336.63</v>
      </c>
      <c r="O7">
        <f t="shared" si="0"/>
        <v>118521.91750000001</v>
      </c>
      <c r="P7">
        <f t="shared" si="1"/>
        <v>11419.58498775</v>
      </c>
      <c r="Q7">
        <f t="shared" si="2"/>
        <v>571.29250000000002</v>
      </c>
    </row>
    <row r="8" spans="1:17" x14ac:dyDescent="0.2">
      <c r="A8">
        <v>1000</v>
      </c>
      <c r="B8">
        <v>118830.19</v>
      </c>
      <c r="C8">
        <v>9.4700000000000006</v>
      </c>
      <c r="D8">
        <v>133057.01999999999</v>
      </c>
      <c r="E8">
        <v>8.6999999999999993</v>
      </c>
      <c r="F8">
        <v>125852.34</v>
      </c>
      <c r="G8">
        <v>7.25</v>
      </c>
      <c r="H8">
        <v>111084.36</v>
      </c>
      <c r="I8">
        <v>10.43</v>
      </c>
      <c r="J8">
        <v>552.53</v>
      </c>
      <c r="K8">
        <v>2047.39</v>
      </c>
      <c r="L8">
        <v>347.56</v>
      </c>
      <c r="M8">
        <v>345.55</v>
      </c>
      <c r="O8">
        <f t="shared" si="0"/>
        <v>122205.97749999999</v>
      </c>
      <c r="P8">
        <f t="shared" si="1"/>
        <v>10884.893282749999</v>
      </c>
      <c r="Q8">
        <f t="shared" si="2"/>
        <v>823.25750000000005</v>
      </c>
    </row>
    <row r="9" spans="1:17" x14ac:dyDescent="0.2">
      <c r="A9">
        <v>1100</v>
      </c>
      <c r="B9">
        <v>134433.37</v>
      </c>
      <c r="C9">
        <v>16.649999999999999</v>
      </c>
      <c r="D9">
        <v>194129.47</v>
      </c>
      <c r="E9">
        <v>5.36</v>
      </c>
      <c r="F9">
        <v>111903.81</v>
      </c>
      <c r="G9">
        <v>8.07</v>
      </c>
      <c r="H9">
        <v>121406.52</v>
      </c>
      <c r="I9">
        <v>8.61</v>
      </c>
      <c r="J9">
        <v>272.12</v>
      </c>
      <c r="K9">
        <v>1062.27</v>
      </c>
      <c r="L9">
        <v>254.31</v>
      </c>
      <c r="M9">
        <v>255.23</v>
      </c>
      <c r="O9">
        <f t="shared" si="0"/>
        <v>140468.29249999998</v>
      </c>
      <c r="P9">
        <f t="shared" si="1"/>
        <v>13068.058633999999</v>
      </c>
      <c r="Q9">
        <f t="shared" si="2"/>
        <v>460.98249999999996</v>
      </c>
    </row>
    <row r="10" spans="1:17" x14ac:dyDescent="0.2">
      <c r="A10">
        <v>1200</v>
      </c>
      <c r="B10">
        <v>111746.76</v>
      </c>
      <c r="C10">
        <v>9.58</v>
      </c>
      <c r="D10">
        <v>121675.98</v>
      </c>
      <c r="E10">
        <v>9.01</v>
      </c>
      <c r="F10">
        <v>115077.02</v>
      </c>
      <c r="G10">
        <v>8.84</v>
      </c>
      <c r="H10">
        <v>120250.27</v>
      </c>
      <c r="I10">
        <v>8.0500000000000007</v>
      </c>
      <c r="J10">
        <v>280.35000000000002</v>
      </c>
      <c r="K10">
        <v>255.67</v>
      </c>
      <c r="L10">
        <v>254.57</v>
      </c>
      <c r="M10">
        <v>948.06</v>
      </c>
      <c r="O10">
        <f t="shared" si="0"/>
        <v>117187.50750000001</v>
      </c>
      <c r="P10">
        <f t="shared" si="1"/>
        <v>10380.325177250001</v>
      </c>
      <c r="Q10">
        <f t="shared" si="2"/>
        <v>434.66249999999997</v>
      </c>
    </row>
    <row r="11" spans="1:17" x14ac:dyDescent="0.2">
      <c r="A11">
        <v>1400</v>
      </c>
      <c r="B11">
        <v>117248.74</v>
      </c>
      <c r="C11">
        <v>9.89</v>
      </c>
      <c r="D11">
        <v>124200.66</v>
      </c>
      <c r="E11">
        <v>8.16</v>
      </c>
      <c r="F11">
        <v>114014.2</v>
      </c>
      <c r="G11">
        <v>8.36</v>
      </c>
      <c r="H11">
        <v>120197.64</v>
      </c>
      <c r="I11">
        <v>8.74</v>
      </c>
      <c r="J11">
        <v>253.24</v>
      </c>
      <c r="K11">
        <v>1144.96</v>
      </c>
      <c r="L11">
        <v>269.52999999999997</v>
      </c>
      <c r="M11">
        <v>255.26</v>
      </c>
      <c r="O11">
        <f t="shared" si="0"/>
        <v>118915.31000000001</v>
      </c>
      <c r="P11">
        <f t="shared" si="1"/>
        <v>10441.8837745</v>
      </c>
      <c r="Q11">
        <f t="shared" si="2"/>
        <v>480.7475</v>
      </c>
    </row>
    <row r="12" spans="1:17" x14ac:dyDescent="0.2">
      <c r="A12">
        <v>1600</v>
      </c>
      <c r="B12">
        <v>134176.95000000001</v>
      </c>
      <c r="C12">
        <v>16.32</v>
      </c>
      <c r="D12">
        <v>126771.22</v>
      </c>
      <c r="E12">
        <v>8.44</v>
      </c>
      <c r="F12">
        <v>120106.55</v>
      </c>
      <c r="G12">
        <v>9.4</v>
      </c>
      <c r="H12">
        <v>119967.55</v>
      </c>
      <c r="I12">
        <v>8.24</v>
      </c>
      <c r="J12">
        <v>1204.3399999999999</v>
      </c>
      <c r="K12">
        <v>278.64999999999998</v>
      </c>
      <c r="L12">
        <v>279.70999999999998</v>
      </c>
      <c r="M12">
        <v>264.76</v>
      </c>
      <c r="O12">
        <f t="shared" si="0"/>
        <v>125255.5675</v>
      </c>
      <c r="P12">
        <f t="shared" si="1"/>
        <v>13443.127756999998</v>
      </c>
      <c r="Q12">
        <f t="shared" si="2"/>
        <v>506.86499999999995</v>
      </c>
    </row>
    <row r="13" spans="1:17" x14ac:dyDescent="0.2">
      <c r="A13">
        <v>1800</v>
      </c>
      <c r="B13">
        <v>130533.4</v>
      </c>
      <c r="C13">
        <v>16.89</v>
      </c>
      <c r="D13">
        <v>156225.98000000001</v>
      </c>
      <c r="E13">
        <v>8.1999999999999993</v>
      </c>
      <c r="F13">
        <v>121958.61</v>
      </c>
      <c r="G13">
        <v>8.32</v>
      </c>
      <c r="H13">
        <v>131249.15</v>
      </c>
      <c r="I13">
        <v>9.17</v>
      </c>
      <c r="J13">
        <v>270.20999999999998</v>
      </c>
      <c r="K13">
        <v>262.95999999999998</v>
      </c>
      <c r="L13">
        <v>259.14</v>
      </c>
      <c r="M13">
        <v>267.94</v>
      </c>
      <c r="O13">
        <f t="shared" si="0"/>
        <v>134991.785</v>
      </c>
      <c r="P13">
        <f t="shared" si="1"/>
        <v>14260.03125675</v>
      </c>
      <c r="Q13">
        <f t="shared" si="2"/>
        <v>265.0625</v>
      </c>
    </row>
    <row r="14" spans="1:17" x14ac:dyDescent="0.2">
      <c r="A14">
        <v>2000</v>
      </c>
      <c r="B14">
        <v>139099.25</v>
      </c>
      <c r="C14">
        <v>21.03</v>
      </c>
      <c r="D14">
        <v>131464.29</v>
      </c>
      <c r="E14">
        <v>12.3</v>
      </c>
      <c r="F14">
        <v>146934.82999999999</v>
      </c>
      <c r="G14">
        <v>15.06</v>
      </c>
      <c r="H14">
        <v>134157.44</v>
      </c>
      <c r="I14">
        <v>10.06</v>
      </c>
      <c r="J14">
        <v>443.32</v>
      </c>
      <c r="K14">
        <v>1394.99</v>
      </c>
      <c r="L14">
        <v>262.33999999999997</v>
      </c>
      <c r="M14">
        <v>288.39999999999998</v>
      </c>
      <c r="O14">
        <f t="shared" si="0"/>
        <v>137913.95250000001</v>
      </c>
      <c r="P14">
        <f t="shared" si="1"/>
        <v>20261.825951749997</v>
      </c>
      <c r="Q14">
        <f t="shared" si="2"/>
        <v>597.26250000000005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A5CA6-D003-F640-A8C7-1F883F44C042}">
  <sheetPr codeName="Sheet4"/>
  <dimension ref="A1:Q44"/>
  <sheetViews>
    <sheetView workbookViewId="0">
      <selection activeCell="O1" sqref="O1:Q14"/>
    </sheetView>
  </sheetViews>
  <sheetFormatPr baseColWidth="10" defaultRowHeight="16" x14ac:dyDescent="0.2"/>
  <sheetData>
    <row r="1" spans="1:17" x14ac:dyDescent="0.2">
      <c r="A1" t="s">
        <v>0</v>
      </c>
      <c r="B1" t="s">
        <v>6</v>
      </c>
      <c r="C1" t="s">
        <v>1</v>
      </c>
      <c r="D1">
        <v>708590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193239.8</v>
      </c>
      <c r="C4">
        <v>8.1199999999999992</v>
      </c>
      <c r="D4">
        <v>170252.59</v>
      </c>
      <c r="E4">
        <v>17.760000000000002</v>
      </c>
      <c r="F4">
        <v>173272.07</v>
      </c>
      <c r="G4">
        <v>18.62</v>
      </c>
      <c r="H4">
        <v>184285.13</v>
      </c>
      <c r="I4">
        <v>23.17</v>
      </c>
      <c r="J4">
        <v>612.24</v>
      </c>
      <c r="K4">
        <v>495.19</v>
      </c>
      <c r="L4">
        <v>5273.21</v>
      </c>
      <c r="M4">
        <v>713.02</v>
      </c>
      <c r="O4">
        <f>AVERAGE(B4,D4,F4,H4)</f>
        <v>180262.39749999999</v>
      </c>
      <c r="P4">
        <f>AVERAGE(B4*C4/100,D4*E4/100,F4*G4/100,H4*I4/100)</f>
        <v>30222.513949750002</v>
      </c>
      <c r="Q4">
        <f>AVERAGE(J4:M4)</f>
        <v>1773.415</v>
      </c>
    </row>
    <row r="5" spans="1:17" x14ac:dyDescent="0.2">
      <c r="A5">
        <v>600</v>
      </c>
      <c r="B5">
        <v>172251.49</v>
      </c>
      <c r="C5">
        <v>8.43</v>
      </c>
      <c r="D5">
        <v>167182.10999999999</v>
      </c>
      <c r="E5">
        <v>7.52</v>
      </c>
      <c r="F5">
        <v>182574.26</v>
      </c>
      <c r="G5">
        <v>9.56</v>
      </c>
      <c r="H5">
        <v>179332.58</v>
      </c>
      <c r="I5">
        <v>18.62</v>
      </c>
      <c r="J5">
        <v>3578.28</v>
      </c>
      <c r="K5">
        <v>442.24</v>
      </c>
      <c r="L5">
        <v>413.2</v>
      </c>
      <c r="M5">
        <v>367.01</v>
      </c>
      <c r="O5">
        <f t="shared" ref="O5:O14" si="0">AVERAGE(B5,D5,F5,H5)</f>
        <v>175335.11</v>
      </c>
      <c r="P5">
        <f t="shared" ref="P5:P14" si="1">AVERAGE(B5*C5/100,D5*E5/100,F5*G5/100,H5*I5/100)</f>
        <v>19484.680232749997</v>
      </c>
      <c r="Q5">
        <f t="shared" ref="Q5:Q14" si="2">AVERAGE(J5:M5)</f>
        <v>1200.1825000000001</v>
      </c>
    </row>
    <row r="6" spans="1:17" x14ac:dyDescent="0.2">
      <c r="A6">
        <v>800</v>
      </c>
      <c r="B6">
        <v>179524.18</v>
      </c>
      <c r="C6">
        <v>19.89</v>
      </c>
      <c r="D6">
        <v>179820.55</v>
      </c>
      <c r="E6">
        <v>9.56</v>
      </c>
      <c r="F6">
        <v>170009.47</v>
      </c>
      <c r="G6">
        <v>17.010000000000002</v>
      </c>
      <c r="H6">
        <v>191491.94</v>
      </c>
      <c r="I6">
        <v>22.06</v>
      </c>
      <c r="J6">
        <v>438.1</v>
      </c>
      <c r="K6">
        <v>371.74</v>
      </c>
      <c r="L6">
        <v>365.98</v>
      </c>
      <c r="M6">
        <v>1597.92</v>
      </c>
      <c r="O6">
        <f t="shared" si="0"/>
        <v>180211.53499999997</v>
      </c>
      <c r="P6">
        <f t="shared" si="1"/>
        <v>31014.98419825</v>
      </c>
      <c r="Q6">
        <f t="shared" si="2"/>
        <v>693.43500000000006</v>
      </c>
    </row>
    <row r="7" spans="1:17" x14ac:dyDescent="0.2">
      <c r="A7">
        <v>900</v>
      </c>
      <c r="B7">
        <v>191159.21</v>
      </c>
      <c r="C7">
        <v>10.07</v>
      </c>
      <c r="D7">
        <v>178578.75</v>
      </c>
      <c r="E7">
        <v>17.8</v>
      </c>
      <c r="F7">
        <v>185952.46</v>
      </c>
      <c r="G7">
        <v>9.58</v>
      </c>
      <c r="H7">
        <v>185239.75</v>
      </c>
      <c r="I7">
        <v>9.32</v>
      </c>
      <c r="J7">
        <v>373.55</v>
      </c>
      <c r="K7">
        <v>1599.58</v>
      </c>
      <c r="L7">
        <v>356.24</v>
      </c>
      <c r="M7">
        <v>371.96</v>
      </c>
      <c r="O7">
        <f t="shared" si="0"/>
        <v>185232.54249999998</v>
      </c>
      <c r="P7">
        <f t="shared" si="1"/>
        <v>21528.835078750002</v>
      </c>
      <c r="Q7">
        <f t="shared" si="2"/>
        <v>675.33249999999998</v>
      </c>
    </row>
    <row r="8" spans="1:17" x14ac:dyDescent="0.2">
      <c r="A8">
        <v>1000</v>
      </c>
      <c r="B8">
        <v>198333.99</v>
      </c>
      <c r="C8">
        <v>9.61</v>
      </c>
      <c r="D8">
        <v>190066.71</v>
      </c>
      <c r="E8">
        <v>8.69</v>
      </c>
      <c r="F8">
        <v>206351.7</v>
      </c>
      <c r="G8">
        <v>7.99</v>
      </c>
      <c r="H8">
        <v>183509.13</v>
      </c>
      <c r="I8">
        <v>9.1</v>
      </c>
      <c r="J8">
        <v>361.19</v>
      </c>
      <c r="K8">
        <v>360.61</v>
      </c>
      <c r="L8">
        <v>1367.44</v>
      </c>
      <c r="M8">
        <v>380.55</v>
      </c>
      <c r="O8">
        <f t="shared" si="0"/>
        <v>194565.38249999998</v>
      </c>
      <c r="P8">
        <f t="shared" si="1"/>
        <v>17190.881299499997</v>
      </c>
      <c r="Q8">
        <f t="shared" si="2"/>
        <v>617.44749999999999</v>
      </c>
    </row>
    <row r="9" spans="1:17" x14ac:dyDescent="0.2">
      <c r="A9">
        <v>1100</v>
      </c>
      <c r="B9">
        <v>194193.43</v>
      </c>
      <c r="C9">
        <v>11.53</v>
      </c>
      <c r="D9">
        <v>195128.1</v>
      </c>
      <c r="E9">
        <v>23.61</v>
      </c>
      <c r="F9">
        <v>198928.06</v>
      </c>
      <c r="G9">
        <v>19.059999999999999</v>
      </c>
      <c r="H9">
        <v>188804.13</v>
      </c>
      <c r="I9">
        <v>12.32</v>
      </c>
      <c r="J9">
        <v>517.04</v>
      </c>
      <c r="K9">
        <v>399.27</v>
      </c>
      <c r="L9">
        <v>375.99</v>
      </c>
      <c r="M9">
        <v>1245.8699999999999</v>
      </c>
      <c r="O9">
        <f t="shared" si="0"/>
        <v>194263.43000000002</v>
      </c>
      <c r="P9">
        <f t="shared" si="1"/>
        <v>32409.150985249998</v>
      </c>
      <c r="Q9">
        <f t="shared" si="2"/>
        <v>634.54250000000002</v>
      </c>
    </row>
    <row r="10" spans="1:17" x14ac:dyDescent="0.2">
      <c r="A10">
        <v>1200</v>
      </c>
      <c r="B10">
        <v>189843.96</v>
      </c>
      <c r="C10">
        <v>11.07</v>
      </c>
      <c r="D10">
        <v>184109.4</v>
      </c>
      <c r="E10">
        <v>11.05</v>
      </c>
      <c r="F10">
        <v>214662.35</v>
      </c>
      <c r="G10">
        <v>16.91</v>
      </c>
      <c r="H10">
        <v>210965.25</v>
      </c>
      <c r="I10">
        <v>10.5</v>
      </c>
      <c r="J10">
        <v>1834.93</v>
      </c>
      <c r="K10">
        <v>383.61</v>
      </c>
      <c r="L10">
        <v>372.46</v>
      </c>
      <c r="M10">
        <v>400.97</v>
      </c>
      <c r="O10">
        <f t="shared" si="0"/>
        <v>199895.24</v>
      </c>
      <c r="P10">
        <f t="shared" si="1"/>
        <v>24952.642426749997</v>
      </c>
      <c r="Q10">
        <f t="shared" si="2"/>
        <v>747.99250000000006</v>
      </c>
    </row>
    <row r="11" spans="1:17" x14ac:dyDescent="0.2">
      <c r="A11">
        <v>1400</v>
      </c>
      <c r="B11">
        <v>190934.74</v>
      </c>
      <c r="C11">
        <v>11.47</v>
      </c>
      <c r="D11">
        <v>209634.84</v>
      </c>
      <c r="E11">
        <v>13.49</v>
      </c>
      <c r="F11">
        <v>248385.09</v>
      </c>
      <c r="G11">
        <v>9.7899999999999991</v>
      </c>
      <c r="H11">
        <v>234165.04</v>
      </c>
      <c r="I11">
        <v>15.48</v>
      </c>
      <c r="J11">
        <v>819.58</v>
      </c>
      <c r="K11">
        <v>788.94</v>
      </c>
      <c r="L11">
        <v>664.83</v>
      </c>
      <c r="M11">
        <v>814.37</v>
      </c>
      <c r="O11">
        <f t="shared" si="0"/>
        <v>220779.92749999999</v>
      </c>
      <c r="P11">
        <f t="shared" si="1"/>
        <v>27686.40077425</v>
      </c>
      <c r="Q11">
        <f t="shared" si="2"/>
        <v>771.93</v>
      </c>
    </row>
    <row r="12" spans="1:17" x14ac:dyDescent="0.2">
      <c r="A12">
        <v>1600</v>
      </c>
      <c r="B12">
        <v>217539.76</v>
      </c>
      <c r="C12">
        <v>11.29</v>
      </c>
      <c r="D12">
        <v>215717.2</v>
      </c>
      <c r="E12">
        <v>11.46</v>
      </c>
      <c r="F12">
        <v>275912.2</v>
      </c>
      <c r="G12">
        <v>30.39</v>
      </c>
      <c r="H12">
        <v>267180.08</v>
      </c>
      <c r="I12">
        <v>8.67</v>
      </c>
      <c r="J12">
        <v>2488</v>
      </c>
      <c r="K12">
        <v>515.87</v>
      </c>
      <c r="L12">
        <v>676.32</v>
      </c>
      <c r="M12">
        <v>466.6</v>
      </c>
      <c r="O12">
        <f t="shared" si="0"/>
        <v>244087.31</v>
      </c>
      <c r="P12">
        <f t="shared" si="1"/>
        <v>39073.915135000003</v>
      </c>
      <c r="Q12">
        <f t="shared" si="2"/>
        <v>1036.6975</v>
      </c>
    </row>
    <row r="13" spans="1:17" x14ac:dyDescent="0.2">
      <c r="A13">
        <v>1800</v>
      </c>
      <c r="B13">
        <v>303600.43</v>
      </c>
      <c r="C13">
        <v>17.3</v>
      </c>
      <c r="D13">
        <v>291848.98</v>
      </c>
      <c r="E13">
        <v>10.17</v>
      </c>
      <c r="F13">
        <v>317444.65000000002</v>
      </c>
      <c r="G13">
        <v>8.26</v>
      </c>
      <c r="H13">
        <v>290489.33</v>
      </c>
      <c r="I13">
        <v>7.77</v>
      </c>
      <c r="J13">
        <v>565.33000000000004</v>
      </c>
      <c r="K13">
        <v>461.44</v>
      </c>
      <c r="L13">
        <v>453.13</v>
      </c>
      <c r="M13">
        <v>1421.76</v>
      </c>
      <c r="O13">
        <f t="shared" si="0"/>
        <v>300845.84749999997</v>
      </c>
      <c r="P13">
        <f t="shared" si="1"/>
        <v>32748.966171749998</v>
      </c>
      <c r="Q13">
        <f t="shared" si="2"/>
        <v>725.41499999999996</v>
      </c>
    </row>
    <row r="14" spans="1:17" x14ac:dyDescent="0.2">
      <c r="A14">
        <v>2000</v>
      </c>
      <c r="B14">
        <v>261358.73</v>
      </c>
      <c r="C14">
        <v>8.42</v>
      </c>
      <c r="D14">
        <v>301090.55</v>
      </c>
      <c r="E14">
        <v>12.43</v>
      </c>
      <c r="F14">
        <v>291551.56</v>
      </c>
      <c r="G14">
        <v>10.33</v>
      </c>
      <c r="H14">
        <v>318726.13</v>
      </c>
      <c r="I14">
        <v>8.7200000000000006</v>
      </c>
      <c r="J14">
        <v>656.52</v>
      </c>
      <c r="K14">
        <v>561.80999999999995</v>
      </c>
      <c r="L14">
        <v>6274.27</v>
      </c>
      <c r="M14">
        <v>547.79999999999995</v>
      </c>
      <c r="O14">
        <f t="shared" si="0"/>
        <v>293181.74250000005</v>
      </c>
      <c r="P14">
        <f t="shared" si="1"/>
        <v>29335.53877875</v>
      </c>
      <c r="Q14">
        <f t="shared" si="2"/>
        <v>2010.1000000000001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D156-B1A8-B84D-A053-7C8191CF4036}">
  <sheetPr codeName="Sheet3"/>
  <dimension ref="A1:Q44"/>
  <sheetViews>
    <sheetView workbookViewId="0">
      <selection activeCell="O1" sqref="O1:Q14"/>
    </sheetView>
  </sheetViews>
  <sheetFormatPr baseColWidth="10" defaultRowHeight="16" x14ac:dyDescent="0.2"/>
  <sheetData>
    <row r="1" spans="1:17" x14ac:dyDescent="0.2">
      <c r="A1" t="s">
        <v>0</v>
      </c>
      <c r="B1" t="s">
        <v>7</v>
      </c>
      <c r="C1" t="s">
        <v>1</v>
      </c>
      <c r="D1">
        <v>354296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80326.679999999993</v>
      </c>
      <c r="C4">
        <v>9.1199999999999992</v>
      </c>
      <c r="D4">
        <v>79984.3</v>
      </c>
      <c r="E4">
        <v>8.4700000000000006</v>
      </c>
      <c r="F4">
        <v>81125.97</v>
      </c>
      <c r="G4">
        <v>8.16</v>
      </c>
      <c r="H4">
        <v>84305.34</v>
      </c>
      <c r="I4">
        <v>7.61</v>
      </c>
      <c r="J4">
        <v>208.84</v>
      </c>
      <c r="K4">
        <v>1201.56</v>
      </c>
      <c r="L4">
        <v>262.29000000000002</v>
      </c>
      <c r="M4">
        <v>388.01</v>
      </c>
      <c r="O4">
        <f>AVERAGE(B4,D4,F4,H4)</f>
        <v>81435.572499999995</v>
      </c>
      <c r="P4">
        <f>AVERAGE(B4*C4/100,D4*E4/100,F4*G4/100,H4*I4/100)</f>
        <v>6783.9947379999994</v>
      </c>
      <c r="Q4">
        <f>AVERAGE(J4:M4)</f>
        <v>515.17499999999995</v>
      </c>
    </row>
    <row r="5" spans="1:17" x14ac:dyDescent="0.2">
      <c r="A5">
        <v>600</v>
      </c>
      <c r="B5">
        <v>87118.77</v>
      </c>
      <c r="C5">
        <v>8.52</v>
      </c>
      <c r="D5">
        <v>92338.34</v>
      </c>
      <c r="E5">
        <v>7.74</v>
      </c>
      <c r="F5">
        <v>86369.32</v>
      </c>
      <c r="G5">
        <v>10.48</v>
      </c>
      <c r="H5">
        <v>86978.07</v>
      </c>
      <c r="I5">
        <v>7.24</v>
      </c>
      <c r="J5">
        <v>260.14</v>
      </c>
      <c r="K5">
        <v>443.7</v>
      </c>
      <c r="L5">
        <v>565.83000000000004</v>
      </c>
      <c r="M5">
        <v>350.4</v>
      </c>
      <c r="O5">
        <f t="shared" ref="O5:O14" si="0">AVERAGE(B5,D5,F5,H5)</f>
        <v>88201.125</v>
      </c>
      <c r="P5">
        <f t="shared" ref="P5:P14" si="1">AVERAGE(B5*C5/100,D5*E5/100,F5*G5/100,H5*I5/100)</f>
        <v>7479.5559309999999</v>
      </c>
      <c r="Q5">
        <f t="shared" ref="Q5:Q14" si="2">AVERAGE(J5:M5)</f>
        <v>405.01750000000004</v>
      </c>
    </row>
    <row r="6" spans="1:17" x14ac:dyDescent="0.2">
      <c r="A6">
        <v>800</v>
      </c>
      <c r="B6">
        <v>103858.87</v>
      </c>
      <c r="C6">
        <v>7.05</v>
      </c>
      <c r="D6">
        <v>107184.36</v>
      </c>
      <c r="E6">
        <v>18.75</v>
      </c>
      <c r="F6">
        <v>86024.97</v>
      </c>
      <c r="G6">
        <v>8.17</v>
      </c>
      <c r="H6">
        <v>94978.63</v>
      </c>
      <c r="I6">
        <v>7.94</v>
      </c>
      <c r="J6">
        <v>232.11</v>
      </c>
      <c r="K6">
        <v>383.64</v>
      </c>
      <c r="L6">
        <v>197.35</v>
      </c>
      <c r="M6">
        <v>226.02</v>
      </c>
      <c r="O6">
        <f t="shared" si="0"/>
        <v>98011.70749999999</v>
      </c>
      <c r="P6">
        <f t="shared" si="1"/>
        <v>10497.165276500002</v>
      </c>
      <c r="Q6">
        <f t="shared" si="2"/>
        <v>259.78000000000003</v>
      </c>
    </row>
    <row r="7" spans="1:17" x14ac:dyDescent="0.2">
      <c r="A7">
        <v>900</v>
      </c>
      <c r="B7">
        <v>108649.72</v>
      </c>
      <c r="C7">
        <v>19.79</v>
      </c>
      <c r="D7">
        <v>91650.47</v>
      </c>
      <c r="E7">
        <v>7.58</v>
      </c>
      <c r="F7">
        <v>94887.23</v>
      </c>
      <c r="G7">
        <v>9.02</v>
      </c>
      <c r="H7">
        <v>108234.19</v>
      </c>
      <c r="I7">
        <v>19.47</v>
      </c>
      <c r="J7">
        <v>291.2</v>
      </c>
      <c r="K7">
        <v>421.97</v>
      </c>
      <c r="L7">
        <v>383.29</v>
      </c>
      <c r="M7">
        <v>277.52999999999997</v>
      </c>
      <c r="O7">
        <f t="shared" si="0"/>
        <v>100855.4025</v>
      </c>
      <c r="P7">
        <f t="shared" si="1"/>
        <v>14520.227538250001</v>
      </c>
      <c r="Q7">
        <f t="shared" si="2"/>
        <v>343.4975</v>
      </c>
    </row>
    <row r="8" spans="1:17" x14ac:dyDescent="0.2">
      <c r="A8">
        <v>1000</v>
      </c>
      <c r="B8">
        <v>95618.95</v>
      </c>
      <c r="C8">
        <v>8.83</v>
      </c>
      <c r="D8">
        <v>96516.81</v>
      </c>
      <c r="E8">
        <v>6.94</v>
      </c>
      <c r="F8">
        <v>100518.97</v>
      </c>
      <c r="G8">
        <v>18.34</v>
      </c>
      <c r="H8">
        <v>92159.63</v>
      </c>
      <c r="I8">
        <v>8.89</v>
      </c>
      <c r="J8">
        <v>201.99</v>
      </c>
      <c r="K8">
        <v>302.12</v>
      </c>
      <c r="L8">
        <v>374.33</v>
      </c>
      <c r="M8">
        <v>503.84</v>
      </c>
      <c r="O8">
        <f t="shared" si="0"/>
        <v>96203.59</v>
      </c>
      <c r="P8">
        <f t="shared" si="1"/>
        <v>10442.397526000001</v>
      </c>
      <c r="Q8">
        <f t="shared" si="2"/>
        <v>345.57</v>
      </c>
    </row>
    <row r="9" spans="1:17" x14ac:dyDescent="0.2">
      <c r="A9">
        <v>1100</v>
      </c>
      <c r="B9">
        <v>95730.5</v>
      </c>
      <c r="C9">
        <v>9.7899999999999991</v>
      </c>
      <c r="D9">
        <v>100828.74</v>
      </c>
      <c r="E9">
        <v>20.68</v>
      </c>
      <c r="F9">
        <v>94612.75</v>
      </c>
      <c r="G9">
        <v>11.09</v>
      </c>
      <c r="H9">
        <v>98200.07</v>
      </c>
      <c r="I9">
        <v>10.63</v>
      </c>
      <c r="J9">
        <v>301.2</v>
      </c>
      <c r="K9">
        <v>215.36</v>
      </c>
      <c r="L9">
        <v>208.05</v>
      </c>
      <c r="M9">
        <v>205.26</v>
      </c>
      <c r="O9">
        <f t="shared" si="0"/>
        <v>97343.014999999999</v>
      </c>
      <c r="P9">
        <f t="shared" si="1"/>
        <v>12788.655199499997</v>
      </c>
      <c r="Q9">
        <f t="shared" si="2"/>
        <v>232.46749999999997</v>
      </c>
    </row>
    <row r="10" spans="1:17" x14ac:dyDescent="0.2">
      <c r="A10">
        <v>1200</v>
      </c>
      <c r="B10">
        <v>96119.31</v>
      </c>
      <c r="C10">
        <v>19.22</v>
      </c>
      <c r="D10">
        <v>89483.94</v>
      </c>
      <c r="E10">
        <v>9.4499999999999993</v>
      </c>
      <c r="F10">
        <v>95173.68</v>
      </c>
      <c r="G10">
        <v>10.62</v>
      </c>
      <c r="H10">
        <v>99711.03</v>
      </c>
      <c r="I10">
        <v>20.5</v>
      </c>
      <c r="J10">
        <v>368.88</v>
      </c>
      <c r="K10">
        <v>706.85</v>
      </c>
      <c r="L10">
        <v>462.67</v>
      </c>
      <c r="M10">
        <v>428.88</v>
      </c>
      <c r="O10">
        <f t="shared" si="0"/>
        <v>95121.989999999991</v>
      </c>
      <c r="P10">
        <f t="shared" si="1"/>
        <v>14369.642419499998</v>
      </c>
      <c r="Q10">
        <f t="shared" si="2"/>
        <v>491.82000000000005</v>
      </c>
    </row>
    <row r="11" spans="1:17" x14ac:dyDescent="0.2">
      <c r="A11">
        <v>1400</v>
      </c>
      <c r="B11">
        <v>104240.32000000001</v>
      </c>
      <c r="C11">
        <v>20.92</v>
      </c>
      <c r="D11">
        <v>93706.31</v>
      </c>
      <c r="E11">
        <v>10.15</v>
      </c>
      <c r="F11">
        <v>84090.18</v>
      </c>
      <c r="G11">
        <v>9.7899999999999991</v>
      </c>
      <c r="H11">
        <v>94455.92</v>
      </c>
      <c r="I11">
        <v>19.62</v>
      </c>
      <c r="J11">
        <v>288.35000000000002</v>
      </c>
      <c r="K11">
        <v>291.2</v>
      </c>
      <c r="L11">
        <v>292.83999999999997</v>
      </c>
      <c r="M11">
        <v>342.17</v>
      </c>
      <c r="O11">
        <f t="shared" si="0"/>
        <v>94123.182499999995</v>
      </c>
      <c r="P11">
        <f t="shared" si="1"/>
        <v>14520.736383750002</v>
      </c>
      <c r="Q11">
        <f t="shared" si="2"/>
        <v>303.64</v>
      </c>
    </row>
    <row r="12" spans="1:17" x14ac:dyDescent="0.2">
      <c r="A12">
        <v>1600</v>
      </c>
      <c r="B12">
        <v>85501.36</v>
      </c>
      <c r="C12">
        <v>12.05</v>
      </c>
      <c r="D12">
        <v>93434.96</v>
      </c>
      <c r="E12">
        <v>13.29</v>
      </c>
      <c r="F12">
        <v>109897.37</v>
      </c>
      <c r="G12">
        <v>19.98</v>
      </c>
      <c r="H12">
        <v>94991.59</v>
      </c>
      <c r="I12">
        <v>19.61</v>
      </c>
      <c r="J12">
        <v>366.93</v>
      </c>
      <c r="K12">
        <v>405.58</v>
      </c>
      <c r="L12">
        <v>358.45</v>
      </c>
      <c r="M12">
        <v>363.19</v>
      </c>
      <c r="O12">
        <f t="shared" si="0"/>
        <v>95956.32</v>
      </c>
      <c r="P12">
        <f t="shared" si="1"/>
        <v>15826.441347249998</v>
      </c>
      <c r="Q12">
        <f t="shared" si="2"/>
        <v>373.53750000000002</v>
      </c>
    </row>
    <row r="13" spans="1:17" x14ac:dyDescent="0.2">
      <c r="A13">
        <v>1800</v>
      </c>
      <c r="B13">
        <v>121489.39</v>
      </c>
      <c r="C13">
        <v>16.57</v>
      </c>
      <c r="D13">
        <v>116213.61</v>
      </c>
      <c r="E13">
        <v>15.11</v>
      </c>
      <c r="F13">
        <v>118458.83</v>
      </c>
      <c r="G13">
        <v>14.74</v>
      </c>
      <c r="H13">
        <v>118484.48</v>
      </c>
      <c r="I13">
        <v>6.88</v>
      </c>
      <c r="J13">
        <v>285.06</v>
      </c>
      <c r="K13">
        <v>220.73</v>
      </c>
      <c r="L13">
        <v>194.51</v>
      </c>
      <c r="M13">
        <v>206.56</v>
      </c>
      <c r="O13">
        <f t="shared" si="0"/>
        <v>118661.5775</v>
      </c>
      <c r="P13">
        <f t="shared" si="1"/>
        <v>15825.80804</v>
      </c>
      <c r="Q13">
        <f t="shared" si="2"/>
        <v>226.71499999999997</v>
      </c>
    </row>
    <row r="14" spans="1:17" x14ac:dyDescent="0.2">
      <c r="A14">
        <v>2000</v>
      </c>
      <c r="B14">
        <v>108649.22</v>
      </c>
      <c r="C14">
        <v>6.49</v>
      </c>
      <c r="D14">
        <v>109858.98</v>
      </c>
      <c r="E14">
        <v>7.82</v>
      </c>
      <c r="F14">
        <v>109309.75</v>
      </c>
      <c r="G14">
        <v>8.43</v>
      </c>
      <c r="H14">
        <v>105248.74</v>
      </c>
      <c r="I14">
        <v>8.5299999999999994</v>
      </c>
      <c r="J14">
        <v>157.34</v>
      </c>
      <c r="K14">
        <v>158.13</v>
      </c>
      <c r="L14">
        <v>157.13999999999999</v>
      </c>
      <c r="M14">
        <v>157.84</v>
      </c>
      <c r="O14">
        <f t="shared" si="0"/>
        <v>108266.6725</v>
      </c>
      <c r="P14">
        <f t="shared" si="1"/>
        <v>8458.7090152500004</v>
      </c>
      <c r="Q14">
        <f t="shared" si="2"/>
        <v>157.61250000000001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F2A71-1F27-104A-95D9-B78CF1075BD1}">
  <sheetPr codeName="Sheet5"/>
  <dimension ref="A1:Q44"/>
  <sheetViews>
    <sheetView workbookViewId="0">
      <selection activeCell="O1" sqref="O1:Q14"/>
    </sheetView>
  </sheetViews>
  <sheetFormatPr baseColWidth="10" defaultRowHeight="16" x14ac:dyDescent="0.2"/>
  <sheetData>
    <row r="1" spans="1:17" x14ac:dyDescent="0.2">
      <c r="A1" t="s">
        <v>0</v>
      </c>
      <c r="B1" t="s">
        <v>8</v>
      </c>
      <c r="C1" t="s">
        <v>1</v>
      </c>
      <c r="D1">
        <v>300003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72172.899999999994</v>
      </c>
      <c r="C4">
        <v>19.84</v>
      </c>
      <c r="D4">
        <v>65170.65</v>
      </c>
      <c r="E4">
        <v>7.34</v>
      </c>
      <c r="F4">
        <v>73460.33</v>
      </c>
      <c r="G4">
        <v>4.5999999999999996</v>
      </c>
      <c r="H4">
        <v>67653.679999999993</v>
      </c>
      <c r="I4">
        <v>7.95</v>
      </c>
      <c r="J4">
        <v>249.59</v>
      </c>
      <c r="K4">
        <v>1063.6300000000001</v>
      </c>
      <c r="L4">
        <v>241.79</v>
      </c>
      <c r="M4">
        <v>235.52</v>
      </c>
      <c r="O4">
        <f>AVERAGE(B4,D4,F4,H4)</f>
        <v>69614.39</v>
      </c>
      <c r="P4">
        <f>AVERAGE(B4*C4/100,D4*E4/100,F4*G4/100,H4*I4/100)</f>
        <v>6965.0679524999996</v>
      </c>
      <c r="Q4">
        <f>AVERAGE(J4:M4)</f>
        <v>447.63249999999999</v>
      </c>
    </row>
    <row r="5" spans="1:17" x14ac:dyDescent="0.2">
      <c r="A5">
        <v>600</v>
      </c>
      <c r="B5">
        <v>72469.87</v>
      </c>
      <c r="C5">
        <v>5.21</v>
      </c>
      <c r="D5">
        <v>68460.289999999994</v>
      </c>
      <c r="E5">
        <v>8.58</v>
      </c>
      <c r="F5">
        <v>70317.33</v>
      </c>
      <c r="G5">
        <v>7.51</v>
      </c>
      <c r="H5">
        <v>60358.68</v>
      </c>
      <c r="I5">
        <v>7.64</v>
      </c>
      <c r="J5">
        <v>250.7</v>
      </c>
      <c r="K5">
        <v>263.62</v>
      </c>
      <c r="L5">
        <v>255.36</v>
      </c>
      <c r="M5">
        <v>441.24</v>
      </c>
      <c r="O5">
        <f t="shared" ref="O5:O14" si="0">AVERAGE(B5,D5,F5,H5)</f>
        <v>67901.542499999996</v>
      </c>
      <c r="P5">
        <f t="shared" ref="P5:P14" si="1">AVERAGE(B5*C5/100,D5*E5/100,F5*G5/100,H5*I5/100)</f>
        <v>4885.4519359999995</v>
      </c>
      <c r="Q5">
        <f t="shared" ref="Q5:Q14" si="2">AVERAGE(J5:M5)</f>
        <v>302.73</v>
      </c>
    </row>
    <row r="6" spans="1:17" x14ac:dyDescent="0.2">
      <c r="A6">
        <v>800</v>
      </c>
      <c r="B6">
        <v>78304.17</v>
      </c>
      <c r="C6">
        <v>15.91</v>
      </c>
      <c r="D6">
        <v>63846.2</v>
      </c>
      <c r="E6">
        <v>8.1199999999999992</v>
      </c>
      <c r="F6">
        <v>70621.990000000005</v>
      </c>
      <c r="G6">
        <v>17.239999999999998</v>
      </c>
      <c r="H6">
        <v>68513.25</v>
      </c>
      <c r="I6">
        <v>5.42</v>
      </c>
      <c r="J6">
        <v>224.75</v>
      </c>
      <c r="K6">
        <v>238.2</v>
      </c>
      <c r="L6">
        <v>222.91</v>
      </c>
      <c r="M6">
        <v>227.58</v>
      </c>
      <c r="O6">
        <f t="shared" si="0"/>
        <v>70321.402499999997</v>
      </c>
      <c r="P6">
        <f t="shared" si="1"/>
        <v>8382.7885282499992</v>
      </c>
      <c r="Q6">
        <f t="shared" si="2"/>
        <v>228.36</v>
      </c>
    </row>
    <row r="7" spans="1:17" x14ac:dyDescent="0.2">
      <c r="A7">
        <v>900</v>
      </c>
      <c r="B7">
        <v>85434.33</v>
      </c>
      <c r="C7">
        <v>3.35</v>
      </c>
      <c r="D7">
        <v>81458.38</v>
      </c>
      <c r="E7">
        <v>7.85</v>
      </c>
      <c r="F7">
        <v>79854.600000000006</v>
      </c>
      <c r="G7">
        <v>19.100000000000001</v>
      </c>
      <c r="H7">
        <v>73748.72</v>
      </c>
      <c r="I7">
        <v>5.37</v>
      </c>
      <c r="J7">
        <v>218.16</v>
      </c>
      <c r="K7">
        <v>1206.26</v>
      </c>
      <c r="L7">
        <v>222.46</v>
      </c>
      <c r="M7">
        <v>228.46</v>
      </c>
      <c r="O7">
        <f t="shared" si="0"/>
        <v>80124.007500000007</v>
      </c>
      <c r="P7">
        <f t="shared" si="1"/>
        <v>7117.2669372500004</v>
      </c>
      <c r="Q7">
        <f t="shared" si="2"/>
        <v>468.83500000000004</v>
      </c>
    </row>
    <row r="8" spans="1:17" x14ac:dyDescent="0.2">
      <c r="A8">
        <v>1000</v>
      </c>
      <c r="B8">
        <v>65637.77</v>
      </c>
      <c r="C8">
        <v>6.22</v>
      </c>
      <c r="D8">
        <v>68586.11</v>
      </c>
      <c r="E8">
        <v>5.57</v>
      </c>
      <c r="F8">
        <v>69158.09</v>
      </c>
      <c r="G8">
        <v>8.17</v>
      </c>
      <c r="H8">
        <v>65474.12</v>
      </c>
      <c r="I8">
        <v>6.06</v>
      </c>
      <c r="J8">
        <v>223.26</v>
      </c>
      <c r="K8">
        <v>239.45</v>
      </c>
      <c r="L8">
        <v>224.22</v>
      </c>
      <c r="M8">
        <v>235.87</v>
      </c>
      <c r="O8">
        <f t="shared" si="0"/>
        <v>67214.022500000006</v>
      </c>
      <c r="P8">
        <f t="shared" si="1"/>
        <v>4380.2158115000002</v>
      </c>
      <c r="Q8">
        <f t="shared" si="2"/>
        <v>230.7</v>
      </c>
    </row>
    <row r="9" spans="1:17" x14ac:dyDescent="0.2">
      <c r="A9">
        <v>1100</v>
      </c>
      <c r="B9">
        <v>81709</v>
      </c>
      <c r="C9">
        <v>7.45</v>
      </c>
      <c r="D9">
        <v>69290.820000000007</v>
      </c>
      <c r="E9">
        <v>6.74</v>
      </c>
      <c r="F9">
        <v>74310.23</v>
      </c>
      <c r="G9">
        <v>6.32</v>
      </c>
      <c r="H9">
        <v>67512.61</v>
      </c>
      <c r="I9">
        <v>6.15</v>
      </c>
      <c r="J9">
        <v>219.75</v>
      </c>
      <c r="K9">
        <v>218.8</v>
      </c>
      <c r="L9">
        <v>218.33</v>
      </c>
      <c r="M9">
        <v>223.37</v>
      </c>
      <c r="O9">
        <f t="shared" si="0"/>
        <v>73205.664999999994</v>
      </c>
      <c r="P9">
        <f t="shared" si="1"/>
        <v>4901.4884547500005</v>
      </c>
      <c r="Q9">
        <f t="shared" si="2"/>
        <v>220.0625</v>
      </c>
    </row>
    <row r="10" spans="1:17" x14ac:dyDescent="0.2">
      <c r="A10">
        <v>1200</v>
      </c>
      <c r="B10">
        <v>74558.47</v>
      </c>
      <c r="C10">
        <v>8.84</v>
      </c>
      <c r="D10">
        <v>67903.64</v>
      </c>
      <c r="E10">
        <v>9.27</v>
      </c>
      <c r="F10">
        <v>69358.16</v>
      </c>
      <c r="G10">
        <v>7.31</v>
      </c>
      <c r="H10">
        <v>66042.679999999993</v>
      </c>
      <c r="I10">
        <v>5.82</v>
      </c>
      <c r="J10">
        <v>223.87</v>
      </c>
      <c r="K10">
        <v>247.18</v>
      </c>
      <c r="L10">
        <v>228.17</v>
      </c>
      <c r="M10">
        <v>232.73</v>
      </c>
      <c r="O10">
        <f t="shared" si="0"/>
        <v>69465.737499999988</v>
      </c>
      <c r="P10">
        <f t="shared" si="1"/>
        <v>5449.8504119999998</v>
      </c>
      <c r="Q10">
        <f t="shared" si="2"/>
        <v>232.98750000000001</v>
      </c>
    </row>
    <row r="11" spans="1:17" x14ac:dyDescent="0.2">
      <c r="A11">
        <v>1400</v>
      </c>
      <c r="B11">
        <v>67740.47</v>
      </c>
      <c r="C11">
        <v>6.17</v>
      </c>
      <c r="D11">
        <v>67759.820000000007</v>
      </c>
      <c r="E11">
        <v>5.65</v>
      </c>
      <c r="F11">
        <v>68876.87</v>
      </c>
      <c r="G11">
        <v>5.5</v>
      </c>
      <c r="H11">
        <v>66740.2</v>
      </c>
      <c r="I11">
        <v>5.84</v>
      </c>
      <c r="J11">
        <v>220.5</v>
      </c>
      <c r="K11">
        <v>258.13</v>
      </c>
      <c r="L11">
        <v>231.82</v>
      </c>
      <c r="M11">
        <v>226.88</v>
      </c>
      <c r="O11">
        <f t="shared" si="0"/>
        <v>67779.34</v>
      </c>
      <c r="P11">
        <f t="shared" si="1"/>
        <v>3923.4680897499998</v>
      </c>
      <c r="Q11">
        <f t="shared" si="2"/>
        <v>234.33250000000001</v>
      </c>
    </row>
    <row r="12" spans="1:17" x14ac:dyDescent="0.2">
      <c r="A12">
        <v>1600</v>
      </c>
      <c r="B12">
        <v>72534.899999999994</v>
      </c>
      <c r="C12">
        <v>8.32</v>
      </c>
      <c r="D12">
        <v>73422.39</v>
      </c>
      <c r="E12">
        <v>6.37</v>
      </c>
      <c r="F12">
        <v>73029.509999999995</v>
      </c>
      <c r="G12">
        <v>6.33</v>
      </c>
      <c r="H12">
        <v>69890.820000000007</v>
      </c>
      <c r="I12">
        <v>6.34</v>
      </c>
      <c r="J12">
        <v>220.74</v>
      </c>
      <c r="K12">
        <v>256.36</v>
      </c>
      <c r="L12">
        <v>234.52</v>
      </c>
      <c r="M12">
        <v>244.24</v>
      </c>
      <c r="O12">
        <f t="shared" si="0"/>
        <v>72219.404999999999</v>
      </c>
      <c r="P12">
        <f t="shared" si="1"/>
        <v>4941.4389735000004</v>
      </c>
      <c r="Q12">
        <f t="shared" si="2"/>
        <v>238.965</v>
      </c>
    </row>
    <row r="13" spans="1:17" x14ac:dyDescent="0.2">
      <c r="A13">
        <v>1800</v>
      </c>
      <c r="B13">
        <v>81863.23</v>
      </c>
      <c r="C13">
        <v>9.93</v>
      </c>
      <c r="D13">
        <v>97746.04</v>
      </c>
      <c r="E13">
        <v>5.81</v>
      </c>
      <c r="F13">
        <v>77496.820000000007</v>
      </c>
      <c r="G13">
        <v>6.35</v>
      </c>
      <c r="H13">
        <v>80208.84</v>
      </c>
      <c r="I13">
        <v>13.71</v>
      </c>
      <c r="J13">
        <v>240.14</v>
      </c>
      <c r="K13">
        <v>267.77999999999997</v>
      </c>
      <c r="L13">
        <v>903.68</v>
      </c>
      <c r="M13">
        <v>239.1</v>
      </c>
      <c r="O13">
        <f t="shared" si="0"/>
        <v>84328.732499999998</v>
      </c>
      <c r="P13">
        <f t="shared" si="1"/>
        <v>7431.4359242499995</v>
      </c>
      <c r="Q13">
        <f t="shared" si="2"/>
        <v>412.67499999999995</v>
      </c>
    </row>
    <row r="14" spans="1:17" x14ac:dyDescent="0.2">
      <c r="A14">
        <v>2000</v>
      </c>
      <c r="B14">
        <v>72982.070000000007</v>
      </c>
      <c r="C14">
        <v>6.64</v>
      </c>
      <c r="D14">
        <v>74131.63</v>
      </c>
      <c r="E14">
        <v>5.72</v>
      </c>
      <c r="F14">
        <v>72529.259999999995</v>
      </c>
      <c r="G14">
        <v>6.06</v>
      </c>
      <c r="H14">
        <v>73007.44</v>
      </c>
      <c r="I14">
        <v>6.22</v>
      </c>
      <c r="J14">
        <v>219.32</v>
      </c>
      <c r="K14">
        <v>216.03</v>
      </c>
      <c r="L14">
        <v>225.36</v>
      </c>
      <c r="M14">
        <v>1365.53</v>
      </c>
      <c r="O14">
        <f t="shared" si="0"/>
        <v>73162.600000000006</v>
      </c>
      <c r="P14">
        <f t="shared" si="1"/>
        <v>4505.6686519999994</v>
      </c>
      <c r="Q14">
        <f t="shared" si="2"/>
        <v>506.56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50C8-85E5-D847-9754-26C4C2184F8B}">
  <sheetPr codeName="Sheet7"/>
  <dimension ref="A1:Q44"/>
  <sheetViews>
    <sheetView workbookViewId="0">
      <selection activeCell="O1" sqref="O1:Q14"/>
    </sheetView>
  </sheetViews>
  <sheetFormatPr baseColWidth="10" defaultRowHeight="16" x14ac:dyDescent="0.2"/>
  <sheetData>
    <row r="1" spans="1:17" x14ac:dyDescent="0.2">
      <c r="A1" t="s">
        <v>0</v>
      </c>
      <c r="B1" t="s">
        <v>9</v>
      </c>
      <c r="C1" t="s">
        <v>1</v>
      </c>
      <c r="D1">
        <v>300003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48554.63</v>
      </c>
      <c r="C4">
        <v>6.66</v>
      </c>
      <c r="D4">
        <v>55273.89</v>
      </c>
      <c r="E4">
        <v>5.22</v>
      </c>
      <c r="F4">
        <v>56495.88</v>
      </c>
      <c r="G4">
        <v>8.5399999999999991</v>
      </c>
      <c r="H4">
        <v>65880.509999999995</v>
      </c>
      <c r="I4">
        <v>3.39</v>
      </c>
      <c r="J4">
        <v>125.68</v>
      </c>
      <c r="K4">
        <v>125.77</v>
      </c>
      <c r="L4">
        <v>126.81</v>
      </c>
      <c r="M4">
        <v>128.41</v>
      </c>
      <c r="O4">
        <f>AVERAGE(B4,D4,F4,H4)</f>
        <v>56551.227499999994</v>
      </c>
      <c r="P4">
        <f>AVERAGE(B4*C4/100,D4*E4/100,F4*G4/100,H4*I4/100)</f>
        <v>3294.2832142499997</v>
      </c>
      <c r="Q4">
        <f>AVERAGE(J4:M4)</f>
        <v>126.66749999999999</v>
      </c>
    </row>
    <row r="5" spans="1:17" x14ac:dyDescent="0.2">
      <c r="A5">
        <v>600</v>
      </c>
      <c r="B5">
        <v>53600.82</v>
      </c>
      <c r="C5">
        <v>6.46</v>
      </c>
      <c r="D5">
        <v>54534.38</v>
      </c>
      <c r="E5">
        <v>4.9800000000000004</v>
      </c>
      <c r="F5">
        <v>60121.78</v>
      </c>
      <c r="G5">
        <v>5.58</v>
      </c>
      <c r="H5">
        <v>54700.08</v>
      </c>
      <c r="I5">
        <v>5.73</v>
      </c>
      <c r="J5">
        <v>128.78</v>
      </c>
      <c r="K5">
        <v>126.45</v>
      </c>
      <c r="L5">
        <v>128.26</v>
      </c>
      <c r="M5">
        <v>127.22</v>
      </c>
      <c r="O5">
        <f t="shared" ref="O5:O14" si="0">AVERAGE(B5,D5,F5,H5)</f>
        <v>55739.264999999999</v>
      </c>
      <c r="P5">
        <f t="shared" ref="P5:P14" si="1">AVERAGE(B5*C5/100,D5*E5/100,F5*G5/100,H5*I5/100)</f>
        <v>3166.8837510000003</v>
      </c>
      <c r="Q5">
        <f t="shared" ref="Q5:Q14" si="2">AVERAGE(J5:M5)</f>
        <v>127.67750000000001</v>
      </c>
    </row>
    <row r="6" spans="1:17" x14ac:dyDescent="0.2">
      <c r="A6">
        <v>800</v>
      </c>
      <c r="B6">
        <v>54417.41</v>
      </c>
      <c r="C6">
        <v>4.96</v>
      </c>
      <c r="D6">
        <v>57364.17</v>
      </c>
      <c r="E6">
        <v>8.15</v>
      </c>
      <c r="F6">
        <v>68639.63</v>
      </c>
      <c r="G6">
        <v>16.27</v>
      </c>
      <c r="H6">
        <v>63751.88</v>
      </c>
      <c r="I6">
        <v>9.1999999999999993</v>
      </c>
      <c r="J6">
        <v>228.02</v>
      </c>
      <c r="K6">
        <v>147.04</v>
      </c>
      <c r="L6">
        <v>135.30000000000001</v>
      </c>
      <c r="M6">
        <v>163.58000000000001</v>
      </c>
      <c r="O6">
        <f t="shared" si="0"/>
        <v>61043.272500000006</v>
      </c>
      <c r="P6">
        <f t="shared" si="1"/>
        <v>6101.7810380000001</v>
      </c>
      <c r="Q6">
        <f t="shared" si="2"/>
        <v>168.48500000000001</v>
      </c>
    </row>
    <row r="7" spans="1:17" x14ac:dyDescent="0.2">
      <c r="A7">
        <v>900</v>
      </c>
      <c r="B7">
        <v>83463.839999999997</v>
      </c>
      <c r="C7">
        <v>26.63</v>
      </c>
      <c r="D7">
        <v>69990.3</v>
      </c>
      <c r="E7">
        <v>6.62</v>
      </c>
      <c r="F7">
        <v>64323.06</v>
      </c>
      <c r="G7">
        <v>15.2</v>
      </c>
      <c r="H7">
        <v>59241.53</v>
      </c>
      <c r="I7">
        <v>6.79</v>
      </c>
      <c r="J7">
        <v>162.05000000000001</v>
      </c>
      <c r="K7">
        <v>165.49</v>
      </c>
      <c r="L7">
        <v>136.58000000000001</v>
      </c>
      <c r="M7">
        <v>157.32</v>
      </c>
      <c r="O7">
        <f t="shared" si="0"/>
        <v>69254.682499999995</v>
      </c>
      <c r="P7">
        <f t="shared" si="1"/>
        <v>10164.845864749999</v>
      </c>
      <c r="Q7">
        <f t="shared" si="2"/>
        <v>155.36000000000001</v>
      </c>
    </row>
    <row r="8" spans="1:17" x14ac:dyDescent="0.2">
      <c r="A8">
        <v>1000</v>
      </c>
      <c r="B8">
        <v>71455.33</v>
      </c>
      <c r="C8">
        <v>5.33</v>
      </c>
      <c r="D8">
        <v>57481.74</v>
      </c>
      <c r="E8">
        <v>4.3</v>
      </c>
      <c r="F8">
        <v>62952.58</v>
      </c>
      <c r="G8">
        <v>16.45</v>
      </c>
      <c r="H8">
        <v>58978.17</v>
      </c>
      <c r="I8">
        <v>4.49</v>
      </c>
      <c r="J8">
        <v>1180.78</v>
      </c>
      <c r="K8">
        <v>166.98</v>
      </c>
      <c r="L8">
        <v>149</v>
      </c>
      <c r="M8">
        <v>132.79</v>
      </c>
      <c r="O8">
        <f t="shared" si="0"/>
        <v>62716.955000000002</v>
      </c>
      <c r="P8">
        <f t="shared" si="1"/>
        <v>4821.0257879999999</v>
      </c>
      <c r="Q8">
        <f t="shared" si="2"/>
        <v>407.38749999999999</v>
      </c>
    </row>
    <row r="9" spans="1:17" x14ac:dyDescent="0.2">
      <c r="A9">
        <v>1100</v>
      </c>
      <c r="B9">
        <v>70176.94</v>
      </c>
      <c r="C9">
        <v>5.93</v>
      </c>
      <c r="D9">
        <v>64290.73</v>
      </c>
      <c r="E9">
        <v>4.82</v>
      </c>
      <c r="F9">
        <v>69334.25</v>
      </c>
      <c r="G9">
        <v>3.97</v>
      </c>
      <c r="H9">
        <v>62604.76</v>
      </c>
      <c r="I9">
        <v>8.4600000000000009</v>
      </c>
      <c r="J9">
        <v>127.19</v>
      </c>
      <c r="K9">
        <v>129.56</v>
      </c>
      <c r="L9">
        <v>132.09</v>
      </c>
      <c r="M9">
        <v>128.44999999999999</v>
      </c>
      <c r="O9">
        <f t="shared" si="0"/>
        <v>66601.67</v>
      </c>
      <c r="P9">
        <f t="shared" si="1"/>
        <v>3827.3095372500002</v>
      </c>
      <c r="Q9">
        <f t="shared" si="2"/>
        <v>129.32249999999999</v>
      </c>
    </row>
    <row r="10" spans="1:17" x14ac:dyDescent="0.2">
      <c r="A10">
        <v>1200</v>
      </c>
      <c r="B10">
        <v>73066.83</v>
      </c>
      <c r="C10">
        <v>4.9400000000000004</v>
      </c>
      <c r="D10">
        <v>69654.509999999995</v>
      </c>
      <c r="E10">
        <v>4.38</v>
      </c>
      <c r="F10">
        <v>65939</v>
      </c>
      <c r="G10">
        <v>4.2699999999999996</v>
      </c>
      <c r="H10">
        <v>63436.81</v>
      </c>
      <c r="I10">
        <v>3.87</v>
      </c>
      <c r="J10">
        <v>118.8</v>
      </c>
      <c r="K10">
        <v>124.39</v>
      </c>
      <c r="L10">
        <v>125.92</v>
      </c>
      <c r="M10">
        <v>124.59</v>
      </c>
      <c r="O10">
        <f t="shared" si="0"/>
        <v>68024.287500000006</v>
      </c>
      <c r="P10">
        <f t="shared" si="1"/>
        <v>2982.7421967499999</v>
      </c>
      <c r="Q10">
        <f t="shared" si="2"/>
        <v>123.42500000000001</v>
      </c>
    </row>
    <row r="11" spans="1:17" x14ac:dyDescent="0.2">
      <c r="A11">
        <v>1400</v>
      </c>
      <c r="B11">
        <v>66524.87</v>
      </c>
      <c r="C11">
        <v>4.5599999999999996</v>
      </c>
      <c r="D11">
        <v>65946.3</v>
      </c>
      <c r="E11">
        <v>7.48</v>
      </c>
      <c r="F11">
        <v>66543.179999999993</v>
      </c>
      <c r="G11">
        <v>4.01</v>
      </c>
      <c r="H11">
        <v>63555.44</v>
      </c>
      <c r="I11">
        <v>3.91</v>
      </c>
      <c r="J11">
        <v>118.4</v>
      </c>
      <c r="K11">
        <v>125.11</v>
      </c>
      <c r="L11">
        <v>129.82</v>
      </c>
      <c r="M11">
        <v>131.31</v>
      </c>
      <c r="O11">
        <f t="shared" si="0"/>
        <v>65642.447499999995</v>
      </c>
      <c r="P11">
        <f t="shared" si="1"/>
        <v>3279.9291334999998</v>
      </c>
      <c r="Q11">
        <f t="shared" si="2"/>
        <v>126.16</v>
      </c>
    </row>
    <row r="12" spans="1:17" x14ac:dyDescent="0.2">
      <c r="A12">
        <v>1600</v>
      </c>
      <c r="B12">
        <v>64614.38</v>
      </c>
      <c r="C12">
        <v>5.6</v>
      </c>
      <c r="D12">
        <v>62662.27</v>
      </c>
      <c r="E12">
        <v>4.53</v>
      </c>
      <c r="F12">
        <v>67717.11</v>
      </c>
      <c r="G12">
        <v>8.5</v>
      </c>
      <c r="H12">
        <v>59514.95</v>
      </c>
      <c r="I12">
        <v>5.71</v>
      </c>
      <c r="J12">
        <v>1190.1199999999999</v>
      </c>
      <c r="K12">
        <v>127.77</v>
      </c>
      <c r="L12">
        <v>132.36000000000001</v>
      </c>
      <c r="M12">
        <v>126.59</v>
      </c>
      <c r="O12">
        <f t="shared" si="0"/>
        <v>63627.177500000005</v>
      </c>
      <c r="P12">
        <f t="shared" si="1"/>
        <v>3902.8160265000001</v>
      </c>
      <c r="Q12">
        <f t="shared" si="2"/>
        <v>394.21</v>
      </c>
    </row>
    <row r="13" spans="1:17" x14ac:dyDescent="0.2">
      <c r="A13">
        <v>1800</v>
      </c>
      <c r="B13">
        <v>70358.95</v>
      </c>
      <c r="C13">
        <v>4.1399999999999997</v>
      </c>
      <c r="D13">
        <v>71156.72</v>
      </c>
      <c r="E13">
        <v>4.79</v>
      </c>
      <c r="F13">
        <v>73064.490000000005</v>
      </c>
      <c r="G13">
        <v>4.22</v>
      </c>
      <c r="H13">
        <v>75071.58</v>
      </c>
      <c r="I13">
        <v>14.12</v>
      </c>
      <c r="J13">
        <v>173.97</v>
      </c>
      <c r="K13">
        <v>133.63</v>
      </c>
      <c r="L13">
        <v>134.88999999999999</v>
      </c>
      <c r="M13">
        <v>131.36000000000001</v>
      </c>
      <c r="O13">
        <f t="shared" si="0"/>
        <v>72412.934999999998</v>
      </c>
      <c r="P13">
        <f t="shared" si="1"/>
        <v>5001.1739980000002</v>
      </c>
      <c r="Q13">
        <f t="shared" si="2"/>
        <v>143.46250000000001</v>
      </c>
    </row>
    <row r="14" spans="1:17" x14ac:dyDescent="0.2">
      <c r="A14">
        <v>2000</v>
      </c>
      <c r="B14">
        <v>68634.929999999993</v>
      </c>
      <c r="C14">
        <v>3.79</v>
      </c>
      <c r="D14">
        <v>74863.100000000006</v>
      </c>
      <c r="E14">
        <v>4.0599999999999996</v>
      </c>
      <c r="F14">
        <v>67169.22</v>
      </c>
      <c r="G14">
        <v>4.28</v>
      </c>
      <c r="H14">
        <v>70225.33</v>
      </c>
      <c r="I14">
        <v>3.59</v>
      </c>
      <c r="J14">
        <v>119.3</v>
      </c>
      <c r="K14">
        <v>1051.8800000000001</v>
      </c>
      <c r="L14">
        <v>130.47999999999999</v>
      </c>
      <c r="M14">
        <v>127.02</v>
      </c>
      <c r="O14">
        <f t="shared" si="0"/>
        <v>70223.145000000004</v>
      </c>
      <c r="P14">
        <f t="shared" si="1"/>
        <v>2759.1594174999996</v>
      </c>
      <c r="Q14">
        <f t="shared" si="2"/>
        <v>357.17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70013-3837-8347-9553-7F806DAD5CCA}">
  <sheetPr codeName="Sheet8"/>
  <dimension ref="A1:Q44"/>
  <sheetViews>
    <sheetView workbookViewId="0">
      <selection activeCell="O3" sqref="O3"/>
    </sheetView>
  </sheetViews>
  <sheetFormatPr baseColWidth="10" defaultRowHeight="16" x14ac:dyDescent="0.2"/>
  <sheetData>
    <row r="1" spans="1:17" x14ac:dyDescent="0.2">
      <c r="A1" t="s">
        <v>0</v>
      </c>
      <c r="B1" t="s">
        <v>10</v>
      </c>
      <c r="C1" t="s">
        <v>1</v>
      </c>
      <c r="D1">
        <v>300003</v>
      </c>
    </row>
    <row r="2" spans="1:17" x14ac:dyDescent="0.2">
      <c r="B2" t="s">
        <v>20</v>
      </c>
      <c r="L2" t="s">
        <v>21</v>
      </c>
      <c r="O2" t="s">
        <v>3</v>
      </c>
    </row>
    <row r="3" spans="1:17" x14ac:dyDescent="0.2">
      <c r="B3" t="s">
        <v>2</v>
      </c>
      <c r="C3" t="s">
        <v>22</v>
      </c>
      <c r="D3" t="s">
        <v>2</v>
      </c>
      <c r="E3" t="s">
        <v>22</v>
      </c>
      <c r="F3" t="s">
        <v>2</v>
      </c>
      <c r="G3" t="s">
        <v>22</v>
      </c>
      <c r="H3" t="s">
        <v>2</v>
      </c>
      <c r="I3" t="s">
        <v>22</v>
      </c>
      <c r="J3" t="s">
        <v>2</v>
      </c>
      <c r="K3" t="s">
        <v>2</v>
      </c>
      <c r="L3" t="s">
        <v>2</v>
      </c>
      <c r="M3" t="s">
        <v>2</v>
      </c>
      <c r="O3" t="s">
        <v>23</v>
      </c>
      <c r="P3" t="s">
        <v>24</v>
      </c>
      <c r="Q3" t="s">
        <v>25</v>
      </c>
    </row>
    <row r="4" spans="1:17" x14ac:dyDescent="0.2">
      <c r="A4">
        <v>400</v>
      </c>
      <c r="B4">
        <v>55988.45</v>
      </c>
      <c r="C4">
        <v>19.34</v>
      </c>
      <c r="D4">
        <v>51685.87</v>
      </c>
      <c r="E4">
        <v>4.93</v>
      </c>
      <c r="F4">
        <v>73019.67</v>
      </c>
      <c r="G4">
        <v>4.3099999999999996</v>
      </c>
      <c r="H4">
        <v>61633.75</v>
      </c>
      <c r="I4">
        <v>6.32</v>
      </c>
      <c r="J4">
        <v>811.28</v>
      </c>
      <c r="K4">
        <v>159.94</v>
      </c>
      <c r="L4">
        <v>153.13999999999999</v>
      </c>
      <c r="M4">
        <v>164.65</v>
      </c>
      <c r="O4">
        <f>AVERAGE(B4,D4,F4,H4)</f>
        <v>60581.934999999998</v>
      </c>
      <c r="P4">
        <f>AVERAGE(B4*C4/100,D4*E4/100,F4*G4/100,H4*I4/100)</f>
        <v>5104.6700995000001</v>
      </c>
      <c r="Q4">
        <f>AVERAGE(J4:M4)</f>
        <v>322.25250000000005</v>
      </c>
    </row>
    <row r="5" spans="1:17" x14ac:dyDescent="0.2">
      <c r="A5">
        <v>600</v>
      </c>
      <c r="B5">
        <v>61457.2</v>
      </c>
      <c r="C5">
        <v>17.809999999999999</v>
      </c>
      <c r="D5">
        <v>53651.08</v>
      </c>
      <c r="E5">
        <v>4.5999999999999996</v>
      </c>
      <c r="F5">
        <v>59087.46</v>
      </c>
      <c r="G5">
        <v>6.49</v>
      </c>
      <c r="H5">
        <v>55475.83</v>
      </c>
      <c r="I5">
        <v>5.55</v>
      </c>
      <c r="J5">
        <v>158.06</v>
      </c>
      <c r="K5">
        <v>150.13999999999999</v>
      </c>
      <c r="L5">
        <v>150.09</v>
      </c>
      <c r="M5">
        <v>164.16</v>
      </c>
      <c r="O5">
        <f t="shared" ref="O5:O14" si="0">AVERAGE(B5,D5,F5,H5)</f>
        <v>57417.892500000002</v>
      </c>
      <c r="P5">
        <f t="shared" ref="P5:P14" si="1">AVERAGE(B5*C5/100,D5*E5/100,F5*G5/100,H5*I5/100)</f>
        <v>5081.790429749999</v>
      </c>
      <c r="Q5">
        <f t="shared" ref="Q5:Q14" si="2">AVERAGE(J5:M5)</f>
        <v>155.61249999999998</v>
      </c>
    </row>
    <row r="6" spans="1:17" x14ac:dyDescent="0.2">
      <c r="A6">
        <v>800</v>
      </c>
      <c r="B6">
        <v>64915.43</v>
      </c>
      <c r="C6">
        <v>4.33</v>
      </c>
      <c r="D6">
        <v>56429.09</v>
      </c>
      <c r="E6">
        <v>4.25</v>
      </c>
      <c r="F6">
        <v>63414.16</v>
      </c>
      <c r="G6">
        <v>16.07</v>
      </c>
      <c r="H6">
        <v>58395.5</v>
      </c>
      <c r="I6">
        <v>6.86</v>
      </c>
      <c r="J6">
        <v>158.96</v>
      </c>
      <c r="K6">
        <v>151.44</v>
      </c>
      <c r="L6">
        <v>148.5</v>
      </c>
      <c r="M6">
        <v>159.53</v>
      </c>
      <c r="O6">
        <f t="shared" si="0"/>
        <v>60788.544999999998</v>
      </c>
      <c r="P6">
        <f t="shared" si="1"/>
        <v>4851.4153139999999</v>
      </c>
      <c r="Q6">
        <f t="shared" si="2"/>
        <v>154.60749999999999</v>
      </c>
    </row>
    <row r="7" spans="1:17" x14ac:dyDescent="0.2">
      <c r="A7">
        <v>900</v>
      </c>
      <c r="B7">
        <v>63899.77</v>
      </c>
      <c r="C7">
        <v>16.3</v>
      </c>
      <c r="D7">
        <v>57592.54</v>
      </c>
      <c r="E7">
        <v>6.73</v>
      </c>
      <c r="F7">
        <v>63793.61</v>
      </c>
      <c r="G7">
        <v>16.68</v>
      </c>
      <c r="H7">
        <v>59434.21</v>
      </c>
      <c r="I7">
        <v>4.62</v>
      </c>
      <c r="J7">
        <v>193.65</v>
      </c>
      <c r="K7">
        <v>156.96</v>
      </c>
      <c r="L7">
        <v>152.66</v>
      </c>
      <c r="M7">
        <v>162.81</v>
      </c>
      <c r="O7">
        <f t="shared" si="0"/>
        <v>61180.032499999994</v>
      </c>
      <c r="P7">
        <f t="shared" si="1"/>
        <v>6919.568775499999</v>
      </c>
      <c r="Q7">
        <f t="shared" si="2"/>
        <v>166.51999999999998</v>
      </c>
    </row>
    <row r="8" spans="1:17" x14ac:dyDescent="0.2">
      <c r="A8">
        <v>1000</v>
      </c>
      <c r="B8">
        <v>59997.440000000002</v>
      </c>
      <c r="C8">
        <v>6.24</v>
      </c>
      <c r="D8">
        <v>63795.1</v>
      </c>
      <c r="E8">
        <v>6.89</v>
      </c>
      <c r="F8">
        <v>71276.81</v>
      </c>
      <c r="G8">
        <v>5.71</v>
      </c>
      <c r="H8">
        <v>60320.73</v>
      </c>
      <c r="I8">
        <v>7.95</v>
      </c>
      <c r="J8">
        <v>183.69</v>
      </c>
      <c r="K8">
        <v>152.81</v>
      </c>
      <c r="L8">
        <v>152.88</v>
      </c>
      <c r="M8">
        <v>162.85</v>
      </c>
      <c r="O8">
        <f t="shared" si="0"/>
        <v>63847.520000000004</v>
      </c>
      <c r="P8">
        <f t="shared" si="1"/>
        <v>4251.1816330000001</v>
      </c>
      <c r="Q8">
        <f t="shared" si="2"/>
        <v>163.0575</v>
      </c>
    </row>
    <row r="9" spans="1:17" x14ac:dyDescent="0.2">
      <c r="A9">
        <v>1100</v>
      </c>
      <c r="B9">
        <v>61781.9</v>
      </c>
      <c r="C9">
        <v>15.88</v>
      </c>
      <c r="D9">
        <v>54804.800000000003</v>
      </c>
      <c r="E9">
        <v>5.0199999999999996</v>
      </c>
      <c r="F9">
        <v>55448.41</v>
      </c>
      <c r="G9">
        <v>6.02</v>
      </c>
      <c r="H9">
        <v>58182.9</v>
      </c>
      <c r="I9">
        <v>3.78</v>
      </c>
      <c r="J9">
        <v>1541.73</v>
      </c>
      <c r="K9">
        <v>172.59</v>
      </c>
      <c r="L9">
        <v>226.63</v>
      </c>
      <c r="M9">
        <v>197.61</v>
      </c>
      <c r="O9">
        <f t="shared" si="0"/>
        <v>57554.502500000002</v>
      </c>
      <c r="P9">
        <f t="shared" si="1"/>
        <v>4524.8686454999997</v>
      </c>
      <c r="Q9">
        <f t="shared" si="2"/>
        <v>534.64</v>
      </c>
    </row>
    <row r="10" spans="1:17" x14ac:dyDescent="0.2">
      <c r="A10">
        <v>1200</v>
      </c>
      <c r="B10">
        <v>67119.179999999993</v>
      </c>
      <c r="C10">
        <v>4.3899999999999997</v>
      </c>
      <c r="D10">
        <v>65234.33</v>
      </c>
      <c r="E10">
        <v>4.71</v>
      </c>
      <c r="F10">
        <v>62643.26</v>
      </c>
      <c r="G10">
        <v>5.51</v>
      </c>
      <c r="H10">
        <v>67752.62</v>
      </c>
      <c r="I10">
        <v>6.42</v>
      </c>
      <c r="J10">
        <v>160.12</v>
      </c>
      <c r="K10">
        <v>146.83000000000001</v>
      </c>
      <c r="L10">
        <v>148.21</v>
      </c>
      <c r="M10">
        <v>157.94999999999999</v>
      </c>
      <c r="O10">
        <f t="shared" si="0"/>
        <v>65687.347500000003</v>
      </c>
      <c r="P10">
        <f t="shared" si="1"/>
        <v>3455.1076937500002</v>
      </c>
      <c r="Q10">
        <f t="shared" si="2"/>
        <v>153.27750000000003</v>
      </c>
    </row>
    <row r="11" spans="1:17" x14ac:dyDescent="0.2">
      <c r="A11">
        <v>1400</v>
      </c>
      <c r="B11">
        <v>59845.11</v>
      </c>
      <c r="C11">
        <v>5.69</v>
      </c>
      <c r="D11">
        <v>64939.64</v>
      </c>
      <c r="E11">
        <v>4.74</v>
      </c>
      <c r="F11">
        <v>60217.13</v>
      </c>
      <c r="G11">
        <v>4.2</v>
      </c>
      <c r="H11">
        <v>64538.47</v>
      </c>
      <c r="I11">
        <v>3.85</v>
      </c>
      <c r="J11">
        <v>160.03</v>
      </c>
      <c r="K11">
        <v>149.06</v>
      </c>
      <c r="L11">
        <v>147.38</v>
      </c>
      <c r="M11">
        <v>1215.29</v>
      </c>
      <c r="O11">
        <f t="shared" si="0"/>
        <v>62385.087500000001</v>
      </c>
      <c r="P11">
        <f t="shared" si="1"/>
        <v>2874.2940625000001</v>
      </c>
      <c r="Q11">
        <f t="shared" si="2"/>
        <v>417.94</v>
      </c>
    </row>
    <row r="12" spans="1:17" x14ac:dyDescent="0.2">
      <c r="A12">
        <v>1600</v>
      </c>
      <c r="B12">
        <v>59139.02</v>
      </c>
      <c r="C12">
        <v>5</v>
      </c>
      <c r="D12">
        <v>63238.91</v>
      </c>
      <c r="E12">
        <v>6.37</v>
      </c>
      <c r="F12">
        <v>59786.48</v>
      </c>
      <c r="G12">
        <v>7.13</v>
      </c>
      <c r="H12">
        <v>81203.41</v>
      </c>
      <c r="I12">
        <v>3.97</v>
      </c>
      <c r="J12">
        <v>169.11</v>
      </c>
      <c r="K12">
        <v>153.37</v>
      </c>
      <c r="L12">
        <v>150.06</v>
      </c>
      <c r="M12">
        <v>165.93</v>
      </c>
      <c r="O12">
        <f t="shared" si="0"/>
        <v>65841.955000000002</v>
      </c>
      <c r="P12">
        <f t="shared" si="1"/>
        <v>3617.955242</v>
      </c>
      <c r="Q12">
        <f t="shared" si="2"/>
        <v>159.61750000000001</v>
      </c>
    </row>
    <row r="13" spans="1:17" x14ac:dyDescent="0.2">
      <c r="A13">
        <v>1800</v>
      </c>
      <c r="B13">
        <v>77442.350000000006</v>
      </c>
      <c r="C13">
        <v>15</v>
      </c>
      <c r="D13">
        <v>80194.12</v>
      </c>
      <c r="E13">
        <v>3.96</v>
      </c>
      <c r="F13">
        <v>73192.89</v>
      </c>
      <c r="G13">
        <v>6.12</v>
      </c>
      <c r="H13">
        <v>77025.38</v>
      </c>
      <c r="I13">
        <v>12.12</v>
      </c>
      <c r="J13">
        <v>162.49</v>
      </c>
      <c r="K13">
        <v>162.69999999999999</v>
      </c>
      <c r="L13">
        <v>166.41</v>
      </c>
      <c r="M13">
        <v>171.54</v>
      </c>
      <c r="O13">
        <f t="shared" si="0"/>
        <v>76963.684999999998</v>
      </c>
      <c r="P13">
        <f t="shared" si="1"/>
        <v>7151.7301440000001</v>
      </c>
      <c r="Q13">
        <f t="shared" si="2"/>
        <v>165.785</v>
      </c>
    </row>
    <row r="14" spans="1:17" x14ac:dyDescent="0.2">
      <c r="A14">
        <v>2000</v>
      </c>
      <c r="B14">
        <v>72453.91</v>
      </c>
      <c r="C14">
        <v>6.45</v>
      </c>
      <c r="D14">
        <v>77980.37</v>
      </c>
      <c r="E14">
        <v>4.21</v>
      </c>
      <c r="F14">
        <v>85462.399999999994</v>
      </c>
      <c r="G14">
        <v>14.23</v>
      </c>
      <c r="H14">
        <v>67874.009999999995</v>
      </c>
      <c r="I14">
        <v>4.53</v>
      </c>
      <c r="J14">
        <v>156.22</v>
      </c>
      <c r="K14">
        <v>147.54</v>
      </c>
      <c r="L14">
        <v>150.68</v>
      </c>
      <c r="M14">
        <v>1207.4000000000001</v>
      </c>
      <c r="O14">
        <f t="shared" si="0"/>
        <v>75942.672500000001</v>
      </c>
      <c r="P14">
        <f t="shared" si="1"/>
        <v>5798.0607362499995</v>
      </c>
      <c r="Q14">
        <f t="shared" si="2"/>
        <v>415.46000000000004</v>
      </c>
    </row>
    <row r="40" spans="2:16" x14ac:dyDescent="0.2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x14ac:dyDescent="0.2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x14ac:dyDescent="0.2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x14ac:dyDescent="0.2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7"/>
  <sheetViews>
    <sheetView tabSelected="1" topLeftCell="C27" workbookViewId="0">
      <selection activeCell="I63" sqref="I63"/>
    </sheetView>
  </sheetViews>
  <sheetFormatPr baseColWidth="10" defaultRowHeight="16" x14ac:dyDescent="0.2"/>
  <cols>
    <col min="1" max="1" width="8.5" customWidth="1"/>
    <col min="2" max="2" width="7.6640625" bestFit="1" customWidth="1"/>
    <col min="3" max="3" width="13" bestFit="1" customWidth="1"/>
    <col min="4" max="4" width="9.6640625" bestFit="1" customWidth="1"/>
    <col min="5" max="5" width="11.5" bestFit="1" customWidth="1"/>
    <col min="6" max="6" width="17.5" bestFit="1" customWidth="1"/>
    <col min="7" max="7" width="14.83203125" bestFit="1" customWidth="1"/>
    <col min="8" max="8" width="11.83203125" bestFit="1" customWidth="1"/>
    <col min="9" max="9" width="12.832031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9" x14ac:dyDescent="0.2">
      <c r="B1" t="s">
        <v>12</v>
      </c>
    </row>
    <row r="2" spans="1:9" x14ac:dyDescent="0.2">
      <c r="A2" t="s">
        <v>23</v>
      </c>
      <c r="B2" t="s">
        <v>11</v>
      </c>
      <c r="C2" t="s">
        <v>19</v>
      </c>
      <c r="D2" t="s">
        <v>18</v>
      </c>
      <c r="E2" t="s">
        <v>17</v>
      </c>
      <c r="F2" t="s">
        <v>16</v>
      </c>
      <c r="G2" t="s">
        <v>15</v>
      </c>
      <c r="H2" t="s">
        <v>14</v>
      </c>
      <c r="I2" t="s">
        <v>13</v>
      </c>
    </row>
    <row r="3" spans="1:9" x14ac:dyDescent="0.2">
      <c r="B3">
        <v>100</v>
      </c>
      <c r="C3" s="1">
        <f>grids!O4</f>
        <v>162610.17500000002</v>
      </c>
      <c r="D3" s="1">
        <f>random!O4</f>
        <v>114632.47</v>
      </c>
      <c r="E3">
        <f>sphere_c!O4</f>
        <v>180262.39749999999</v>
      </c>
      <c r="F3">
        <f>sphere_t!O4</f>
        <v>81435.572499999995</v>
      </c>
      <c r="G3">
        <f>cylinder_r!O4</f>
        <v>69614.39</v>
      </c>
      <c r="H3">
        <f>cylinder_s!O4</f>
        <v>56551.227499999994</v>
      </c>
      <c r="I3">
        <f>cylinder_a!O4</f>
        <v>60581.934999999998</v>
      </c>
    </row>
    <row r="4" spans="1:9" x14ac:dyDescent="0.2">
      <c r="B4">
        <v>200</v>
      </c>
      <c r="C4" s="1">
        <f>grids!O5</f>
        <v>126834.73999999999</v>
      </c>
      <c r="D4" s="1">
        <f>random!O5</f>
        <v>116090.2075</v>
      </c>
      <c r="E4">
        <f>sphere_c!O5</f>
        <v>175335.11</v>
      </c>
      <c r="F4">
        <f>sphere_t!O5</f>
        <v>88201.125</v>
      </c>
      <c r="G4">
        <f>cylinder_r!O5</f>
        <v>67901.542499999996</v>
      </c>
      <c r="H4">
        <f>cylinder_s!O5</f>
        <v>55739.264999999999</v>
      </c>
      <c r="I4">
        <f>cylinder_a!O5</f>
        <v>57417.892500000002</v>
      </c>
    </row>
    <row r="5" spans="1:9" x14ac:dyDescent="0.2">
      <c r="B5">
        <v>400</v>
      </c>
      <c r="C5" s="1">
        <f>grids!O6</f>
        <v>123012.7825</v>
      </c>
      <c r="D5" s="1">
        <f>random!O6</f>
        <v>121005.5675</v>
      </c>
      <c r="E5">
        <f>sphere_c!O6</f>
        <v>180211.53499999997</v>
      </c>
      <c r="F5">
        <f>sphere_t!O6</f>
        <v>98011.70749999999</v>
      </c>
      <c r="G5">
        <f>cylinder_r!O6</f>
        <v>70321.402499999997</v>
      </c>
      <c r="H5">
        <f>cylinder_s!O6</f>
        <v>61043.272500000006</v>
      </c>
      <c r="I5">
        <f>cylinder_a!O6</f>
        <v>60788.544999999998</v>
      </c>
    </row>
    <row r="6" spans="1:9" x14ac:dyDescent="0.2">
      <c r="B6">
        <v>600</v>
      </c>
      <c r="C6" s="1">
        <f>grids!O7</f>
        <v>124258.14750000001</v>
      </c>
      <c r="D6" s="1">
        <f>random!O7</f>
        <v>118521.91750000001</v>
      </c>
      <c r="E6">
        <f>sphere_c!O7</f>
        <v>185232.54249999998</v>
      </c>
      <c r="F6">
        <f>sphere_t!O7</f>
        <v>100855.4025</v>
      </c>
      <c r="G6">
        <f>cylinder_r!O7</f>
        <v>80124.007500000007</v>
      </c>
      <c r="H6">
        <f>cylinder_s!O7</f>
        <v>69254.682499999995</v>
      </c>
      <c r="I6">
        <f>cylinder_a!O7</f>
        <v>61180.032499999994</v>
      </c>
    </row>
    <row r="7" spans="1:9" x14ac:dyDescent="0.2">
      <c r="B7">
        <v>800</v>
      </c>
      <c r="C7" s="1">
        <f>grids!O8</f>
        <v>135073.51999999999</v>
      </c>
      <c r="D7" s="1">
        <f>random!O8</f>
        <v>122205.97749999999</v>
      </c>
      <c r="E7">
        <f>sphere_c!O8</f>
        <v>194565.38249999998</v>
      </c>
      <c r="F7">
        <f>sphere_t!O8</f>
        <v>96203.59</v>
      </c>
      <c r="G7">
        <f>cylinder_r!O8</f>
        <v>67214.022500000006</v>
      </c>
      <c r="H7">
        <f>cylinder_s!O8</f>
        <v>62716.955000000002</v>
      </c>
      <c r="I7">
        <f>cylinder_a!O8</f>
        <v>63847.520000000004</v>
      </c>
    </row>
    <row r="8" spans="1:9" x14ac:dyDescent="0.2">
      <c r="B8">
        <v>1000</v>
      </c>
      <c r="C8" s="1">
        <f>grids!O9</f>
        <v>136178.22500000001</v>
      </c>
      <c r="D8" s="1">
        <f>random!O9</f>
        <v>140468.29249999998</v>
      </c>
      <c r="E8">
        <f>sphere_c!O9</f>
        <v>194263.43000000002</v>
      </c>
      <c r="F8">
        <f>sphere_t!O9</f>
        <v>97343.014999999999</v>
      </c>
      <c r="G8">
        <f>cylinder_r!O9</f>
        <v>73205.664999999994</v>
      </c>
      <c r="H8">
        <f>cylinder_s!O9</f>
        <v>66601.67</v>
      </c>
      <c r="I8">
        <f>cylinder_a!O9</f>
        <v>57554.502500000002</v>
      </c>
    </row>
    <row r="9" spans="1:9" x14ac:dyDescent="0.2">
      <c r="B9">
        <v>1200</v>
      </c>
      <c r="C9" s="1">
        <f>grids!O10</f>
        <v>145257.4325</v>
      </c>
      <c r="D9" s="1">
        <f>random!O10</f>
        <v>117187.50750000001</v>
      </c>
      <c r="E9">
        <f>sphere_c!O10</f>
        <v>199895.24</v>
      </c>
      <c r="F9">
        <f>sphere_t!O10</f>
        <v>95121.989999999991</v>
      </c>
      <c r="G9">
        <f>cylinder_r!O10</f>
        <v>69465.737499999988</v>
      </c>
      <c r="H9">
        <f>cylinder_s!O10</f>
        <v>68024.287500000006</v>
      </c>
      <c r="I9">
        <f>cylinder_a!O10</f>
        <v>65687.347500000003</v>
      </c>
    </row>
    <row r="10" spans="1:9" x14ac:dyDescent="0.2">
      <c r="B10">
        <v>1600</v>
      </c>
      <c r="C10" s="1">
        <f>grids!O11</f>
        <v>163814.4975</v>
      </c>
      <c r="D10" s="1">
        <f>random!O11</f>
        <v>118915.31000000001</v>
      </c>
      <c r="E10">
        <f>sphere_c!O11</f>
        <v>220779.92749999999</v>
      </c>
      <c r="F10">
        <f>sphere_t!O11</f>
        <v>94123.182499999995</v>
      </c>
      <c r="G10">
        <f>cylinder_r!O11</f>
        <v>67779.34</v>
      </c>
      <c r="H10">
        <f>cylinder_s!O11</f>
        <v>65642.447499999995</v>
      </c>
      <c r="I10">
        <f>cylinder_a!O11</f>
        <v>62385.087500000001</v>
      </c>
    </row>
    <row r="11" spans="1:9" x14ac:dyDescent="0.2">
      <c r="B11">
        <v>2000</v>
      </c>
      <c r="C11" s="1">
        <f>grids!O12</f>
        <v>175236.29750000002</v>
      </c>
      <c r="D11" s="1">
        <f>random!O12</f>
        <v>125255.5675</v>
      </c>
      <c r="E11">
        <f>sphere_c!O12</f>
        <v>244087.31</v>
      </c>
      <c r="F11">
        <f>sphere_t!O12</f>
        <v>95956.32</v>
      </c>
      <c r="G11">
        <f>cylinder_r!O12</f>
        <v>72219.404999999999</v>
      </c>
      <c r="H11">
        <f>cylinder_s!O12</f>
        <v>63627.177500000005</v>
      </c>
      <c r="I11">
        <f>cylinder_a!O12</f>
        <v>65841.955000000002</v>
      </c>
    </row>
    <row r="12" spans="1:9" x14ac:dyDescent="0.2">
      <c r="B12">
        <v>4000</v>
      </c>
      <c r="C12" s="1">
        <f>grids!O13</f>
        <v>166687.1525</v>
      </c>
      <c r="D12" s="1">
        <f>random!O13</f>
        <v>134991.785</v>
      </c>
      <c r="E12">
        <f>sphere_c!O13</f>
        <v>300845.84749999997</v>
      </c>
      <c r="F12">
        <f>sphere_t!O13</f>
        <v>118661.5775</v>
      </c>
      <c r="G12">
        <f>cylinder_r!O13</f>
        <v>84328.732499999998</v>
      </c>
      <c r="H12">
        <f>cylinder_s!O13</f>
        <v>72412.934999999998</v>
      </c>
      <c r="I12">
        <f>cylinder_a!O13</f>
        <v>76963.684999999998</v>
      </c>
    </row>
    <row r="13" spans="1:9" x14ac:dyDescent="0.2">
      <c r="B13">
        <v>10000</v>
      </c>
      <c r="C13" s="1">
        <f>grids!O14</f>
        <v>150049.33499999999</v>
      </c>
      <c r="D13" s="1">
        <f>random!O14</f>
        <v>137913.95250000001</v>
      </c>
      <c r="E13">
        <f>sphere_c!O14</f>
        <v>293181.74250000005</v>
      </c>
      <c r="F13">
        <f>sphere_t!O14</f>
        <v>108266.6725</v>
      </c>
      <c r="G13">
        <f>cylinder_r!O14</f>
        <v>73162.600000000006</v>
      </c>
      <c r="H13">
        <f>cylinder_s!O14</f>
        <v>70223.145000000004</v>
      </c>
      <c r="I13">
        <f>cylinder_a!O14</f>
        <v>75942.672500000001</v>
      </c>
    </row>
    <row r="14" spans="1:9" x14ac:dyDescent="0.2">
      <c r="C14" s="1"/>
      <c r="D14" s="1"/>
    </row>
    <row r="15" spans="1:9" x14ac:dyDescent="0.2">
      <c r="C15" s="1"/>
      <c r="D15" s="1"/>
    </row>
    <row r="16" spans="1:9" x14ac:dyDescent="0.2">
      <c r="C16" s="1"/>
      <c r="D16" s="1"/>
    </row>
    <row r="17" spans="1:32" x14ac:dyDescent="0.2">
      <c r="C17" s="1"/>
      <c r="D17" s="1"/>
      <c r="E17" s="1"/>
      <c r="F17" s="1"/>
      <c r="G17" s="1"/>
      <c r="H17" s="1"/>
    </row>
    <row r="21" spans="1:32" x14ac:dyDescent="0.2">
      <c r="B21" t="s">
        <v>12</v>
      </c>
    </row>
    <row r="22" spans="1:32" x14ac:dyDescent="0.2">
      <c r="A22" t="s">
        <v>24</v>
      </c>
      <c r="B22" t="s">
        <v>11</v>
      </c>
      <c r="C22" t="s">
        <v>19</v>
      </c>
      <c r="D22" t="s">
        <v>18</v>
      </c>
      <c r="E22" t="s">
        <v>17</v>
      </c>
      <c r="F22" t="s">
        <v>16</v>
      </c>
      <c r="G22" t="s">
        <v>15</v>
      </c>
      <c r="H22" t="s">
        <v>14</v>
      </c>
      <c r="I22" t="s">
        <v>13</v>
      </c>
    </row>
    <row r="23" spans="1:32" x14ac:dyDescent="0.2">
      <c r="B23">
        <v>100</v>
      </c>
      <c r="C23">
        <f>grids!P4</f>
        <v>10330.5491</v>
      </c>
      <c r="D23">
        <f>random!P4</f>
        <v>9618.379692999999</v>
      </c>
      <c r="E23">
        <f>sphere_c!P4</f>
        <v>30222.513949750002</v>
      </c>
      <c r="F23">
        <f>sphere_t!P4</f>
        <v>6783.9947379999994</v>
      </c>
      <c r="G23">
        <f>cylinder_r!P4</f>
        <v>6965.0679524999996</v>
      </c>
      <c r="H23">
        <f>cylinder_s!P4</f>
        <v>3294.2832142499997</v>
      </c>
      <c r="I23">
        <f>cylinder_a!P4</f>
        <v>5104.6700995000001</v>
      </c>
    </row>
    <row r="24" spans="1:32" x14ac:dyDescent="0.2">
      <c r="B24">
        <v>200</v>
      </c>
      <c r="C24">
        <f>grids!P5</f>
        <v>11525.533015999999</v>
      </c>
      <c r="D24">
        <f>random!P5</f>
        <v>12197.35072875</v>
      </c>
      <c r="E24">
        <f>sphere_c!P5</f>
        <v>19484.680232749997</v>
      </c>
      <c r="F24">
        <f>sphere_t!P5</f>
        <v>7479.5559309999999</v>
      </c>
      <c r="G24">
        <f>cylinder_r!P5</f>
        <v>4885.4519359999995</v>
      </c>
      <c r="H24">
        <f>cylinder_s!P5</f>
        <v>3166.8837510000003</v>
      </c>
      <c r="I24">
        <f>cylinder_a!P5</f>
        <v>5081.790429749999</v>
      </c>
    </row>
    <row r="25" spans="1:32" x14ac:dyDescent="0.2">
      <c r="B25">
        <v>400</v>
      </c>
      <c r="C25">
        <f>grids!P6</f>
        <v>7654.3370419999992</v>
      </c>
      <c r="D25">
        <f>random!P6</f>
        <v>10078.59475475</v>
      </c>
      <c r="E25">
        <f>sphere_c!P6</f>
        <v>31014.98419825</v>
      </c>
      <c r="F25">
        <f>sphere_t!P6</f>
        <v>10497.165276500002</v>
      </c>
      <c r="G25">
        <f>cylinder_r!P6</f>
        <v>8382.7885282499992</v>
      </c>
      <c r="H25">
        <f>cylinder_s!P6</f>
        <v>6101.7810380000001</v>
      </c>
      <c r="I25">
        <f>cylinder_a!P6</f>
        <v>4851.4153139999999</v>
      </c>
    </row>
    <row r="26" spans="1:32" x14ac:dyDescent="0.2">
      <c r="B26">
        <v>600</v>
      </c>
      <c r="C26">
        <f>grids!P7</f>
        <v>8878.0108390000005</v>
      </c>
      <c r="D26">
        <f>random!P7</f>
        <v>11419.58498775</v>
      </c>
      <c r="E26">
        <f>sphere_c!P7</f>
        <v>21528.835078750002</v>
      </c>
      <c r="F26">
        <f>sphere_t!P7</f>
        <v>14520.227538250001</v>
      </c>
      <c r="G26">
        <f>cylinder_r!P7</f>
        <v>7117.2669372500004</v>
      </c>
      <c r="H26">
        <f>cylinder_s!P7</f>
        <v>10164.845864749999</v>
      </c>
      <c r="I26">
        <f>cylinder_a!P7</f>
        <v>6919.568775499999</v>
      </c>
    </row>
    <row r="27" spans="1:32" x14ac:dyDescent="0.2">
      <c r="B27">
        <v>800</v>
      </c>
      <c r="C27">
        <f>grids!P8</f>
        <v>8084.2541737500014</v>
      </c>
      <c r="D27">
        <f>random!P8</f>
        <v>10884.893282749999</v>
      </c>
      <c r="E27">
        <f>sphere_c!P8</f>
        <v>17190.881299499997</v>
      </c>
      <c r="F27">
        <f>sphere_t!P8</f>
        <v>10442.397526000001</v>
      </c>
      <c r="G27">
        <f>cylinder_r!P8</f>
        <v>4380.2158115000002</v>
      </c>
      <c r="H27">
        <f>cylinder_s!P8</f>
        <v>4821.0257879999999</v>
      </c>
      <c r="I27">
        <f>cylinder_a!P8</f>
        <v>4251.1816330000001</v>
      </c>
    </row>
    <row r="28" spans="1:32" x14ac:dyDescent="0.2">
      <c r="B28">
        <v>1000</v>
      </c>
      <c r="C28">
        <f>grids!P9</f>
        <v>7585.5177159999994</v>
      </c>
      <c r="D28">
        <f>random!P9</f>
        <v>13068.058633999999</v>
      </c>
      <c r="E28">
        <f>sphere_c!P9</f>
        <v>32409.150985249998</v>
      </c>
      <c r="F28">
        <f>sphere_t!P9</f>
        <v>12788.655199499997</v>
      </c>
      <c r="G28">
        <f>cylinder_r!P9</f>
        <v>4901.4884547500005</v>
      </c>
      <c r="H28">
        <f>cylinder_s!P9</f>
        <v>3827.3095372500002</v>
      </c>
      <c r="I28">
        <f>cylinder_a!P9</f>
        <v>4524.8686454999997</v>
      </c>
    </row>
    <row r="29" spans="1:32" x14ac:dyDescent="0.2">
      <c r="B29">
        <v>1200</v>
      </c>
      <c r="C29">
        <f>grids!P10</f>
        <v>9734.4327942500004</v>
      </c>
      <c r="D29">
        <f>random!P10</f>
        <v>10380.325177250001</v>
      </c>
      <c r="E29">
        <f>sphere_c!P10</f>
        <v>24952.642426749997</v>
      </c>
      <c r="F29">
        <f>sphere_t!P10</f>
        <v>14369.642419499998</v>
      </c>
      <c r="G29">
        <f>cylinder_r!P10</f>
        <v>5449.8504119999998</v>
      </c>
      <c r="H29">
        <f>cylinder_s!P10</f>
        <v>2982.7421967499999</v>
      </c>
      <c r="I29">
        <f>cylinder_a!P10</f>
        <v>3455.1076937500002</v>
      </c>
    </row>
    <row r="30" spans="1:32" x14ac:dyDescent="0.2">
      <c r="B30">
        <v>1600</v>
      </c>
      <c r="C30">
        <f>grids!P11</f>
        <v>12572.53667275</v>
      </c>
      <c r="D30">
        <f>random!P11</f>
        <v>10441.8837745</v>
      </c>
      <c r="E30">
        <f>sphere_c!P11</f>
        <v>27686.40077425</v>
      </c>
      <c r="F30">
        <f>sphere_t!P11</f>
        <v>14520.736383750002</v>
      </c>
      <c r="G30">
        <f>cylinder_r!P11</f>
        <v>3923.4680897499998</v>
      </c>
      <c r="H30">
        <f>cylinder_s!P11</f>
        <v>3279.9291334999998</v>
      </c>
      <c r="I30">
        <f>cylinder_a!P11</f>
        <v>2874.2940625000001</v>
      </c>
    </row>
    <row r="31" spans="1:32" x14ac:dyDescent="0.2">
      <c r="B31">
        <v>2000</v>
      </c>
      <c r="C31">
        <f>grids!P12</f>
        <v>26052.697170749998</v>
      </c>
      <c r="D31">
        <f>random!P12</f>
        <v>13443.127756999998</v>
      </c>
      <c r="E31">
        <f>sphere_c!P12</f>
        <v>39073.915135000003</v>
      </c>
      <c r="F31">
        <f>sphere_t!P12</f>
        <v>15826.441347249998</v>
      </c>
      <c r="G31">
        <f>cylinder_r!P12</f>
        <v>4941.4389735000004</v>
      </c>
      <c r="H31">
        <f>cylinder_s!P12</f>
        <v>3902.8160265000001</v>
      </c>
      <c r="I31">
        <f>cylinder_a!P12</f>
        <v>3617.955242</v>
      </c>
    </row>
    <row r="32" spans="1:32" x14ac:dyDescent="0.2">
      <c r="A32" s="2"/>
      <c r="B32">
        <v>4000</v>
      </c>
      <c r="C32">
        <f>grids!P13</f>
        <v>20506.037812499999</v>
      </c>
      <c r="D32">
        <f>random!P13</f>
        <v>14260.03125675</v>
      </c>
      <c r="E32">
        <f>sphere_c!P13</f>
        <v>32748.966171749998</v>
      </c>
      <c r="F32">
        <f>sphere_t!P13</f>
        <v>15825.80804</v>
      </c>
      <c r="G32">
        <f>cylinder_r!P13</f>
        <v>7431.4359242499995</v>
      </c>
      <c r="H32">
        <f>cylinder_s!P13</f>
        <v>5001.1739980000002</v>
      </c>
      <c r="I32">
        <f>cylinder_a!P13</f>
        <v>7151.7301440000001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 x14ac:dyDescent="0.2">
      <c r="A33" s="2"/>
      <c r="B33">
        <v>10000</v>
      </c>
      <c r="C33">
        <f>grids!P14</f>
        <v>9505.4794787499995</v>
      </c>
      <c r="D33">
        <f>random!P14</f>
        <v>20261.825951749997</v>
      </c>
      <c r="E33">
        <f>sphere_c!P14</f>
        <v>29335.53877875</v>
      </c>
      <c r="F33">
        <f>sphere_t!P14</f>
        <v>8458.7090152500004</v>
      </c>
      <c r="G33">
        <f>cylinder_r!P14</f>
        <v>4505.6686519999994</v>
      </c>
      <c r="H33">
        <f>cylinder_s!P14</f>
        <v>2759.1594174999996</v>
      </c>
      <c r="I33">
        <f>cylinder_a!P14</f>
        <v>5798.0607362499995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 x14ac:dyDescent="0.2">
      <c r="A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 x14ac:dyDescent="0.2">
      <c r="A35" s="2"/>
      <c r="B35" t="s">
        <v>12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 x14ac:dyDescent="0.2">
      <c r="A36" s="2" t="s">
        <v>25</v>
      </c>
      <c r="B36" t="s">
        <v>11</v>
      </c>
      <c r="C36" t="s">
        <v>19</v>
      </c>
      <c r="D36" t="s">
        <v>18</v>
      </c>
      <c r="E36" t="s">
        <v>17</v>
      </c>
      <c r="F36" t="s">
        <v>16</v>
      </c>
      <c r="G36" t="s">
        <v>15</v>
      </c>
      <c r="H36" t="s">
        <v>14</v>
      </c>
      <c r="I36" t="s">
        <v>13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 x14ac:dyDescent="0.2">
      <c r="B37">
        <v>100</v>
      </c>
      <c r="C37">
        <f>grids!Q4</f>
        <v>819.59750000000008</v>
      </c>
      <c r="D37">
        <f>random!Q4</f>
        <v>531.1825</v>
      </c>
      <c r="E37">
        <f>sphere_c!Q4</f>
        <v>1773.415</v>
      </c>
      <c r="F37">
        <f>sphere_t!Q4</f>
        <v>515.17499999999995</v>
      </c>
      <c r="G37">
        <f>cylinder_r!Q4</f>
        <v>447.63249999999999</v>
      </c>
      <c r="H37">
        <f>cylinder_s!Q4</f>
        <v>126.66749999999999</v>
      </c>
      <c r="I37">
        <f>cylinder_a!Q4</f>
        <v>322.25250000000005</v>
      </c>
    </row>
    <row r="38" spans="1:32" x14ac:dyDescent="0.2">
      <c r="B38">
        <v>200</v>
      </c>
      <c r="C38">
        <f>grids!Q5</f>
        <v>572.11</v>
      </c>
      <c r="D38">
        <f>random!Q5</f>
        <v>556.745</v>
      </c>
      <c r="E38">
        <f>sphere_c!Q5</f>
        <v>1200.1825000000001</v>
      </c>
      <c r="F38">
        <f>sphere_t!Q5</f>
        <v>405.01750000000004</v>
      </c>
      <c r="G38">
        <f>cylinder_r!Q5</f>
        <v>302.73</v>
      </c>
      <c r="H38">
        <f>cylinder_s!Q5</f>
        <v>127.67750000000001</v>
      </c>
      <c r="I38">
        <f>cylinder_a!Q5</f>
        <v>155.61249999999998</v>
      </c>
    </row>
    <row r="39" spans="1:32" x14ac:dyDescent="0.2">
      <c r="B39">
        <v>400</v>
      </c>
      <c r="C39">
        <f>grids!Q6</f>
        <v>484.16249999999997</v>
      </c>
      <c r="D39">
        <f>random!Q6</f>
        <v>324.52499999999998</v>
      </c>
      <c r="E39">
        <f>sphere_c!Q6</f>
        <v>693.43500000000006</v>
      </c>
      <c r="F39">
        <f>sphere_t!Q6</f>
        <v>259.78000000000003</v>
      </c>
      <c r="G39">
        <f>cylinder_r!Q6</f>
        <v>228.36</v>
      </c>
      <c r="H39">
        <f>cylinder_s!Q6</f>
        <v>168.48500000000001</v>
      </c>
      <c r="I39">
        <f>cylinder_a!Q6</f>
        <v>154.60749999999999</v>
      </c>
    </row>
    <row r="40" spans="1:32" x14ac:dyDescent="0.2">
      <c r="B40">
        <v>600</v>
      </c>
      <c r="C40">
        <f>grids!Q7</f>
        <v>1289.0999999999999</v>
      </c>
      <c r="D40">
        <f>random!Q7</f>
        <v>571.29250000000002</v>
      </c>
      <c r="E40">
        <f>sphere_c!Q7</f>
        <v>675.33249999999998</v>
      </c>
      <c r="F40">
        <f>sphere_t!Q7</f>
        <v>343.4975</v>
      </c>
      <c r="G40">
        <f>cylinder_r!Q7</f>
        <v>468.83500000000004</v>
      </c>
      <c r="H40">
        <f>cylinder_s!Q7</f>
        <v>155.36000000000001</v>
      </c>
      <c r="I40">
        <f>cylinder_a!Q7</f>
        <v>166.51999999999998</v>
      </c>
    </row>
    <row r="41" spans="1:32" x14ac:dyDescent="0.2">
      <c r="B41">
        <v>800</v>
      </c>
      <c r="C41">
        <f>grids!Q8</f>
        <v>510.91250000000002</v>
      </c>
      <c r="D41">
        <f>random!Q8</f>
        <v>823.25750000000005</v>
      </c>
      <c r="E41">
        <f>sphere_c!Q8</f>
        <v>617.44749999999999</v>
      </c>
      <c r="F41">
        <f>sphere_t!Q8</f>
        <v>345.57</v>
      </c>
      <c r="G41">
        <f>cylinder_r!Q8</f>
        <v>230.7</v>
      </c>
      <c r="H41">
        <f>cylinder_s!Q8</f>
        <v>407.38749999999999</v>
      </c>
      <c r="I41">
        <f>cylinder_a!Q8</f>
        <v>163.0575</v>
      </c>
    </row>
    <row r="42" spans="1:32" x14ac:dyDescent="0.2">
      <c r="B42">
        <v>1000</v>
      </c>
      <c r="C42">
        <f>grids!Q9</f>
        <v>766.76</v>
      </c>
      <c r="D42">
        <f>random!Q9</f>
        <v>460.98249999999996</v>
      </c>
      <c r="E42">
        <f>sphere_c!Q9</f>
        <v>634.54250000000002</v>
      </c>
      <c r="F42">
        <f>sphere_t!Q9</f>
        <v>232.46749999999997</v>
      </c>
      <c r="G42">
        <f>cylinder_r!Q9</f>
        <v>220.0625</v>
      </c>
      <c r="H42">
        <f>cylinder_s!Q9</f>
        <v>129.32249999999999</v>
      </c>
      <c r="I42">
        <f>cylinder_a!Q9</f>
        <v>534.64</v>
      </c>
    </row>
    <row r="43" spans="1:32" x14ac:dyDescent="0.2">
      <c r="B43">
        <v>1200</v>
      </c>
      <c r="C43">
        <f>grids!Q10</f>
        <v>552.36250000000007</v>
      </c>
      <c r="D43">
        <f>random!Q10</f>
        <v>434.66249999999997</v>
      </c>
      <c r="E43">
        <f>sphere_c!Q10</f>
        <v>747.99250000000006</v>
      </c>
      <c r="F43">
        <f>sphere_t!Q10</f>
        <v>491.82000000000005</v>
      </c>
      <c r="G43">
        <f>cylinder_r!Q10</f>
        <v>232.98750000000001</v>
      </c>
      <c r="H43">
        <f>cylinder_s!Q10</f>
        <v>123.42500000000001</v>
      </c>
      <c r="I43">
        <f>cylinder_a!Q10</f>
        <v>153.27750000000003</v>
      </c>
    </row>
    <row r="44" spans="1:32" x14ac:dyDescent="0.2">
      <c r="B44">
        <v>1600</v>
      </c>
      <c r="C44">
        <f>grids!Q11</f>
        <v>569.26499999999999</v>
      </c>
      <c r="D44">
        <f>random!Q11</f>
        <v>480.7475</v>
      </c>
      <c r="E44">
        <f>sphere_c!Q11</f>
        <v>771.93</v>
      </c>
      <c r="F44">
        <f>sphere_t!Q11</f>
        <v>303.64</v>
      </c>
      <c r="G44">
        <f>cylinder_r!Q11</f>
        <v>234.33250000000001</v>
      </c>
      <c r="H44">
        <f>cylinder_s!Q11</f>
        <v>126.16</v>
      </c>
      <c r="I44">
        <f>cylinder_a!Q11</f>
        <v>417.94</v>
      </c>
    </row>
    <row r="45" spans="1:32" x14ac:dyDescent="0.2">
      <c r="B45">
        <v>2000</v>
      </c>
      <c r="C45">
        <f>grids!Q12</f>
        <v>577.41750000000002</v>
      </c>
      <c r="D45">
        <f>random!Q12</f>
        <v>506.86499999999995</v>
      </c>
      <c r="E45">
        <f>sphere_c!Q12</f>
        <v>1036.6975</v>
      </c>
      <c r="F45">
        <f>sphere_t!Q12</f>
        <v>373.53750000000002</v>
      </c>
      <c r="G45">
        <f>cylinder_r!Q12</f>
        <v>238.965</v>
      </c>
      <c r="H45">
        <f>cylinder_s!Q12</f>
        <v>394.21</v>
      </c>
      <c r="I45">
        <f>cylinder_a!Q12</f>
        <v>159.61750000000001</v>
      </c>
    </row>
    <row r="46" spans="1:32" x14ac:dyDescent="0.2">
      <c r="B46">
        <v>4000</v>
      </c>
      <c r="C46">
        <f>grids!Q13</f>
        <v>536.48749999999995</v>
      </c>
      <c r="D46">
        <f>random!Q13</f>
        <v>265.0625</v>
      </c>
      <c r="E46">
        <f>sphere_c!Q13</f>
        <v>725.41499999999996</v>
      </c>
      <c r="F46">
        <f>sphere_t!Q13</f>
        <v>226.71499999999997</v>
      </c>
      <c r="G46">
        <f>cylinder_r!Q13</f>
        <v>412.67499999999995</v>
      </c>
      <c r="H46">
        <f>cylinder_s!Q13</f>
        <v>143.46250000000001</v>
      </c>
      <c r="I46">
        <f>cylinder_a!Q13</f>
        <v>165.785</v>
      </c>
    </row>
    <row r="47" spans="1:32" x14ac:dyDescent="0.2">
      <c r="B47">
        <v>10000</v>
      </c>
      <c r="C47">
        <f>grids!Q14</f>
        <v>633.54</v>
      </c>
      <c r="D47">
        <f>random!Q14</f>
        <v>597.26250000000005</v>
      </c>
      <c r="E47">
        <f>sphere_c!Q14</f>
        <v>2010.1000000000001</v>
      </c>
      <c r="F47">
        <f>sphere_t!Q14</f>
        <v>157.61250000000001</v>
      </c>
      <c r="G47">
        <f>cylinder_r!Q14</f>
        <v>506.56</v>
      </c>
      <c r="H47">
        <f>cylinder_s!Q14</f>
        <v>357.17</v>
      </c>
      <c r="I47">
        <f>cylinder_a!Q14</f>
        <v>415.46000000000004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grids</vt:lpstr>
      <vt:lpstr>random</vt:lpstr>
      <vt:lpstr>sphere_c</vt:lpstr>
      <vt:lpstr>sphere_t</vt:lpstr>
      <vt:lpstr>cylinder_r</vt:lpstr>
      <vt:lpstr>cylinder_s</vt:lpstr>
      <vt:lpstr>cylinder_a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2018-05-09T15:49:12Z</dcterms:modified>
</cp:coreProperties>
</file>