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separator/grids/"/>
    </mc:Choice>
  </mc:AlternateContent>
  <xr:revisionPtr revIDLastSave="0" documentId="13_ncr:1_{209BAEF4-DF7E-774F-AAEE-91443AD462A9}" xr6:coauthVersionLast="32" xr6:coauthVersionMax="32" xr10:uidLastSave="{00000000-0000-0000-0000-000000000000}"/>
  <bookViews>
    <workbookView xWindow="2100" yWindow="460" windowWidth="21800" windowHeight="13940" tabRatio="500" activeTab="5" xr2:uid="{00000000-000D-0000-FFFF-FFFF00000000}"/>
  </bookViews>
  <sheets>
    <sheet name="1" sheetId="1" r:id="rId1"/>
    <sheet name="2" sheetId="5" r:id="rId2"/>
    <sheet name="3" sheetId="4" r:id="rId3"/>
    <sheet name="4" sheetId="3" r:id="rId4"/>
    <sheet name="5" sheetId="2" r:id="rId5"/>
    <sheet name="Summary" sheetId="6" r:id="rId6"/>
  </sheet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5" i="6" l="1"/>
  <c r="AH6" i="6"/>
  <c r="AH7" i="6"/>
  <c r="AH8" i="6"/>
  <c r="AH4" i="6"/>
  <c r="J40" i="3"/>
  <c r="K40" i="3"/>
  <c r="L40" i="3"/>
  <c r="M40" i="3"/>
  <c r="N40" i="3"/>
  <c r="O40" i="3"/>
  <c r="P40" i="3"/>
  <c r="J41" i="3"/>
  <c r="K41" i="3"/>
  <c r="L41" i="3"/>
  <c r="M41" i="3"/>
  <c r="N41" i="3"/>
  <c r="O41" i="3"/>
  <c r="P41" i="3"/>
  <c r="J42" i="3"/>
  <c r="K42" i="3"/>
  <c r="L42" i="3"/>
  <c r="M42" i="3"/>
  <c r="N42" i="3"/>
  <c r="O42" i="3"/>
  <c r="P42" i="3"/>
  <c r="J43" i="3"/>
  <c r="K43" i="3"/>
  <c r="L43" i="3"/>
  <c r="M43" i="3"/>
  <c r="N43" i="3"/>
  <c r="O43" i="3"/>
  <c r="P43" i="3"/>
  <c r="J44" i="3"/>
  <c r="K44" i="3"/>
  <c r="L44" i="3"/>
  <c r="M44" i="3"/>
  <c r="N44" i="3"/>
  <c r="O44" i="3"/>
  <c r="P44" i="3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K40" i="1"/>
  <c r="L40" i="1"/>
  <c r="M40" i="1"/>
  <c r="N40" i="1"/>
  <c r="O40" i="1"/>
  <c r="P40" i="1"/>
  <c r="K41" i="1"/>
  <c r="L41" i="1"/>
  <c r="M41" i="1"/>
  <c r="N41" i="1"/>
  <c r="O41" i="1"/>
  <c r="P41" i="1"/>
  <c r="K42" i="1"/>
  <c r="L42" i="1"/>
  <c r="M42" i="1"/>
  <c r="N42" i="1"/>
  <c r="O42" i="1"/>
  <c r="P42" i="1"/>
  <c r="K43" i="1"/>
  <c r="L43" i="1"/>
  <c r="M43" i="1"/>
  <c r="N43" i="1"/>
  <c r="O43" i="1"/>
  <c r="P43" i="1"/>
  <c r="K44" i="1"/>
  <c r="L44" i="1"/>
  <c r="M44" i="1"/>
  <c r="N44" i="1"/>
  <c r="O44" i="1"/>
  <c r="P44" i="1"/>
  <c r="B4" i="6"/>
  <c r="B5" i="6"/>
  <c r="B6" i="6"/>
  <c r="B7" i="6"/>
  <c r="B8" i="6"/>
  <c r="J44" i="1"/>
  <c r="I44" i="1"/>
  <c r="H44" i="1"/>
  <c r="G44" i="1"/>
  <c r="F44" i="1"/>
  <c r="E44" i="1"/>
  <c r="D44" i="1"/>
  <c r="C44" i="1"/>
  <c r="B44" i="1"/>
  <c r="J43" i="1"/>
  <c r="I43" i="1"/>
  <c r="H43" i="1"/>
  <c r="G43" i="1"/>
  <c r="F43" i="1"/>
  <c r="E43" i="1"/>
  <c r="D43" i="1"/>
  <c r="C43" i="1"/>
  <c r="B43" i="1"/>
  <c r="J42" i="1"/>
  <c r="I42" i="1"/>
  <c r="H42" i="1"/>
  <c r="G42" i="1"/>
  <c r="F42" i="1"/>
  <c r="E42" i="1"/>
  <c r="D42" i="1"/>
  <c r="C42" i="1"/>
  <c r="B42" i="1"/>
  <c r="J41" i="1"/>
  <c r="I41" i="1"/>
  <c r="H41" i="1"/>
  <c r="G41" i="1"/>
  <c r="F41" i="1"/>
  <c r="E41" i="1"/>
  <c r="D41" i="1"/>
  <c r="C41" i="1"/>
  <c r="B41" i="1"/>
  <c r="J40" i="1"/>
  <c r="I40" i="1"/>
  <c r="H40" i="1"/>
  <c r="G40" i="1"/>
  <c r="F40" i="1"/>
  <c r="E40" i="1"/>
  <c r="D40" i="1"/>
  <c r="C40" i="1"/>
  <c r="B40" i="1"/>
</calcChain>
</file>

<file path=xl/sharedStrings.xml><?xml version="1.0" encoding="utf-8"?>
<sst xmlns="http://schemas.openxmlformats.org/spreadsheetml/2006/main" count="301" uniqueCount="26">
  <si>
    <t>Graph Info:</t>
  </si>
  <si>
    <t>./input_data/grids/1.txt</t>
  </si>
  <si>
    <t>Number of Vertices</t>
  </si>
  <si>
    <t>Current run parameter:</t>
  </si>
  <si>
    <t>use_max_degree_root = false</t>
  </si>
  <si>
    <t>Level Separator</t>
  </si>
  <si>
    <t>Fundamental Cycle Separator</t>
  </si>
  <si>
    <t>Lipton-Tarjan Separator</t>
  </si>
  <si>
    <t>Separator Size</t>
  </si>
  <si>
    <t>Balance Ratio</t>
  </si>
  <si>
    <t>Runtime (ms)</t>
  </si>
  <si>
    <t>Runtime (s)</t>
  </si>
  <si>
    <t>./input_data/grids/5.txt</t>
  </si>
  <si>
    <t>./input_data/grids/4.txt</t>
  </si>
  <si>
    <t>./input_data/grids/3.txt</t>
  </si>
  <si>
    <t>./input_data/grids/2.txt</t>
  </si>
  <si>
    <t>Max</t>
  </si>
  <si>
    <t>Min</t>
  </si>
  <si>
    <t>Median</t>
  </si>
  <si>
    <t>Average</t>
  </si>
  <si>
    <t>Std.Dev</t>
  </si>
  <si>
    <t>StdDev</t>
  </si>
  <si>
    <t>Num of tabs</t>
  </si>
  <si>
    <t>sqrtN</t>
  </si>
  <si>
    <t>ModifiedFCS</t>
  </si>
  <si>
    <t>Simple Cycle Separator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</si>
</sst>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24"/>
      <color rgb="FF000000"/>
      <name val="System Font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Grids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Summary!$C$4:$C$8</c:f>
              <c:numCache>
                <c:formatCode>0.00</c:formatCode>
                <c:ptCount val="5"/>
                <c:pt idx="0">
                  <c:v>27.9375</c:v>
                </c:pt>
                <c:pt idx="1">
                  <c:v>86.1875</c:v>
                </c:pt>
                <c:pt idx="2">
                  <c:v>270.125</c:v>
                </c:pt>
                <c:pt idx="3">
                  <c:v>849.5625</c:v>
                </c:pt>
                <c:pt idx="4">
                  <c:v>2813.75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1-EF49-8002-C54D657629B1}"/>
            </c:ext>
          </c:extLst>
        </c:ser>
        <c:ser>
          <c:idx val="1"/>
          <c:order val="1"/>
          <c:tx>
            <c:strRef>
              <c:f>Summary!$E$2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Summary!$E$4:$E$8</c:f>
              <c:numCache>
                <c:formatCode>General</c:formatCode>
                <c:ptCount val="5"/>
                <c:pt idx="0">
                  <c:v>8.1875</c:v>
                </c:pt>
                <c:pt idx="1">
                  <c:v>25.21875</c:v>
                </c:pt>
                <c:pt idx="2">
                  <c:v>74.90625</c:v>
                </c:pt>
                <c:pt idx="3">
                  <c:v>239.90625</c:v>
                </c:pt>
                <c:pt idx="4">
                  <c:v>769.84375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F1-EF49-8002-C54D657629B1}"/>
            </c:ext>
          </c:extLst>
        </c:ser>
        <c:ser>
          <c:idx val="4"/>
          <c:order val="2"/>
          <c:tx>
            <c:strRef>
              <c:f>Summary!$G$2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Summary!$G$4:$G$8</c:f>
              <c:numCache>
                <c:formatCode>General</c:formatCode>
                <c:ptCount val="5"/>
                <c:pt idx="0">
                  <c:v>7.75</c:v>
                </c:pt>
                <c:pt idx="1">
                  <c:v>22.75</c:v>
                </c:pt>
                <c:pt idx="2">
                  <c:v>71.25</c:v>
                </c:pt>
                <c:pt idx="3">
                  <c:v>230.90625</c:v>
                </c:pt>
                <c:pt idx="4">
                  <c:v>710.53125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F1-EF49-8002-C54D657629B1}"/>
            </c:ext>
          </c:extLst>
        </c:ser>
        <c:ser>
          <c:idx val="2"/>
          <c:order val="3"/>
          <c:tx>
            <c:strRef>
              <c:f>Summary!$I$2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Summary!$I$4:$I$8</c:f>
              <c:numCache>
                <c:formatCode>General</c:formatCode>
                <c:ptCount val="5"/>
                <c:pt idx="0">
                  <c:v>13.15625</c:v>
                </c:pt>
                <c:pt idx="1">
                  <c:v>52.84375</c:v>
                </c:pt>
                <c:pt idx="2">
                  <c:v>172.84375</c:v>
                </c:pt>
                <c:pt idx="3">
                  <c:v>546.59375</c:v>
                </c:pt>
                <c:pt idx="4">
                  <c:v>1820.3125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F1-EF49-8002-C54D657629B1}"/>
            </c:ext>
          </c:extLst>
        </c:ser>
        <c:ser>
          <c:idx val="5"/>
          <c:order val="4"/>
          <c:tx>
            <c:strRef>
              <c:f>Summary!$K$2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Summary!$K$4:$K$8</c:f>
              <c:numCache>
                <c:formatCode>General</c:formatCode>
                <c:ptCount val="5"/>
                <c:pt idx="0">
                  <c:v>19.75</c:v>
                </c:pt>
                <c:pt idx="1">
                  <c:v>62.21875</c:v>
                </c:pt>
                <c:pt idx="2">
                  <c:v>209.90625</c:v>
                </c:pt>
                <c:pt idx="3">
                  <c:v>649.1875</c:v>
                </c:pt>
                <c:pt idx="4">
                  <c:v>2099.375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F1-EF49-8002-C54D657629B1}"/>
            </c:ext>
          </c:extLst>
        </c:ser>
        <c:ser>
          <c:idx val="3"/>
          <c:order val="5"/>
          <c:tx>
            <c:strRef>
              <c:f>Summary!$B$3</c:f>
              <c:strCache>
                <c:ptCount val="1"/>
                <c:pt idx="0">
                  <c:v>sqrtN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Summary!$B$4:$B$8</c:f>
              <c:numCache>
                <c:formatCode>0.000</c:formatCode>
                <c:ptCount val="5"/>
                <c:pt idx="0">
                  <c:v>7.9372539331937721</c:v>
                </c:pt>
                <c:pt idx="1">
                  <c:v>24.248711305964282</c:v>
                </c:pt>
                <c:pt idx="2">
                  <c:v>77.220463609071913</c:v>
                </c:pt>
                <c:pt idx="3">
                  <c:v>243.93031791886796</c:v>
                </c:pt>
                <c:pt idx="4">
                  <c:v>771.91709399390811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F1-EF49-8002-C54D65762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Separator Size (# 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Grids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Summary!$M$2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Summary!$M$4:$M$8</c:f>
              <c:numCache>
                <c:formatCode>General</c:formatCode>
                <c:ptCount val="5"/>
                <c:pt idx="0">
                  <c:v>1.4065896874999999</c:v>
                </c:pt>
                <c:pt idx="1">
                  <c:v>1.1170134375000003</c:v>
                </c:pt>
                <c:pt idx="2">
                  <c:v>1.0488900000000001</c:v>
                </c:pt>
                <c:pt idx="3">
                  <c:v>1.0160021875</c:v>
                </c:pt>
                <c:pt idx="4">
                  <c:v>1.0055790625000001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9-B64B-924F-B6B72EAF0BF2}"/>
            </c:ext>
          </c:extLst>
        </c:ser>
        <c:ser>
          <c:idx val="1"/>
          <c:order val="1"/>
          <c:tx>
            <c:strRef>
              <c:f>Summary!$O$2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Summary!$O$4:$O$8</c:f>
              <c:numCache>
                <c:formatCode>General</c:formatCode>
                <c:ptCount val="5"/>
                <c:pt idx="0">
                  <c:v>1.6768018749999998</c:v>
                </c:pt>
                <c:pt idx="1">
                  <c:v>1.6744037499999995</c:v>
                </c:pt>
                <c:pt idx="2">
                  <c:v>1.7563756249999996</c:v>
                </c:pt>
                <c:pt idx="3">
                  <c:v>1.6832484375000003</c:v>
                </c:pt>
                <c:pt idx="4">
                  <c:v>1.6642484375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A9-B64B-924F-B6B72EAF0BF2}"/>
            </c:ext>
          </c:extLst>
        </c:ser>
        <c:ser>
          <c:idx val="4"/>
          <c:order val="2"/>
          <c:tx>
            <c:strRef>
              <c:f>Summary!$Q$2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Summary!$Q$4:$Q$8</c:f>
              <c:numCache>
                <c:formatCode>General</c:formatCode>
                <c:ptCount val="5"/>
                <c:pt idx="0">
                  <c:v>1.4141556250000002</c:v>
                </c:pt>
                <c:pt idx="1">
                  <c:v>1.4417365625</c:v>
                </c:pt>
                <c:pt idx="2">
                  <c:v>1.5210731249999998</c:v>
                </c:pt>
                <c:pt idx="3">
                  <c:v>1.4908103125000001</c:v>
                </c:pt>
                <c:pt idx="4">
                  <c:v>1.5016449999999997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A9-B64B-924F-B6B72EAF0BF2}"/>
            </c:ext>
          </c:extLst>
        </c:ser>
        <c:ser>
          <c:idx val="2"/>
          <c:order val="3"/>
          <c:tx>
            <c:strRef>
              <c:f>Summary!$S$2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Summary!$S$4:$S$8</c:f>
              <c:numCache>
                <c:formatCode>General</c:formatCode>
                <c:ptCount val="5"/>
                <c:pt idx="0">
                  <c:v>1.4063575000000001</c:v>
                </c:pt>
                <c:pt idx="1">
                  <c:v>1.3796303124999998</c:v>
                </c:pt>
                <c:pt idx="2">
                  <c:v>1.3869343750000001</c:v>
                </c:pt>
                <c:pt idx="3">
                  <c:v>1.3339506249999997</c:v>
                </c:pt>
                <c:pt idx="4">
                  <c:v>1.2690428125000002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A9-B64B-924F-B6B72EAF0BF2}"/>
            </c:ext>
          </c:extLst>
        </c:ser>
        <c:ser>
          <c:idx val="5"/>
          <c:order val="4"/>
          <c:tx>
            <c:strRef>
              <c:f>Summary!$U$2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Summary!$U$4:$U$8</c:f>
              <c:numCache>
                <c:formatCode>General</c:formatCode>
                <c:ptCount val="5"/>
                <c:pt idx="0">
                  <c:v>1.4432184375000001</c:v>
                </c:pt>
                <c:pt idx="1">
                  <c:v>1.1471575000000001</c:v>
                </c:pt>
                <c:pt idx="2">
                  <c:v>1.1522781249999996</c:v>
                </c:pt>
                <c:pt idx="3">
                  <c:v>1.1449978124999998</c:v>
                </c:pt>
                <c:pt idx="4">
                  <c:v>1.1674228124999999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A9-B64B-924F-B6B72EAF0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orientation val="minMax"/>
          <c:max val="2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Balance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  <c:majorUnit val="0.2"/>
        <c:min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Grids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Summary!$W$2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Summary!$W$4:$W$8</c:f>
              <c:numCache>
                <c:formatCode>General</c:formatCode>
                <c:ptCount val="5"/>
                <c:pt idx="0">
                  <c:v>1.7118749999999998</c:v>
                </c:pt>
                <c:pt idx="1">
                  <c:v>4.9662499999999996</c:v>
                </c:pt>
                <c:pt idx="2">
                  <c:v>17.364374999999995</c:v>
                </c:pt>
                <c:pt idx="3">
                  <c:v>129.98156250000002</c:v>
                </c:pt>
                <c:pt idx="4">
                  <c:v>1713.8756249999997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5-F94F-81F8-52B22D25E98A}"/>
            </c:ext>
          </c:extLst>
        </c:ser>
        <c:ser>
          <c:idx val="1"/>
          <c:order val="1"/>
          <c:tx>
            <c:strRef>
              <c:f>Summary!$Y$2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Summary!$Y$4:$Y$8</c:f>
              <c:numCache>
                <c:formatCode>General</c:formatCode>
                <c:ptCount val="5"/>
                <c:pt idx="0">
                  <c:v>2.0490624999999998</c:v>
                </c:pt>
                <c:pt idx="1">
                  <c:v>6.6240625000000009</c:v>
                </c:pt>
                <c:pt idx="2">
                  <c:v>31.822812500000008</c:v>
                </c:pt>
                <c:pt idx="3">
                  <c:v>311.83749999999998</c:v>
                </c:pt>
                <c:pt idx="4">
                  <c:v>3918.1428125000002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F5-F94F-81F8-52B22D25E98A}"/>
            </c:ext>
          </c:extLst>
        </c:ser>
        <c:ser>
          <c:idx val="4"/>
          <c:order val="2"/>
          <c:tx>
            <c:strRef>
              <c:f>Summary!$AA$2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Summary!$AA$4:$AA$8</c:f>
              <c:numCache>
                <c:formatCode>General</c:formatCode>
                <c:ptCount val="5"/>
                <c:pt idx="0">
                  <c:v>2.8434375000000003</c:v>
                </c:pt>
                <c:pt idx="1">
                  <c:v>10.706874999999997</c:v>
                </c:pt>
                <c:pt idx="2">
                  <c:v>37.136562500000011</c:v>
                </c:pt>
                <c:pt idx="3">
                  <c:v>382.56593749999996</c:v>
                </c:pt>
                <c:pt idx="4">
                  <c:v>4809.6321874999994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5-F94F-81F8-52B22D25E98A}"/>
            </c:ext>
          </c:extLst>
        </c:ser>
        <c:ser>
          <c:idx val="2"/>
          <c:order val="3"/>
          <c:tx>
            <c:strRef>
              <c:f>Summary!$AC$2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Summary!$AC$4:$AC$8</c:f>
              <c:numCache>
                <c:formatCode>General</c:formatCode>
                <c:ptCount val="5"/>
                <c:pt idx="0">
                  <c:v>2.5543749999999998</c:v>
                </c:pt>
                <c:pt idx="1">
                  <c:v>8.8481249999999996</c:v>
                </c:pt>
                <c:pt idx="2">
                  <c:v>43.696562499999992</c:v>
                </c:pt>
                <c:pt idx="3">
                  <c:v>430.30468750000011</c:v>
                </c:pt>
                <c:pt idx="4">
                  <c:v>5722.9334374999989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F5-F94F-81F8-52B22D25E98A}"/>
            </c:ext>
          </c:extLst>
        </c:ser>
        <c:ser>
          <c:idx val="5"/>
          <c:order val="4"/>
          <c:tx>
            <c:strRef>
              <c:f>Summary!$AE$2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Summary!$AE$4:$AE$8</c:f>
              <c:numCache>
                <c:formatCode>General</c:formatCode>
                <c:ptCount val="5"/>
                <c:pt idx="0">
                  <c:v>3.2453125000000007</c:v>
                </c:pt>
                <c:pt idx="1">
                  <c:v>17.905312500000004</c:v>
                </c:pt>
                <c:pt idx="2">
                  <c:v>65.908437499999991</c:v>
                </c:pt>
                <c:pt idx="3">
                  <c:v>587.40656250000006</c:v>
                </c:pt>
                <c:pt idx="4">
                  <c:v>7603.2056250000005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F5-F94F-81F8-52B22D25E98A}"/>
            </c:ext>
          </c:extLst>
        </c:ser>
        <c:ser>
          <c:idx val="3"/>
          <c:order val="5"/>
          <c:tx>
            <c:v>Linear</c:v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Summary!$AH$4:$AH$8</c:f>
              <c:numCache>
                <c:formatCode>General</c:formatCode>
                <c:ptCount val="5"/>
                <c:pt idx="0">
                  <c:v>2.1</c:v>
                </c:pt>
                <c:pt idx="1">
                  <c:v>19.600000000000001</c:v>
                </c:pt>
                <c:pt idx="2">
                  <c:v>198.76666666666668</c:v>
                </c:pt>
                <c:pt idx="3">
                  <c:v>1983.4</c:v>
                </c:pt>
                <c:pt idx="4">
                  <c:v>19861.866666666665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F5-F94F-81F8-52B22D25E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Runtime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2</xdr:row>
          <xdr:rowOff>12700</xdr:rowOff>
        </xdr:from>
        <xdr:to>
          <xdr:col>36</xdr:col>
          <xdr:colOff>457200</xdr:colOff>
          <xdr:row>6</xdr:row>
          <xdr:rowOff>25400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0000"/>
                  </a:solidFill>
                  <a:latin typeface="System Font"/>
                </a:rPr>
                <a:t>CopyData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9</xdr:row>
      <xdr:rowOff>0</xdr:rowOff>
    </xdr:from>
    <xdr:to>
      <xdr:col>10</xdr:col>
      <xdr:colOff>419100</xdr:colOff>
      <xdr:row>31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9</xdr:row>
      <xdr:rowOff>0</xdr:rowOff>
    </xdr:from>
    <xdr:to>
      <xdr:col>20</xdr:col>
      <xdr:colOff>165100</xdr:colOff>
      <xdr:row>31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9</xdr:row>
      <xdr:rowOff>0</xdr:rowOff>
    </xdr:from>
    <xdr:to>
      <xdr:col>31</xdr:col>
      <xdr:colOff>165100</xdr:colOff>
      <xdr:row>31</xdr:row>
      <xdr:rowOff>101600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4"/>
  <sheetViews>
    <sheetView topLeftCell="H19" workbookViewId="0">
      <selection activeCell="B38" sqref="B38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>
        <v>63</v>
      </c>
    </row>
    <row r="2" spans="1:16">
      <c r="A2" t="s">
        <v>3</v>
      </c>
      <c r="B2" t="s">
        <v>4</v>
      </c>
    </row>
    <row r="3" spans="1:16">
      <c r="C3" t="s">
        <v>5</v>
      </c>
      <c r="F3" t="s">
        <v>6</v>
      </c>
      <c r="I3" t="s">
        <v>24</v>
      </c>
      <c r="L3" t="s">
        <v>7</v>
      </c>
      <c r="O3" t="s">
        <v>25</v>
      </c>
    </row>
    <row r="4" spans="1:16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10</v>
      </c>
      <c r="K4" t="s">
        <v>8</v>
      </c>
      <c r="L4" t="s">
        <v>9</v>
      </c>
      <c r="M4" t="s">
        <v>11</v>
      </c>
      <c r="N4" t="s">
        <v>8</v>
      </c>
      <c r="O4" t="s">
        <v>9</v>
      </c>
      <c r="P4" t="s">
        <v>11</v>
      </c>
    </row>
    <row r="5" spans="1:16">
      <c r="A5">
        <v>0</v>
      </c>
      <c r="B5">
        <v>31</v>
      </c>
      <c r="C5">
        <v>1</v>
      </c>
      <c r="D5">
        <v>10.42</v>
      </c>
      <c r="E5">
        <v>8</v>
      </c>
      <c r="F5">
        <v>1.6296299999999999</v>
      </c>
      <c r="G5">
        <v>7.42</v>
      </c>
      <c r="H5">
        <v>8</v>
      </c>
      <c r="I5">
        <v>1.02857</v>
      </c>
      <c r="J5">
        <v>3.56</v>
      </c>
      <c r="K5">
        <v>11</v>
      </c>
      <c r="L5">
        <v>1.55172</v>
      </c>
      <c r="M5">
        <v>5.3</v>
      </c>
      <c r="N5">
        <v>27</v>
      </c>
      <c r="O5">
        <v>1.0930200000000001</v>
      </c>
      <c r="P5">
        <v>6.91</v>
      </c>
    </row>
    <row r="6" spans="1:16">
      <c r="A6">
        <v>1</v>
      </c>
      <c r="B6">
        <v>30</v>
      </c>
      <c r="C6">
        <v>1.0217400000000001</v>
      </c>
      <c r="D6">
        <v>1.19</v>
      </c>
      <c r="E6">
        <v>8</v>
      </c>
      <c r="F6">
        <v>1.7307699999999999</v>
      </c>
      <c r="G6">
        <v>1.79</v>
      </c>
      <c r="H6">
        <v>8</v>
      </c>
      <c r="I6">
        <v>1.5357099999999999</v>
      </c>
      <c r="J6">
        <v>2.0499999999999998</v>
      </c>
      <c r="K6">
        <v>14</v>
      </c>
      <c r="L6">
        <v>1.48387</v>
      </c>
      <c r="M6">
        <v>2.35</v>
      </c>
      <c r="N6">
        <v>20</v>
      </c>
      <c r="O6">
        <v>1.3055600000000001</v>
      </c>
      <c r="P6">
        <v>5.65</v>
      </c>
    </row>
    <row r="7" spans="1:16">
      <c r="A7">
        <v>2</v>
      </c>
      <c r="B7">
        <v>26</v>
      </c>
      <c r="C7">
        <v>1.0697700000000001</v>
      </c>
      <c r="D7">
        <v>0.98</v>
      </c>
      <c r="E7">
        <v>7</v>
      </c>
      <c r="F7">
        <v>1.8</v>
      </c>
      <c r="G7">
        <v>2</v>
      </c>
      <c r="H7">
        <v>7</v>
      </c>
      <c r="I7">
        <v>1.5</v>
      </c>
      <c r="J7">
        <v>2.66</v>
      </c>
      <c r="K7">
        <v>16</v>
      </c>
      <c r="L7">
        <v>1.39394</v>
      </c>
      <c r="M7">
        <v>9.5</v>
      </c>
      <c r="N7">
        <v>18</v>
      </c>
      <c r="O7">
        <v>1.53125</v>
      </c>
      <c r="P7">
        <v>2.82</v>
      </c>
    </row>
    <row r="8" spans="1:16">
      <c r="A8">
        <v>3</v>
      </c>
      <c r="B8">
        <v>28</v>
      </c>
      <c r="C8">
        <v>1.6764699999999999</v>
      </c>
      <c r="D8">
        <v>0.87</v>
      </c>
      <c r="E8">
        <v>8</v>
      </c>
      <c r="F8">
        <v>1.7307699999999999</v>
      </c>
      <c r="G8">
        <v>1.68</v>
      </c>
      <c r="H8">
        <v>8</v>
      </c>
      <c r="I8">
        <v>1.21875</v>
      </c>
      <c r="J8">
        <v>2.5299999999999998</v>
      </c>
      <c r="K8">
        <v>13</v>
      </c>
      <c r="L8">
        <v>1.375</v>
      </c>
      <c r="M8">
        <v>2.57</v>
      </c>
      <c r="N8">
        <v>18</v>
      </c>
      <c r="O8">
        <v>1.53125</v>
      </c>
      <c r="P8">
        <v>3.93</v>
      </c>
    </row>
    <row r="9" spans="1:16">
      <c r="A9">
        <v>4</v>
      </c>
      <c r="B9">
        <v>30</v>
      </c>
      <c r="C9">
        <v>1.0217400000000001</v>
      </c>
      <c r="D9">
        <v>1.33</v>
      </c>
      <c r="E9">
        <v>8</v>
      </c>
      <c r="F9">
        <v>1.7307699999999999</v>
      </c>
      <c r="G9">
        <v>1.58</v>
      </c>
      <c r="H9">
        <v>8</v>
      </c>
      <c r="I9">
        <v>1.5357099999999999</v>
      </c>
      <c r="J9">
        <v>4.9400000000000004</v>
      </c>
      <c r="K9">
        <v>14</v>
      </c>
      <c r="L9">
        <v>1.48387</v>
      </c>
      <c r="M9">
        <v>1.8</v>
      </c>
      <c r="N9">
        <v>20</v>
      </c>
      <c r="O9">
        <v>1.3055600000000001</v>
      </c>
      <c r="P9">
        <v>4.41</v>
      </c>
    </row>
    <row r="10" spans="1:16">
      <c r="A10">
        <v>5</v>
      </c>
      <c r="B10">
        <v>26</v>
      </c>
      <c r="C10">
        <v>1.0697700000000001</v>
      </c>
      <c r="D10">
        <v>0.9</v>
      </c>
      <c r="E10">
        <v>7</v>
      </c>
      <c r="F10">
        <v>1.8</v>
      </c>
      <c r="G10">
        <v>3.61</v>
      </c>
      <c r="H10">
        <v>7</v>
      </c>
      <c r="I10">
        <v>1.5</v>
      </c>
      <c r="J10">
        <v>2.63</v>
      </c>
      <c r="K10">
        <v>16</v>
      </c>
      <c r="L10">
        <v>1.39394</v>
      </c>
      <c r="M10">
        <v>5.71</v>
      </c>
      <c r="N10">
        <v>18</v>
      </c>
      <c r="O10">
        <v>1.53125</v>
      </c>
      <c r="P10">
        <v>3.39</v>
      </c>
    </row>
    <row r="11" spans="1:16">
      <c r="A11">
        <v>6</v>
      </c>
      <c r="B11">
        <v>31</v>
      </c>
      <c r="C11">
        <v>1</v>
      </c>
      <c r="D11">
        <v>0.61</v>
      </c>
      <c r="E11">
        <v>8</v>
      </c>
      <c r="F11">
        <v>1.7307699999999999</v>
      </c>
      <c r="G11">
        <v>4.0599999999999996</v>
      </c>
      <c r="H11">
        <v>8</v>
      </c>
      <c r="I11">
        <v>1.7307699999999999</v>
      </c>
      <c r="J11">
        <v>3.92</v>
      </c>
      <c r="K11">
        <v>15</v>
      </c>
      <c r="L11">
        <v>1.36364</v>
      </c>
      <c r="M11">
        <v>9.74</v>
      </c>
      <c r="N11">
        <v>19</v>
      </c>
      <c r="O11">
        <v>1.3428599999999999</v>
      </c>
      <c r="P11">
        <v>12.36</v>
      </c>
    </row>
    <row r="12" spans="1:16">
      <c r="A12">
        <v>7</v>
      </c>
      <c r="B12">
        <v>28</v>
      </c>
      <c r="C12">
        <v>1.6764699999999999</v>
      </c>
      <c r="D12">
        <v>3.15</v>
      </c>
      <c r="E12">
        <v>8</v>
      </c>
      <c r="F12">
        <v>1.7307699999999999</v>
      </c>
      <c r="G12">
        <v>1.41</v>
      </c>
      <c r="H12">
        <v>8</v>
      </c>
      <c r="I12">
        <v>1.21875</v>
      </c>
      <c r="J12">
        <v>1.86</v>
      </c>
      <c r="K12">
        <v>13</v>
      </c>
      <c r="L12">
        <v>1.375</v>
      </c>
      <c r="M12">
        <v>2.93</v>
      </c>
      <c r="N12">
        <v>18</v>
      </c>
      <c r="O12">
        <v>1.53125</v>
      </c>
      <c r="P12">
        <v>2.56</v>
      </c>
    </row>
    <row r="13" spans="1:16">
      <c r="A13">
        <v>8</v>
      </c>
      <c r="B13">
        <v>33</v>
      </c>
      <c r="C13">
        <v>1.0869599999999999</v>
      </c>
      <c r="D13">
        <v>4.0599999999999996</v>
      </c>
      <c r="E13">
        <v>10</v>
      </c>
      <c r="F13">
        <v>1.60714</v>
      </c>
      <c r="G13">
        <v>15.72</v>
      </c>
      <c r="H13">
        <v>8</v>
      </c>
      <c r="I13">
        <v>1.02857</v>
      </c>
      <c r="J13">
        <v>16.04</v>
      </c>
      <c r="K13">
        <v>13</v>
      </c>
      <c r="L13">
        <v>1.4516100000000001</v>
      </c>
      <c r="M13">
        <v>2.65</v>
      </c>
      <c r="N13">
        <v>21</v>
      </c>
      <c r="O13">
        <v>1.4705900000000001</v>
      </c>
      <c r="P13">
        <v>9.85</v>
      </c>
    </row>
    <row r="14" spans="1:16">
      <c r="A14">
        <v>9</v>
      </c>
      <c r="B14">
        <v>28</v>
      </c>
      <c r="C14">
        <v>1.7575799999999999</v>
      </c>
      <c r="D14">
        <v>3.42</v>
      </c>
      <c r="E14">
        <v>7</v>
      </c>
      <c r="F14">
        <v>1.8</v>
      </c>
      <c r="G14">
        <v>2.2200000000000002</v>
      </c>
      <c r="H14">
        <v>7</v>
      </c>
      <c r="I14">
        <v>1.8</v>
      </c>
      <c r="J14">
        <v>3.27</v>
      </c>
      <c r="K14">
        <v>10</v>
      </c>
      <c r="L14">
        <v>1.5172399999999999</v>
      </c>
      <c r="M14">
        <v>3.06</v>
      </c>
      <c r="N14">
        <v>18</v>
      </c>
      <c r="O14">
        <v>1.53125</v>
      </c>
      <c r="P14">
        <v>2.0699999999999998</v>
      </c>
    </row>
    <row r="15" spans="1:16">
      <c r="A15">
        <v>10</v>
      </c>
      <c r="B15">
        <v>30</v>
      </c>
      <c r="C15">
        <v>1.0217400000000001</v>
      </c>
      <c r="D15">
        <v>0.67</v>
      </c>
      <c r="E15">
        <v>10</v>
      </c>
      <c r="F15">
        <v>1.08571</v>
      </c>
      <c r="G15">
        <v>1.1299999999999999</v>
      </c>
      <c r="H15">
        <v>8</v>
      </c>
      <c r="I15">
        <v>1.5357099999999999</v>
      </c>
      <c r="J15">
        <v>14.88</v>
      </c>
      <c r="K15">
        <v>15</v>
      </c>
      <c r="L15">
        <v>1.05263</v>
      </c>
      <c r="M15">
        <v>1.58</v>
      </c>
      <c r="N15">
        <v>21</v>
      </c>
      <c r="O15">
        <v>1.27027</v>
      </c>
      <c r="P15">
        <v>2.15</v>
      </c>
    </row>
    <row r="16" spans="1:16">
      <c r="A16">
        <v>11</v>
      </c>
      <c r="B16">
        <v>30</v>
      </c>
      <c r="C16">
        <v>1.5833299999999999</v>
      </c>
      <c r="D16">
        <v>0.61</v>
      </c>
      <c r="E16">
        <v>7</v>
      </c>
      <c r="F16">
        <v>1.8</v>
      </c>
      <c r="G16">
        <v>2.13</v>
      </c>
      <c r="H16">
        <v>7</v>
      </c>
      <c r="I16">
        <v>1.5</v>
      </c>
      <c r="J16">
        <v>2.5099999999999998</v>
      </c>
      <c r="K16">
        <v>11</v>
      </c>
      <c r="L16">
        <v>1.4666699999999999</v>
      </c>
      <c r="M16">
        <v>4.0599999999999996</v>
      </c>
      <c r="N16">
        <v>18</v>
      </c>
      <c r="O16">
        <v>1.53125</v>
      </c>
      <c r="P16">
        <v>2.2400000000000002</v>
      </c>
    </row>
    <row r="17" spans="1:16">
      <c r="A17">
        <v>12</v>
      </c>
      <c r="B17">
        <v>22</v>
      </c>
      <c r="C17">
        <v>1.57576</v>
      </c>
      <c r="D17">
        <v>0.63</v>
      </c>
      <c r="E17">
        <v>12</v>
      </c>
      <c r="F17">
        <v>1.5</v>
      </c>
      <c r="G17">
        <v>1.1100000000000001</v>
      </c>
      <c r="H17">
        <v>10</v>
      </c>
      <c r="I17">
        <v>1.35484</v>
      </c>
      <c r="J17">
        <v>1.35</v>
      </c>
      <c r="K17">
        <v>15</v>
      </c>
      <c r="L17">
        <v>1.2941199999999999</v>
      </c>
      <c r="M17">
        <v>2.39</v>
      </c>
      <c r="N17">
        <v>16</v>
      </c>
      <c r="O17">
        <v>1.1944399999999999</v>
      </c>
      <c r="P17">
        <v>2.2599999999999998</v>
      </c>
    </row>
    <row r="18" spans="1:16">
      <c r="A18">
        <v>13</v>
      </c>
      <c r="B18">
        <v>14</v>
      </c>
      <c r="C18">
        <v>1.3333299999999999</v>
      </c>
      <c r="D18">
        <v>3.51</v>
      </c>
      <c r="E18">
        <v>9</v>
      </c>
      <c r="F18">
        <v>1.7692300000000001</v>
      </c>
      <c r="G18">
        <v>1.1200000000000001</v>
      </c>
      <c r="H18">
        <v>8</v>
      </c>
      <c r="I18">
        <v>1.7307699999999999</v>
      </c>
      <c r="J18">
        <v>1.42</v>
      </c>
      <c r="K18">
        <v>14</v>
      </c>
      <c r="L18">
        <v>1.56667</v>
      </c>
      <c r="M18">
        <v>2.75</v>
      </c>
      <c r="N18">
        <v>11</v>
      </c>
      <c r="O18">
        <v>1.4666699999999999</v>
      </c>
      <c r="P18">
        <v>9.43</v>
      </c>
    </row>
    <row r="19" spans="1:16">
      <c r="A19">
        <v>14</v>
      </c>
      <c r="B19">
        <v>28</v>
      </c>
      <c r="C19">
        <v>1.7575799999999999</v>
      </c>
      <c r="D19">
        <v>1.58</v>
      </c>
      <c r="E19">
        <v>7</v>
      </c>
      <c r="F19">
        <v>1.8</v>
      </c>
      <c r="G19">
        <v>1.23</v>
      </c>
      <c r="H19">
        <v>7</v>
      </c>
      <c r="I19">
        <v>1.8</v>
      </c>
      <c r="J19">
        <v>5.28</v>
      </c>
      <c r="K19">
        <v>10</v>
      </c>
      <c r="L19">
        <v>1.5172399999999999</v>
      </c>
      <c r="M19">
        <v>1.51</v>
      </c>
      <c r="N19">
        <v>18</v>
      </c>
      <c r="O19">
        <v>1.53125</v>
      </c>
      <c r="P19">
        <v>6.01</v>
      </c>
    </row>
    <row r="20" spans="1:16">
      <c r="A20">
        <v>15</v>
      </c>
      <c r="B20">
        <v>28</v>
      </c>
      <c r="C20">
        <v>1.6764699999999999</v>
      </c>
      <c r="D20">
        <v>0.56000000000000005</v>
      </c>
      <c r="E20">
        <v>7</v>
      </c>
      <c r="F20">
        <v>1.8</v>
      </c>
      <c r="G20">
        <v>1.24</v>
      </c>
      <c r="H20">
        <v>7</v>
      </c>
      <c r="I20">
        <v>1.5</v>
      </c>
      <c r="J20">
        <v>3.63</v>
      </c>
      <c r="K20">
        <v>12</v>
      </c>
      <c r="L20">
        <v>1.4193499999999999</v>
      </c>
      <c r="M20">
        <v>1.35</v>
      </c>
      <c r="N20">
        <v>18</v>
      </c>
      <c r="O20">
        <v>1.53125</v>
      </c>
      <c r="P20">
        <v>1.92</v>
      </c>
    </row>
    <row r="21" spans="1:16">
      <c r="A21">
        <v>16</v>
      </c>
      <c r="B21">
        <v>28</v>
      </c>
      <c r="C21">
        <v>1.6764699999999999</v>
      </c>
      <c r="D21">
        <v>0.55000000000000004</v>
      </c>
      <c r="E21">
        <v>8</v>
      </c>
      <c r="F21">
        <v>1.7307699999999999</v>
      </c>
      <c r="G21">
        <v>3.94</v>
      </c>
      <c r="H21">
        <v>8</v>
      </c>
      <c r="I21">
        <v>1.21875</v>
      </c>
      <c r="J21">
        <v>1.27</v>
      </c>
      <c r="K21">
        <v>13</v>
      </c>
      <c r="L21">
        <v>1.375</v>
      </c>
      <c r="M21">
        <v>5.43</v>
      </c>
      <c r="N21">
        <v>18</v>
      </c>
      <c r="O21">
        <v>1.53125</v>
      </c>
      <c r="P21">
        <v>2.44</v>
      </c>
    </row>
    <row r="22" spans="1:16">
      <c r="A22">
        <v>17</v>
      </c>
      <c r="B22">
        <v>30</v>
      </c>
      <c r="C22">
        <v>1.5135099999999999</v>
      </c>
      <c r="D22">
        <v>6.37</v>
      </c>
      <c r="E22">
        <v>7</v>
      </c>
      <c r="F22">
        <v>1.69231</v>
      </c>
      <c r="G22">
        <v>0.9</v>
      </c>
      <c r="H22">
        <v>8</v>
      </c>
      <c r="I22">
        <v>1.21875</v>
      </c>
      <c r="J22">
        <v>2.29</v>
      </c>
      <c r="K22">
        <v>16</v>
      </c>
      <c r="L22">
        <v>1.3235300000000001</v>
      </c>
      <c r="M22">
        <v>2.13</v>
      </c>
      <c r="N22">
        <v>26</v>
      </c>
      <c r="O22">
        <v>1.40541</v>
      </c>
      <c r="P22">
        <v>2.89</v>
      </c>
    </row>
    <row r="23" spans="1:16">
      <c r="A23">
        <v>18</v>
      </c>
      <c r="B23">
        <v>29</v>
      </c>
      <c r="C23">
        <v>1.7058800000000001</v>
      </c>
      <c r="D23">
        <v>0.47</v>
      </c>
      <c r="E23">
        <v>8</v>
      </c>
      <c r="F23">
        <v>1.7307699999999999</v>
      </c>
      <c r="G23">
        <v>2.85</v>
      </c>
      <c r="H23">
        <v>8</v>
      </c>
      <c r="I23">
        <v>1.7307699999999999</v>
      </c>
      <c r="J23">
        <v>2.54</v>
      </c>
      <c r="K23">
        <v>11</v>
      </c>
      <c r="L23">
        <v>1.55172</v>
      </c>
      <c r="M23">
        <v>1.56</v>
      </c>
      <c r="N23">
        <v>26</v>
      </c>
      <c r="O23">
        <v>1.61765</v>
      </c>
      <c r="P23">
        <v>3.54</v>
      </c>
    </row>
    <row r="24" spans="1:16">
      <c r="A24">
        <v>19</v>
      </c>
      <c r="B24">
        <v>14</v>
      </c>
      <c r="C24">
        <v>1.3333299999999999</v>
      </c>
      <c r="D24">
        <v>0.45</v>
      </c>
      <c r="E24">
        <v>9</v>
      </c>
      <c r="F24">
        <v>1.7692300000000001</v>
      </c>
      <c r="G24">
        <v>0.85</v>
      </c>
      <c r="H24">
        <v>8</v>
      </c>
      <c r="I24">
        <v>1.7307699999999999</v>
      </c>
      <c r="J24">
        <v>1.1299999999999999</v>
      </c>
      <c r="K24">
        <v>14</v>
      </c>
      <c r="L24">
        <v>1.56667</v>
      </c>
      <c r="M24">
        <v>1.31</v>
      </c>
      <c r="N24">
        <v>11</v>
      </c>
      <c r="O24">
        <v>1.4666699999999999</v>
      </c>
      <c r="P24">
        <v>2.67</v>
      </c>
    </row>
    <row r="25" spans="1:16">
      <c r="A25">
        <v>20</v>
      </c>
      <c r="B25">
        <v>28</v>
      </c>
      <c r="C25">
        <v>1.0222199999999999</v>
      </c>
      <c r="D25">
        <v>0.74</v>
      </c>
      <c r="E25">
        <v>11</v>
      </c>
      <c r="F25">
        <v>1.3871</v>
      </c>
      <c r="G25">
        <v>0.82</v>
      </c>
      <c r="H25">
        <v>10</v>
      </c>
      <c r="I25">
        <v>1.35484</v>
      </c>
      <c r="J25">
        <v>0.74</v>
      </c>
      <c r="K25">
        <v>16</v>
      </c>
      <c r="L25">
        <v>1.1944399999999999</v>
      </c>
      <c r="M25">
        <v>0.67</v>
      </c>
      <c r="N25">
        <v>20</v>
      </c>
      <c r="O25">
        <v>1.18421</v>
      </c>
      <c r="P25">
        <v>0.92</v>
      </c>
    </row>
    <row r="26" spans="1:16">
      <c r="A26">
        <v>21</v>
      </c>
      <c r="B26">
        <v>30</v>
      </c>
      <c r="C26">
        <v>1.5833299999999999</v>
      </c>
      <c r="D26">
        <v>0.26</v>
      </c>
      <c r="E26">
        <v>8</v>
      </c>
      <c r="F26">
        <v>1.5357099999999999</v>
      </c>
      <c r="G26">
        <v>1.34</v>
      </c>
      <c r="H26">
        <v>7</v>
      </c>
      <c r="I26">
        <v>1.5</v>
      </c>
      <c r="J26">
        <v>0.91</v>
      </c>
      <c r="K26">
        <v>15</v>
      </c>
      <c r="L26">
        <v>1.2941199999999999</v>
      </c>
      <c r="M26">
        <v>0.71</v>
      </c>
      <c r="N26">
        <v>27</v>
      </c>
      <c r="O26">
        <v>1.5</v>
      </c>
      <c r="P26">
        <v>0.98</v>
      </c>
    </row>
    <row r="27" spans="1:16">
      <c r="A27">
        <v>22</v>
      </c>
      <c r="B27">
        <v>25</v>
      </c>
      <c r="C27">
        <v>1.25641</v>
      </c>
      <c r="D27">
        <v>0.26</v>
      </c>
      <c r="E27">
        <v>7</v>
      </c>
      <c r="F27">
        <v>1.8</v>
      </c>
      <c r="G27">
        <v>0.75</v>
      </c>
      <c r="H27">
        <v>7</v>
      </c>
      <c r="I27">
        <v>1.5</v>
      </c>
      <c r="J27">
        <v>1.1299999999999999</v>
      </c>
      <c r="K27">
        <v>13</v>
      </c>
      <c r="L27">
        <v>1</v>
      </c>
      <c r="M27">
        <v>1.05</v>
      </c>
      <c r="N27">
        <v>18</v>
      </c>
      <c r="O27">
        <v>1.53125</v>
      </c>
      <c r="P27">
        <v>1.29</v>
      </c>
    </row>
    <row r="28" spans="1:16">
      <c r="A28">
        <v>23</v>
      </c>
      <c r="B28">
        <v>30</v>
      </c>
      <c r="C28">
        <v>1.5833299999999999</v>
      </c>
      <c r="D28">
        <v>0.28999999999999998</v>
      </c>
      <c r="E28">
        <v>8</v>
      </c>
      <c r="F28">
        <v>1.5357099999999999</v>
      </c>
      <c r="G28">
        <v>0.62</v>
      </c>
      <c r="H28">
        <v>7</v>
      </c>
      <c r="I28">
        <v>1.5</v>
      </c>
      <c r="J28">
        <v>0.75</v>
      </c>
      <c r="K28">
        <v>15</v>
      </c>
      <c r="L28">
        <v>1.2941199999999999</v>
      </c>
      <c r="M28">
        <v>0.87</v>
      </c>
      <c r="N28">
        <v>27</v>
      </c>
      <c r="O28">
        <v>1.5</v>
      </c>
      <c r="P28">
        <v>1.18</v>
      </c>
    </row>
    <row r="29" spans="1:16">
      <c r="A29">
        <v>24</v>
      </c>
      <c r="B29">
        <v>30</v>
      </c>
      <c r="C29">
        <v>1.5833299999999999</v>
      </c>
      <c r="D29">
        <v>0.48</v>
      </c>
      <c r="E29">
        <v>7</v>
      </c>
      <c r="F29">
        <v>1.59259</v>
      </c>
      <c r="G29">
        <v>0.5</v>
      </c>
      <c r="H29">
        <v>8</v>
      </c>
      <c r="I29">
        <v>1.02857</v>
      </c>
      <c r="J29">
        <v>0.68</v>
      </c>
      <c r="K29">
        <v>14</v>
      </c>
      <c r="L29">
        <v>1.48387</v>
      </c>
      <c r="M29">
        <v>2.65</v>
      </c>
      <c r="N29">
        <v>7</v>
      </c>
      <c r="O29">
        <v>1.5</v>
      </c>
      <c r="P29">
        <v>1.19</v>
      </c>
    </row>
    <row r="30" spans="1:16">
      <c r="A30">
        <v>25</v>
      </c>
      <c r="B30">
        <v>29</v>
      </c>
      <c r="C30">
        <v>1.7058800000000001</v>
      </c>
      <c r="D30">
        <v>0.35</v>
      </c>
      <c r="E30">
        <v>8</v>
      </c>
      <c r="F30">
        <v>1.7307699999999999</v>
      </c>
      <c r="G30">
        <v>0.51</v>
      </c>
      <c r="H30">
        <v>8</v>
      </c>
      <c r="I30">
        <v>1.02857</v>
      </c>
      <c r="J30">
        <v>0.79</v>
      </c>
      <c r="K30">
        <v>9</v>
      </c>
      <c r="L30">
        <v>1.5714300000000001</v>
      </c>
      <c r="M30">
        <v>0.71</v>
      </c>
      <c r="N30">
        <v>26</v>
      </c>
      <c r="O30">
        <v>1.61765</v>
      </c>
      <c r="P30">
        <v>1.02</v>
      </c>
    </row>
    <row r="31" spans="1:16">
      <c r="A31">
        <v>26</v>
      </c>
      <c r="B31">
        <v>28</v>
      </c>
      <c r="C31">
        <v>1.6764699999999999</v>
      </c>
      <c r="D31">
        <v>2.58</v>
      </c>
      <c r="E31">
        <v>7</v>
      </c>
      <c r="F31">
        <v>1.8</v>
      </c>
      <c r="G31">
        <v>0.57999999999999996</v>
      </c>
      <c r="H31">
        <v>7</v>
      </c>
      <c r="I31">
        <v>1.5</v>
      </c>
      <c r="J31">
        <v>0.77</v>
      </c>
      <c r="K31">
        <v>12</v>
      </c>
      <c r="L31">
        <v>1.4193499999999999</v>
      </c>
      <c r="M31">
        <v>0.71</v>
      </c>
      <c r="N31">
        <v>18</v>
      </c>
      <c r="O31">
        <v>1.53125</v>
      </c>
      <c r="P31">
        <v>1.46</v>
      </c>
    </row>
    <row r="32" spans="1:16">
      <c r="A32">
        <v>27</v>
      </c>
      <c r="B32">
        <v>28</v>
      </c>
      <c r="C32">
        <v>1.6764699999999999</v>
      </c>
      <c r="D32">
        <v>6.57</v>
      </c>
      <c r="E32">
        <v>7</v>
      </c>
      <c r="F32">
        <v>1.8</v>
      </c>
      <c r="G32">
        <v>0.72</v>
      </c>
      <c r="H32">
        <v>7</v>
      </c>
      <c r="I32">
        <v>1.5</v>
      </c>
      <c r="J32">
        <v>0.95</v>
      </c>
      <c r="K32">
        <v>12</v>
      </c>
      <c r="L32">
        <v>1.4193499999999999</v>
      </c>
      <c r="M32">
        <v>0.91</v>
      </c>
      <c r="N32">
        <v>18</v>
      </c>
      <c r="O32">
        <v>1.53125</v>
      </c>
      <c r="P32">
        <v>1.45</v>
      </c>
    </row>
    <row r="33" spans="1:16">
      <c r="A33">
        <v>28</v>
      </c>
      <c r="B33">
        <v>30</v>
      </c>
      <c r="C33">
        <v>1.06667</v>
      </c>
      <c r="D33">
        <v>0.26</v>
      </c>
      <c r="E33">
        <v>10</v>
      </c>
      <c r="F33">
        <v>1.43333</v>
      </c>
      <c r="G33">
        <v>0.61</v>
      </c>
      <c r="H33">
        <v>8</v>
      </c>
      <c r="I33">
        <v>1.3666700000000001</v>
      </c>
      <c r="J33">
        <v>2.68</v>
      </c>
      <c r="K33">
        <v>14</v>
      </c>
      <c r="L33">
        <v>1.3333299999999999</v>
      </c>
      <c r="M33">
        <v>1.92</v>
      </c>
      <c r="N33">
        <v>26</v>
      </c>
      <c r="O33">
        <v>1.0227299999999999</v>
      </c>
      <c r="P33">
        <v>0.94</v>
      </c>
    </row>
    <row r="34" spans="1:16">
      <c r="A34">
        <v>29</v>
      </c>
      <c r="B34">
        <v>33</v>
      </c>
      <c r="C34">
        <v>1.0869599999999999</v>
      </c>
      <c r="D34">
        <v>0.15</v>
      </c>
      <c r="E34">
        <v>10</v>
      </c>
      <c r="F34">
        <v>1.60714</v>
      </c>
      <c r="G34">
        <v>0.27</v>
      </c>
      <c r="H34">
        <v>8</v>
      </c>
      <c r="I34">
        <v>1.02857</v>
      </c>
      <c r="J34">
        <v>0.42</v>
      </c>
      <c r="K34">
        <v>13</v>
      </c>
      <c r="L34">
        <v>1.4516100000000001</v>
      </c>
      <c r="M34">
        <v>0.39</v>
      </c>
      <c r="N34">
        <v>21</v>
      </c>
      <c r="O34">
        <v>1.4705900000000001</v>
      </c>
      <c r="P34">
        <v>1.64</v>
      </c>
    </row>
    <row r="35" spans="1:16">
      <c r="A35">
        <v>30</v>
      </c>
      <c r="B35">
        <v>30</v>
      </c>
      <c r="C35">
        <v>1.5833299999999999</v>
      </c>
      <c r="D35">
        <v>0.27</v>
      </c>
      <c r="E35">
        <v>7</v>
      </c>
      <c r="F35">
        <v>1.8</v>
      </c>
      <c r="G35">
        <v>0.44</v>
      </c>
      <c r="H35">
        <v>7</v>
      </c>
      <c r="I35">
        <v>1.5</v>
      </c>
      <c r="J35">
        <v>0.7</v>
      </c>
      <c r="K35">
        <v>11</v>
      </c>
      <c r="L35">
        <v>1.4666699999999999</v>
      </c>
      <c r="M35">
        <v>0.66</v>
      </c>
      <c r="N35">
        <v>18</v>
      </c>
      <c r="O35">
        <v>1.53125</v>
      </c>
      <c r="P35">
        <v>1.24</v>
      </c>
    </row>
    <row r="36" spans="1:16">
      <c r="A36">
        <v>31</v>
      </c>
      <c r="B36">
        <v>29</v>
      </c>
      <c r="C36">
        <v>1.6285700000000001</v>
      </c>
      <c r="D36">
        <v>0.24</v>
      </c>
      <c r="E36">
        <v>9</v>
      </c>
      <c r="F36">
        <v>1.6666700000000001</v>
      </c>
      <c r="G36">
        <v>0.42</v>
      </c>
      <c r="H36">
        <v>8</v>
      </c>
      <c r="I36">
        <v>1.02857</v>
      </c>
      <c r="J36">
        <v>0.71</v>
      </c>
      <c r="K36">
        <v>11</v>
      </c>
      <c r="L36">
        <v>1.55172</v>
      </c>
      <c r="M36">
        <v>0.81</v>
      </c>
      <c r="N36">
        <v>26</v>
      </c>
      <c r="O36">
        <v>1.5428599999999999</v>
      </c>
      <c r="P36">
        <v>1.04</v>
      </c>
    </row>
    <row r="38" spans="1:16">
      <c r="C38" t="s">
        <v>5</v>
      </c>
      <c r="F38" t="s">
        <v>6</v>
      </c>
      <c r="I38" t="s">
        <v>24</v>
      </c>
      <c r="L38" t="s">
        <v>7</v>
      </c>
      <c r="O38" t="s">
        <v>7</v>
      </c>
    </row>
    <row r="39" spans="1:16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10</v>
      </c>
      <c r="K39" t="s">
        <v>8</v>
      </c>
      <c r="L39" t="s">
        <v>9</v>
      </c>
      <c r="M39" t="s">
        <v>11</v>
      </c>
      <c r="N39" t="s">
        <v>8</v>
      </c>
      <c r="O39" t="s">
        <v>9</v>
      </c>
      <c r="P39" t="s">
        <v>11</v>
      </c>
    </row>
    <row r="40" spans="1:16">
      <c r="A40" t="s">
        <v>16</v>
      </c>
      <c r="B40" s="1">
        <f>MAX(B5:B36)</f>
        <v>33</v>
      </c>
      <c r="C40" s="1">
        <f t="shared" ref="C40:J40" si="0">MAX(C5:C36)</f>
        <v>1.7575799999999999</v>
      </c>
      <c r="D40" s="1">
        <f t="shared" si="0"/>
        <v>10.42</v>
      </c>
      <c r="E40" s="1">
        <f t="shared" si="0"/>
        <v>12</v>
      </c>
      <c r="F40" s="1">
        <f t="shared" si="0"/>
        <v>1.8</v>
      </c>
      <c r="G40" s="1">
        <f t="shared" si="0"/>
        <v>15.72</v>
      </c>
      <c r="H40" s="1">
        <f t="shared" si="0"/>
        <v>10</v>
      </c>
      <c r="I40" s="1">
        <f t="shared" si="0"/>
        <v>1.8</v>
      </c>
      <c r="J40" s="1">
        <f t="shared" si="0"/>
        <v>16.04</v>
      </c>
      <c r="K40" s="1">
        <f t="shared" ref="K40:P40" si="1">MAX(K5:K36)</f>
        <v>16</v>
      </c>
      <c r="L40" s="1">
        <f t="shared" si="1"/>
        <v>1.5714300000000001</v>
      </c>
      <c r="M40" s="1">
        <f t="shared" si="1"/>
        <v>9.74</v>
      </c>
      <c r="N40" s="1">
        <f t="shared" si="1"/>
        <v>27</v>
      </c>
      <c r="O40" s="1">
        <f t="shared" si="1"/>
        <v>1.61765</v>
      </c>
      <c r="P40" s="1">
        <f t="shared" si="1"/>
        <v>12.36</v>
      </c>
    </row>
    <row r="41" spans="1:16">
      <c r="A41" t="s">
        <v>17</v>
      </c>
      <c r="B41" s="1">
        <f>MIN(B5:B36)</f>
        <v>14</v>
      </c>
      <c r="C41" s="1">
        <f t="shared" ref="C41:J41" si="2">MIN(C5:C36)</f>
        <v>1</v>
      </c>
      <c r="D41" s="1">
        <f t="shared" si="2"/>
        <v>0.15</v>
      </c>
      <c r="E41" s="1">
        <f t="shared" si="2"/>
        <v>7</v>
      </c>
      <c r="F41" s="1">
        <f t="shared" si="2"/>
        <v>1.08571</v>
      </c>
      <c r="G41" s="1">
        <f t="shared" si="2"/>
        <v>0.27</v>
      </c>
      <c r="H41" s="1">
        <f t="shared" si="2"/>
        <v>7</v>
      </c>
      <c r="I41" s="1">
        <f t="shared" si="2"/>
        <v>1.02857</v>
      </c>
      <c r="J41" s="1">
        <f t="shared" si="2"/>
        <v>0.42</v>
      </c>
      <c r="K41" s="1">
        <f t="shared" ref="K41:P41" si="3">MIN(K5:K36)</f>
        <v>9</v>
      </c>
      <c r="L41" s="1">
        <f t="shared" si="3"/>
        <v>1</v>
      </c>
      <c r="M41" s="1">
        <f t="shared" si="3"/>
        <v>0.39</v>
      </c>
      <c r="N41" s="1">
        <f t="shared" si="3"/>
        <v>7</v>
      </c>
      <c r="O41" s="1">
        <f t="shared" si="3"/>
        <v>1.0227299999999999</v>
      </c>
      <c r="P41" s="1">
        <f t="shared" si="3"/>
        <v>0.92</v>
      </c>
    </row>
    <row r="42" spans="1:16">
      <c r="A42" t="s">
        <v>18</v>
      </c>
      <c r="B42" s="1">
        <f>MEDIAN(B5:B36)</f>
        <v>29</v>
      </c>
      <c r="C42" s="1">
        <f t="shared" ref="C42:J42" si="4">MEDIAN(C5:C36)</f>
        <v>1.579545</v>
      </c>
      <c r="D42" s="1">
        <f t="shared" si="4"/>
        <v>0.65</v>
      </c>
      <c r="E42" s="1">
        <f t="shared" si="4"/>
        <v>8</v>
      </c>
      <c r="F42" s="1">
        <f t="shared" si="4"/>
        <v>1.7307699999999999</v>
      </c>
      <c r="G42" s="1">
        <f t="shared" si="4"/>
        <v>1.18</v>
      </c>
      <c r="H42" s="1">
        <f t="shared" si="4"/>
        <v>8</v>
      </c>
      <c r="I42" s="1">
        <f t="shared" si="4"/>
        <v>1.5</v>
      </c>
      <c r="J42" s="1">
        <f t="shared" si="4"/>
        <v>1.9550000000000001</v>
      </c>
      <c r="K42" s="1">
        <f t="shared" ref="K42:P42" si="5">MEDIAN(K5:K36)</f>
        <v>13</v>
      </c>
      <c r="L42" s="1">
        <f t="shared" si="5"/>
        <v>1.4193499999999999</v>
      </c>
      <c r="M42" s="1">
        <f t="shared" si="5"/>
        <v>1.8599999999999999</v>
      </c>
      <c r="N42" s="1">
        <f t="shared" si="5"/>
        <v>18</v>
      </c>
      <c r="O42" s="1">
        <f t="shared" si="5"/>
        <v>1.515625</v>
      </c>
      <c r="P42" s="1">
        <f t="shared" si="5"/>
        <v>2.25</v>
      </c>
    </row>
    <row r="43" spans="1:16">
      <c r="A43" t="s">
        <v>19</v>
      </c>
      <c r="B43" s="1">
        <f>AVERAGE(B5:B36)</f>
        <v>27.9375</v>
      </c>
      <c r="C43" s="1">
        <f t="shared" ref="C43:J43" si="6">AVERAGE(C5:C36)</f>
        <v>1.4065896874999999</v>
      </c>
      <c r="D43" s="1">
        <f t="shared" si="6"/>
        <v>1.7118749999999998</v>
      </c>
      <c r="E43" s="1">
        <f t="shared" si="6"/>
        <v>8.1875</v>
      </c>
      <c r="F43" s="1">
        <f t="shared" si="6"/>
        <v>1.6768018749999998</v>
      </c>
      <c r="G43" s="1">
        <f t="shared" si="6"/>
        <v>2.0490624999999998</v>
      </c>
      <c r="H43" s="1">
        <f t="shared" si="6"/>
        <v>7.75</v>
      </c>
      <c r="I43" s="1">
        <f t="shared" si="6"/>
        <v>1.4141556250000002</v>
      </c>
      <c r="J43" s="1">
        <f t="shared" si="6"/>
        <v>2.8434375000000003</v>
      </c>
      <c r="K43" s="1">
        <f t="shared" ref="K43:P43" si="7">AVERAGE(K5:K36)</f>
        <v>13.15625</v>
      </c>
      <c r="L43" s="1">
        <f t="shared" si="7"/>
        <v>1.4063575000000001</v>
      </c>
      <c r="M43" s="1">
        <f t="shared" si="7"/>
        <v>2.5543749999999998</v>
      </c>
      <c r="N43" s="1">
        <f t="shared" si="7"/>
        <v>19.75</v>
      </c>
      <c r="O43" s="1">
        <f t="shared" si="7"/>
        <v>1.4432184375000001</v>
      </c>
      <c r="P43" s="1">
        <f t="shared" si="7"/>
        <v>3.2453125000000007</v>
      </c>
    </row>
    <row r="44" spans="1:16">
      <c r="A44" t="s">
        <v>20</v>
      </c>
      <c r="B44" s="1">
        <f>STDEV(B5:B36)</f>
        <v>4.2345544763178129</v>
      </c>
      <c r="C44" s="1">
        <f t="shared" ref="C44:J44" si="8">STDEV(C5:C36)</f>
        <v>0.29020651165950168</v>
      </c>
      <c r="D44" s="1">
        <f t="shared" si="8"/>
        <v>2.3265597438998817</v>
      </c>
      <c r="E44" s="1">
        <f t="shared" si="8"/>
        <v>1.3304740847993173</v>
      </c>
      <c r="F44" s="1">
        <f t="shared" si="8"/>
        <v>0.1581340563682212</v>
      </c>
      <c r="G44" s="1">
        <f t="shared" si="8"/>
        <v>2.8898993836430789</v>
      </c>
      <c r="H44" s="1">
        <f t="shared" si="8"/>
        <v>0.76200076200114297</v>
      </c>
      <c r="I44" s="1">
        <f t="shared" si="8"/>
        <v>0.24566118999663689</v>
      </c>
      <c r="J44" s="1">
        <f t="shared" si="8"/>
        <v>3.5518887382449025</v>
      </c>
      <c r="K44" s="1">
        <f t="shared" ref="K44:P44" si="9">STDEV(K5:K36)</f>
        <v>1.9528205407861032</v>
      </c>
      <c r="L44" s="1">
        <f t="shared" si="9"/>
        <v>0.13757793378487745</v>
      </c>
      <c r="M44" s="1">
        <f t="shared" si="9"/>
        <v>2.3313127099582553</v>
      </c>
      <c r="N44" s="1">
        <f t="shared" si="9"/>
        <v>4.8460159892164958</v>
      </c>
      <c r="O44" s="1">
        <f t="shared" si="9"/>
        <v>0.14935710648901104</v>
      </c>
      <c r="P44" s="1">
        <f t="shared" si="9"/>
        <v>2.8556937853992226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44"/>
  <sheetViews>
    <sheetView workbookViewId="0">
      <selection activeCell="A38" sqref="A38:P44"/>
    </sheetView>
  </sheetViews>
  <sheetFormatPr baseColWidth="10" defaultRowHeight="16"/>
  <sheetData>
    <row r="1" spans="1:16">
      <c r="A1" t="s">
        <v>0</v>
      </c>
      <c r="B1" t="s">
        <v>15</v>
      </c>
      <c r="C1" t="s">
        <v>2</v>
      </c>
      <c r="D1">
        <v>588</v>
      </c>
    </row>
    <row r="2" spans="1:16">
      <c r="A2" t="s">
        <v>3</v>
      </c>
      <c r="B2" t="s">
        <v>4</v>
      </c>
    </row>
    <row r="3" spans="1:16">
      <c r="C3" t="s">
        <v>5</v>
      </c>
      <c r="F3" t="s">
        <v>6</v>
      </c>
      <c r="I3" t="s">
        <v>24</v>
      </c>
      <c r="L3" t="s">
        <v>7</v>
      </c>
      <c r="O3" t="s">
        <v>25</v>
      </c>
    </row>
    <row r="4" spans="1:16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10</v>
      </c>
      <c r="K4" t="s">
        <v>8</v>
      </c>
      <c r="L4" t="s">
        <v>9</v>
      </c>
      <c r="M4" t="s">
        <v>11</v>
      </c>
      <c r="N4" t="s">
        <v>8</v>
      </c>
      <c r="O4" t="s">
        <v>9</v>
      </c>
      <c r="P4" t="s">
        <v>11</v>
      </c>
    </row>
    <row r="5" spans="1:16">
      <c r="A5">
        <v>0</v>
      </c>
      <c r="B5">
        <v>70</v>
      </c>
      <c r="C5">
        <v>1.0498400000000001</v>
      </c>
      <c r="D5">
        <v>5.0999999999999996</v>
      </c>
      <c r="E5">
        <v>21</v>
      </c>
      <c r="F5">
        <v>1.75566</v>
      </c>
      <c r="G5">
        <v>7.36</v>
      </c>
      <c r="H5">
        <v>21</v>
      </c>
      <c r="I5">
        <v>1.63636</v>
      </c>
      <c r="J5">
        <v>13.64</v>
      </c>
      <c r="K5">
        <v>41</v>
      </c>
      <c r="L5">
        <v>1.56735</v>
      </c>
      <c r="M5">
        <v>8.89</v>
      </c>
      <c r="N5">
        <v>68</v>
      </c>
      <c r="O5">
        <v>1.0061199999999999</v>
      </c>
      <c r="P5">
        <v>16.45</v>
      </c>
    </row>
    <row r="6" spans="1:16">
      <c r="A6">
        <v>1</v>
      </c>
      <c r="B6">
        <v>128</v>
      </c>
      <c r="C6">
        <v>1.1963200000000001</v>
      </c>
      <c r="D6">
        <v>5.22</v>
      </c>
      <c r="E6">
        <v>22</v>
      </c>
      <c r="F6">
        <v>1.93269</v>
      </c>
      <c r="G6">
        <v>5.93</v>
      </c>
      <c r="H6">
        <v>22</v>
      </c>
      <c r="I6">
        <v>1.2344299999999999</v>
      </c>
      <c r="J6">
        <v>32.409999999999997</v>
      </c>
      <c r="K6">
        <v>52</v>
      </c>
      <c r="L6">
        <v>1.4710399999999999</v>
      </c>
      <c r="M6">
        <v>6.41</v>
      </c>
      <c r="N6">
        <v>29</v>
      </c>
      <c r="O6">
        <v>1.5601700000000001</v>
      </c>
      <c r="P6">
        <v>11.98</v>
      </c>
    </row>
    <row r="7" spans="1:16">
      <c r="A7">
        <v>2</v>
      </c>
      <c r="B7">
        <v>102</v>
      </c>
      <c r="C7">
        <v>1.3</v>
      </c>
      <c r="D7">
        <v>2.0099999999999998</v>
      </c>
      <c r="E7">
        <v>30</v>
      </c>
      <c r="F7">
        <v>1.0396000000000001</v>
      </c>
      <c r="G7">
        <v>9.39</v>
      </c>
      <c r="H7">
        <v>28</v>
      </c>
      <c r="I7">
        <v>1.76233</v>
      </c>
      <c r="J7">
        <v>9.6300000000000008</v>
      </c>
      <c r="K7">
        <v>62</v>
      </c>
      <c r="L7">
        <v>1.04403</v>
      </c>
      <c r="M7">
        <v>7.34</v>
      </c>
      <c r="N7">
        <v>76</v>
      </c>
      <c r="O7">
        <v>1.1914199999999999</v>
      </c>
      <c r="P7">
        <v>13.32</v>
      </c>
    </row>
    <row r="8" spans="1:16">
      <c r="A8">
        <v>3</v>
      </c>
      <c r="B8">
        <v>88</v>
      </c>
      <c r="C8">
        <v>1.08</v>
      </c>
      <c r="D8">
        <v>2.2599999999999998</v>
      </c>
      <c r="E8">
        <v>22</v>
      </c>
      <c r="F8">
        <v>1.86385</v>
      </c>
      <c r="G8">
        <v>4.09</v>
      </c>
      <c r="H8">
        <v>22</v>
      </c>
      <c r="I8">
        <v>1.3643400000000001</v>
      </c>
      <c r="J8">
        <v>10.63</v>
      </c>
      <c r="K8">
        <v>51</v>
      </c>
      <c r="L8">
        <v>1.4296599999999999</v>
      </c>
      <c r="M8">
        <v>7.61</v>
      </c>
      <c r="N8">
        <v>84</v>
      </c>
      <c r="O8">
        <v>1.0934600000000001</v>
      </c>
      <c r="P8">
        <v>10.86</v>
      </c>
    </row>
    <row r="9" spans="1:16">
      <c r="A9">
        <v>4</v>
      </c>
      <c r="B9">
        <v>72</v>
      </c>
      <c r="C9">
        <v>1.0754699999999999</v>
      </c>
      <c r="D9">
        <v>3.31</v>
      </c>
      <c r="E9">
        <v>21</v>
      </c>
      <c r="F9">
        <v>1.75566</v>
      </c>
      <c r="G9">
        <v>5.96</v>
      </c>
      <c r="H9">
        <v>21</v>
      </c>
      <c r="I9">
        <v>1.63636</v>
      </c>
      <c r="J9">
        <v>8.6</v>
      </c>
      <c r="K9">
        <v>42</v>
      </c>
      <c r="L9">
        <v>1.56098</v>
      </c>
      <c r="M9">
        <v>15.21</v>
      </c>
      <c r="N9">
        <v>68</v>
      </c>
      <c r="O9">
        <v>1.0061199999999999</v>
      </c>
      <c r="P9">
        <v>15.52</v>
      </c>
    </row>
    <row r="10" spans="1:16">
      <c r="A10">
        <v>5</v>
      </c>
      <c r="B10">
        <v>97</v>
      </c>
      <c r="C10">
        <v>1.0508999999999999</v>
      </c>
      <c r="D10">
        <v>5.0599999999999996</v>
      </c>
      <c r="E10">
        <v>31</v>
      </c>
      <c r="F10">
        <v>1.0633300000000001</v>
      </c>
      <c r="G10">
        <v>8.81</v>
      </c>
      <c r="H10">
        <v>23</v>
      </c>
      <c r="I10">
        <v>1.8156699999999999</v>
      </c>
      <c r="J10">
        <v>31.28</v>
      </c>
      <c r="K10">
        <v>63</v>
      </c>
      <c r="L10">
        <v>1.00926</v>
      </c>
      <c r="M10">
        <v>12.52</v>
      </c>
      <c r="N10">
        <v>75</v>
      </c>
      <c r="O10">
        <v>1.0337400000000001</v>
      </c>
      <c r="P10">
        <v>21.56</v>
      </c>
    </row>
    <row r="11" spans="1:16">
      <c r="A11">
        <v>6</v>
      </c>
      <c r="B11">
        <v>50</v>
      </c>
      <c r="C11">
        <v>1.0126200000000001</v>
      </c>
      <c r="D11">
        <v>3.93</v>
      </c>
      <c r="E11">
        <v>33</v>
      </c>
      <c r="F11">
        <v>1.8883700000000001</v>
      </c>
      <c r="G11">
        <v>14.28</v>
      </c>
      <c r="H11">
        <v>22</v>
      </c>
      <c r="I11">
        <v>1.62931</v>
      </c>
      <c r="J11">
        <v>7.67</v>
      </c>
      <c r="K11">
        <v>59</v>
      </c>
      <c r="L11">
        <v>1.46008</v>
      </c>
      <c r="M11">
        <v>6.48</v>
      </c>
      <c r="N11">
        <v>49</v>
      </c>
      <c r="O11">
        <v>1.3079700000000001</v>
      </c>
      <c r="P11">
        <v>10.69</v>
      </c>
    </row>
    <row r="12" spans="1:16">
      <c r="A12">
        <v>7</v>
      </c>
      <c r="B12">
        <v>124</v>
      </c>
      <c r="C12">
        <v>1.1381399999999999</v>
      </c>
      <c r="D12">
        <v>2.85</v>
      </c>
      <c r="E12">
        <v>31</v>
      </c>
      <c r="F12">
        <v>1.37165</v>
      </c>
      <c r="G12">
        <v>4.8</v>
      </c>
      <c r="H12">
        <v>22</v>
      </c>
      <c r="I12">
        <v>1.44</v>
      </c>
      <c r="J12">
        <v>7.75</v>
      </c>
      <c r="K12">
        <v>64</v>
      </c>
      <c r="L12">
        <v>1.1100300000000001</v>
      </c>
      <c r="M12">
        <v>7.6</v>
      </c>
      <c r="N12">
        <v>40</v>
      </c>
      <c r="O12">
        <v>1.0389600000000001</v>
      </c>
      <c r="P12">
        <v>12.69</v>
      </c>
    </row>
    <row r="13" spans="1:16">
      <c r="A13">
        <v>8</v>
      </c>
      <c r="B13">
        <v>72</v>
      </c>
      <c r="C13">
        <v>1.03077</v>
      </c>
      <c r="D13">
        <v>8.3699999999999992</v>
      </c>
      <c r="E13">
        <v>21</v>
      </c>
      <c r="F13">
        <v>1.75566</v>
      </c>
      <c r="G13">
        <v>11.77</v>
      </c>
      <c r="H13">
        <v>21</v>
      </c>
      <c r="I13">
        <v>1.63636</v>
      </c>
      <c r="J13">
        <v>9.48</v>
      </c>
      <c r="K13">
        <v>54</v>
      </c>
      <c r="L13">
        <v>1.18367</v>
      </c>
      <c r="M13">
        <v>13.29</v>
      </c>
      <c r="N13">
        <v>68</v>
      </c>
      <c r="O13">
        <v>1.0061199999999999</v>
      </c>
      <c r="P13">
        <v>19.75</v>
      </c>
    </row>
    <row r="14" spans="1:16">
      <c r="A14">
        <v>9</v>
      </c>
      <c r="B14">
        <v>70</v>
      </c>
      <c r="C14">
        <v>1.04348</v>
      </c>
      <c r="D14">
        <v>2.69</v>
      </c>
      <c r="E14">
        <v>22</v>
      </c>
      <c r="F14">
        <v>1.891</v>
      </c>
      <c r="G14">
        <v>7.11</v>
      </c>
      <c r="H14">
        <v>22</v>
      </c>
      <c r="I14">
        <v>1.86385</v>
      </c>
      <c r="J14">
        <v>7.64</v>
      </c>
      <c r="K14">
        <v>41</v>
      </c>
      <c r="L14">
        <v>1.7709299999999999</v>
      </c>
      <c r="M14">
        <v>9.4499999999999993</v>
      </c>
      <c r="N14">
        <v>68</v>
      </c>
      <c r="O14">
        <v>1.05</v>
      </c>
      <c r="P14">
        <v>16.86</v>
      </c>
    </row>
    <row r="15" spans="1:16">
      <c r="A15">
        <v>10</v>
      </c>
      <c r="B15">
        <v>95</v>
      </c>
      <c r="C15">
        <v>1.1277299999999999</v>
      </c>
      <c r="D15">
        <v>1.55</v>
      </c>
      <c r="E15">
        <v>28</v>
      </c>
      <c r="F15">
        <v>1.91943</v>
      </c>
      <c r="G15">
        <v>5.29</v>
      </c>
      <c r="H15">
        <v>22</v>
      </c>
      <c r="I15">
        <v>1.2761199999999999</v>
      </c>
      <c r="J15">
        <v>9.24</v>
      </c>
      <c r="K15">
        <v>60</v>
      </c>
      <c r="L15">
        <v>1.4269700000000001</v>
      </c>
      <c r="M15">
        <v>5.33</v>
      </c>
      <c r="N15">
        <v>91</v>
      </c>
      <c r="O15">
        <v>1.1152599999999999</v>
      </c>
      <c r="P15">
        <v>17.48</v>
      </c>
    </row>
    <row r="16" spans="1:16">
      <c r="A16">
        <v>11</v>
      </c>
      <c r="B16">
        <v>66</v>
      </c>
      <c r="C16">
        <v>1.05016</v>
      </c>
      <c r="D16">
        <v>2.82</v>
      </c>
      <c r="E16">
        <v>21</v>
      </c>
      <c r="F16">
        <v>1.75566</v>
      </c>
      <c r="G16">
        <v>2.5299999999999998</v>
      </c>
      <c r="H16">
        <v>21</v>
      </c>
      <c r="I16">
        <v>1.63636</v>
      </c>
      <c r="J16">
        <v>4.8899999999999997</v>
      </c>
      <c r="K16">
        <v>50</v>
      </c>
      <c r="L16">
        <v>1.4351100000000001</v>
      </c>
      <c r="M16">
        <v>4.6399999999999997</v>
      </c>
      <c r="N16">
        <v>68</v>
      </c>
      <c r="O16">
        <v>1.0061199999999999</v>
      </c>
      <c r="P16">
        <v>9.7100000000000009</v>
      </c>
    </row>
    <row r="17" spans="1:16">
      <c r="A17">
        <v>12</v>
      </c>
      <c r="B17">
        <v>105</v>
      </c>
      <c r="C17">
        <v>1.1257699999999999</v>
      </c>
      <c r="D17">
        <v>1.36</v>
      </c>
      <c r="E17">
        <v>33</v>
      </c>
      <c r="F17">
        <v>1.2747299999999999</v>
      </c>
      <c r="G17">
        <v>2.5</v>
      </c>
      <c r="H17">
        <v>27</v>
      </c>
      <c r="I17">
        <v>1.9009400000000001</v>
      </c>
      <c r="J17">
        <v>10.94</v>
      </c>
      <c r="K17">
        <v>59</v>
      </c>
      <c r="L17">
        <v>1.0605100000000001</v>
      </c>
      <c r="M17">
        <v>5.0999999999999996</v>
      </c>
      <c r="N17">
        <v>28</v>
      </c>
      <c r="O17">
        <v>1.06711</v>
      </c>
      <c r="P17">
        <v>9.75</v>
      </c>
    </row>
    <row r="18" spans="1:16">
      <c r="A18">
        <v>13</v>
      </c>
      <c r="B18">
        <v>60</v>
      </c>
      <c r="C18">
        <v>1.04416</v>
      </c>
      <c r="D18">
        <v>1.46</v>
      </c>
      <c r="E18">
        <v>32</v>
      </c>
      <c r="F18">
        <v>1.52033</v>
      </c>
      <c r="G18">
        <v>6.95</v>
      </c>
      <c r="H18">
        <v>22</v>
      </c>
      <c r="I18">
        <v>1.22628</v>
      </c>
      <c r="J18">
        <v>9.81</v>
      </c>
      <c r="K18">
        <v>59</v>
      </c>
      <c r="L18">
        <v>1.2543599999999999</v>
      </c>
      <c r="M18">
        <v>6.78</v>
      </c>
      <c r="N18">
        <v>60</v>
      </c>
      <c r="O18">
        <v>1.04416</v>
      </c>
      <c r="P18">
        <v>16.43</v>
      </c>
    </row>
    <row r="19" spans="1:16">
      <c r="A19">
        <v>14</v>
      </c>
      <c r="B19">
        <v>84</v>
      </c>
      <c r="C19">
        <v>1.2325600000000001</v>
      </c>
      <c r="D19">
        <v>6.13</v>
      </c>
      <c r="E19">
        <v>22</v>
      </c>
      <c r="F19">
        <v>1.86385</v>
      </c>
      <c r="G19">
        <v>8.42</v>
      </c>
      <c r="H19">
        <v>22</v>
      </c>
      <c r="I19">
        <v>1.1554800000000001</v>
      </c>
      <c r="J19">
        <v>26.14</v>
      </c>
      <c r="K19">
        <v>59</v>
      </c>
      <c r="L19">
        <v>1.4052</v>
      </c>
      <c r="M19">
        <v>22.4</v>
      </c>
      <c r="N19">
        <v>80</v>
      </c>
      <c r="O19">
        <v>1.24916</v>
      </c>
      <c r="P19">
        <v>8.59</v>
      </c>
    </row>
    <row r="20" spans="1:16">
      <c r="A20">
        <v>15</v>
      </c>
      <c r="B20">
        <v>105</v>
      </c>
      <c r="C20">
        <v>1.26471</v>
      </c>
      <c r="D20">
        <v>1.37</v>
      </c>
      <c r="E20">
        <v>25</v>
      </c>
      <c r="F20">
        <v>1.86449</v>
      </c>
      <c r="G20">
        <v>2.5499999999999998</v>
      </c>
      <c r="H20">
        <v>22</v>
      </c>
      <c r="I20">
        <v>1.0132000000000001</v>
      </c>
      <c r="J20">
        <v>5.16</v>
      </c>
      <c r="K20">
        <v>44</v>
      </c>
      <c r="L20">
        <v>1.4980199999999999</v>
      </c>
      <c r="M20">
        <v>4.16</v>
      </c>
      <c r="N20">
        <v>34</v>
      </c>
      <c r="O20">
        <v>1.4780899999999999</v>
      </c>
      <c r="P20">
        <v>7.25</v>
      </c>
    </row>
    <row r="21" spans="1:16">
      <c r="A21">
        <v>16</v>
      </c>
      <c r="B21">
        <v>128</v>
      </c>
      <c r="C21">
        <v>1.1963200000000001</v>
      </c>
      <c r="D21">
        <v>1.44</v>
      </c>
      <c r="E21">
        <v>23</v>
      </c>
      <c r="F21">
        <v>1.9375</v>
      </c>
      <c r="G21">
        <v>2.15</v>
      </c>
      <c r="H21">
        <v>22</v>
      </c>
      <c r="I21">
        <v>1.07483</v>
      </c>
      <c r="J21">
        <v>3.96</v>
      </c>
      <c r="K21">
        <v>50</v>
      </c>
      <c r="L21">
        <v>1.4921899999999999</v>
      </c>
      <c r="M21">
        <v>5.49</v>
      </c>
      <c r="N21">
        <v>32</v>
      </c>
      <c r="O21">
        <v>1.53061</v>
      </c>
      <c r="P21">
        <v>11.78</v>
      </c>
    </row>
    <row r="22" spans="1:16">
      <c r="A22">
        <v>17</v>
      </c>
      <c r="B22">
        <v>50</v>
      </c>
      <c r="C22">
        <v>1.0126200000000001</v>
      </c>
      <c r="D22">
        <v>5.72</v>
      </c>
      <c r="E22">
        <v>26</v>
      </c>
      <c r="F22">
        <v>1.85581</v>
      </c>
      <c r="G22">
        <v>2.15</v>
      </c>
      <c r="H22">
        <v>22</v>
      </c>
      <c r="I22">
        <v>1.0198700000000001</v>
      </c>
      <c r="J22">
        <v>3.67</v>
      </c>
      <c r="K22">
        <v>62</v>
      </c>
      <c r="L22">
        <v>1.4714799999999999</v>
      </c>
      <c r="M22">
        <v>4.66</v>
      </c>
      <c r="N22">
        <v>50</v>
      </c>
      <c r="O22">
        <v>1.0126200000000001</v>
      </c>
      <c r="P22">
        <v>16</v>
      </c>
    </row>
    <row r="23" spans="1:16">
      <c r="A23">
        <v>18</v>
      </c>
      <c r="B23">
        <v>71</v>
      </c>
      <c r="C23">
        <v>1.11897</v>
      </c>
      <c r="D23">
        <v>3.85</v>
      </c>
      <c r="E23">
        <v>22</v>
      </c>
      <c r="F23">
        <v>1.5206599999999999</v>
      </c>
      <c r="G23">
        <v>5.7</v>
      </c>
      <c r="H23">
        <v>22</v>
      </c>
      <c r="I23">
        <v>1.5206599999999999</v>
      </c>
      <c r="J23">
        <v>17.95</v>
      </c>
      <c r="K23">
        <v>60</v>
      </c>
      <c r="L23">
        <v>1.36496</v>
      </c>
      <c r="M23">
        <v>15.44</v>
      </c>
      <c r="N23">
        <v>68</v>
      </c>
      <c r="O23">
        <v>1.0061199999999999</v>
      </c>
      <c r="P23">
        <v>70.44</v>
      </c>
    </row>
    <row r="24" spans="1:16">
      <c r="A24">
        <v>19</v>
      </c>
      <c r="B24">
        <v>106</v>
      </c>
      <c r="C24">
        <v>1.02332</v>
      </c>
      <c r="D24">
        <v>6.12</v>
      </c>
      <c r="E24">
        <v>23</v>
      </c>
      <c r="F24">
        <v>1.9375</v>
      </c>
      <c r="G24">
        <v>18.41</v>
      </c>
      <c r="H24">
        <v>22</v>
      </c>
      <c r="I24">
        <v>1.00658</v>
      </c>
      <c r="J24">
        <v>15.86</v>
      </c>
      <c r="K24">
        <v>50</v>
      </c>
      <c r="L24">
        <v>1.46332</v>
      </c>
      <c r="M24">
        <v>12.03</v>
      </c>
      <c r="N24">
        <v>31</v>
      </c>
      <c r="O24">
        <v>1.5265299999999999</v>
      </c>
      <c r="P24">
        <v>6.11</v>
      </c>
    </row>
    <row r="25" spans="1:16">
      <c r="A25">
        <v>20</v>
      </c>
      <c r="B25">
        <v>85</v>
      </c>
      <c r="C25">
        <v>1.0644199999999999</v>
      </c>
      <c r="D25">
        <v>14.62</v>
      </c>
      <c r="E25">
        <v>22</v>
      </c>
      <c r="F25">
        <v>1.90476</v>
      </c>
      <c r="G25">
        <v>3.48</v>
      </c>
      <c r="H25">
        <v>22</v>
      </c>
      <c r="I25">
        <v>1.0198700000000001</v>
      </c>
      <c r="J25">
        <v>3.54</v>
      </c>
      <c r="K25">
        <v>40</v>
      </c>
      <c r="L25">
        <v>1.512</v>
      </c>
      <c r="M25">
        <v>10.74</v>
      </c>
      <c r="N25">
        <v>81</v>
      </c>
      <c r="O25">
        <v>1.0776399999999999</v>
      </c>
      <c r="P25">
        <v>43.97</v>
      </c>
    </row>
    <row r="26" spans="1:16">
      <c r="A26">
        <v>21</v>
      </c>
      <c r="B26">
        <v>87</v>
      </c>
      <c r="C26">
        <v>1.0833299999999999</v>
      </c>
      <c r="D26">
        <v>1.9</v>
      </c>
      <c r="E26">
        <v>32</v>
      </c>
      <c r="F26">
        <v>1.08754</v>
      </c>
      <c r="G26">
        <v>4.82</v>
      </c>
      <c r="H26">
        <v>32</v>
      </c>
      <c r="I26">
        <v>1.08754</v>
      </c>
      <c r="J26">
        <v>7.15</v>
      </c>
      <c r="K26">
        <v>60</v>
      </c>
      <c r="L26">
        <v>1.03135</v>
      </c>
      <c r="M26">
        <v>12.29</v>
      </c>
      <c r="N26">
        <v>75</v>
      </c>
      <c r="O26">
        <v>1.04</v>
      </c>
      <c r="P26">
        <v>10.09</v>
      </c>
    </row>
    <row r="27" spans="1:16">
      <c r="A27">
        <v>22</v>
      </c>
      <c r="B27">
        <v>84</v>
      </c>
      <c r="C27">
        <v>1.1265799999999999</v>
      </c>
      <c r="D27">
        <v>28.27</v>
      </c>
      <c r="E27">
        <v>22</v>
      </c>
      <c r="F27">
        <v>1.67544</v>
      </c>
      <c r="G27">
        <v>12.54</v>
      </c>
      <c r="H27">
        <v>22</v>
      </c>
      <c r="I27">
        <v>1.67544</v>
      </c>
      <c r="J27">
        <v>3.34</v>
      </c>
      <c r="K27">
        <v>51</v>
      </c>
      <c r="L27">
        <v>1.43893</v>
      </c>
      <c r="M27">
        <v>3.09</v>
      </c>
      <c r="N27">
        <v>82</v>
      </c>
      <c r="O27">
        <v>1.12025</v>
      </c>
      <c r="P27">
        <v>11.66</v>
      </c>
    </row>
    <row r="28" spans="1:16">
      <c r="A28">
        <v>23</v>
      </c>
      <c r="B28">
        <v>71</v>
      </c>
      <c r="C28">
        <v>1.07233</v>
      </c>
      <c r="D28">
        <v>1.05</v>
      </c>
      <c r="E28">
        <v>21</v>
      </c>
      <c r="F28">
        <v>1.75566</v>
      </c>
      <c r="G28">
        <v>1.9</v>
      </c>
      <c r="H28">
        <v>21</v>
      </c>
      <c r="I28">
        <v>1.63636</v>
      </c>
      <c r="J28">
        <v>3.28</v>
      </c>
      <c r="K28">
        <v>41</v>
      </c>
      <c r="L28">
        <v>1.56735</v>
      </c>
      <c r="M28">
        <v>3.79</v>
      </c>
      <c r="N28">
        <v>68</v>
      </c>
      <c r="O28">
        <v>1.0061199999999999</v>
      </c>
      <c r="P28">
        <v>5.61</v>
      </c>
    </row>
    <row r="29" spans="1:16">
      <c r="A29">
        <v>24</v>
      </c>
      <c r="B29">
        <v>102</v>
      </c>
      <c r="C29">
        <v>1.3</v>
      </c>
      <c r="D29">
        <v>1.05</v>
      </c>
      <c r="E29">
        <v>26</v>
      </c>
      <c r="F29">
        <v>1.5907199999999999</v>
      </c>
      <c r="G29">
        <v>14.3</v>
      </c>
      <c r="H29">
        <v>26</v>
      </c>
      <c r="I29">
        <v>1.49593</v>
      </c>
      <c r="J29">
        <v>3.37</v>
      </c>
      <c r="K29">
        <v>50</v>
      </c>
      <c r="L29">
        <v>1.32</v>
      </c>
      <c r="M29">
        <v>3.03</v>
      </c>
      <c r="N29">
        <v>33</v>
      </c>
      <c r="O29">
        <v>1.2258100000000001</v>
      </c>
      <c r="P29">
        <v>11.06</v>
      </c>
    </row>
    <row r="30" spans="1:16">
      <c r="A30">
        <v>25</v>
      </c>
      <c r="B30">
        <v>68</v>
      </c>
      <c r="C30">
        <v>1.0628899999999999</v>
      </c>
      <c r="D30">
        <v>1.1299999999999999</v>
      </c>
      <c r="E30">
        <v>21</v>
      </c>
      <c r="F30">
        <v>1.75566</v>
      </c>
      <c r="G30">
        <v>2.09</v>
      </c>
      <c r="H30">
        <v>21</v>
      </c>
      <c r="I30">
        <v>1.63636</v>
      </c>
      <c r="J30">
        <v>12.12</v>
      </c>
      <c r="K30">
        <v>45</v>
      </c>
      <c r="L30">
        <v>1.5219100000000001</v>
      </c>
      <c r="M30">
        <v>24.25</v>
      </c>
      <c r="N30">
        <v>68</v>
      </c>
      <c r="O30">
        <v>1.0061199999999999</v>
      </c>
      <c r="P30">
        <v>12.67</v>
      </c>
    </row>
    <row r="31" spans="1:16">
      <c r="A31">
        <v>26</v>
      </c>
      <c r="B31">
        <v>102</v>
      </c>
      <c r="C31">
        <v>1.3</v>
      </c>
      <c r="D31">
        <v>20.38</v>
      </c>
      <c r="E31">
        <v>22</v>
      </c>
      <c r="F31">
        <v>1.891</v>
      </c>
      <c r="G31">
        <v>3.81</v>
      </c>
      <c r="H31">
        <v>22</v>
      </c>
      <c r="I31">
        <v>1.1478900000000001</v>
      </c>
      <c r="J31">
        <v>3.79</v>
      </c>
      <c r="K31">
        <v>55</v>
      </c>
      <c r="L31">
        <v>1.42642</v>
      </c>
      <c r="M31">
        <v>11.31</v>
      </c>
      <c r="N31">
        <v>22</v>
      </c>
      <c r="O31">
        <v>1.5738399999999999</v>
      </c>
      <c r="P31">
        <v>31</v>
      </c>
    </row>
    <row r="32" spans="1:16">
      <c r="A32">
        <v>27</v>
      </c>
      <c r="B32">
        <v>87</v>
      </c>
      <c r="C32">
        <v>1.0833299999999999</v>
      </c>
      <c r="D32">
        <v>3.12</v>
      </c>
      <c r="E32">
        <v>32</v>
      </c>
      <c r="F32">
        <v>1.0327900000000001</v>
      </c>
      <c r="G32">
        <v>14.58</v>
      </c>
      <c r="H32">
        <v>25</v>
      </c>
      <c r="I32">
        <v>1.74888</v>
      </c>
      <c r="J32">
        <v>15.65</v>
      </c>
      <c r="K32">
        <v>59</v>
      </c>
      <c r="L32">
        <v>1.0155799999999999</v>
      </c>
      <c r="M32">
        <v>5.88</v>
      </c>
      <c r="N32">
        <v>75</v>
      </c>
      <c r="O32">
        <v>1.04</v>
      </c>
      <c r="P32">
        <v>12.37</v>
      </c>
    </row>
    <row r="33" spans="1:16">
      <c r="A33">
        <v>28</v>
      </c>
      <c r="B33">
        <v>71</v>
      </c>
      <c r="C33">
        <v>1.07233</v>
      </c>
      <c r="D33">
        <v>10.72</v>
      </c>
      <c r="E33">
        <v>21</v>
      </c>
      <c r="F33">
        <v>1.75566</v>
      </c>
      <c r="G33">
        <v>3.47</v>
      </c>
      <c r="H33">
        <v>24</v>
      </c>
      <c r="I33">
        <v>1.15493</v>
      </c>
      <c r="J33">
        <v>5.74</v>
      </c>
      <c r="K33">
        <v>39</v>
      </c>
      <c r="L33">
        <v>1.6234299999999999</v>
      </c>
      <c r="M33">
        <v>6.24</v>
      </c>
      <c r="N33">
        <v>68</v>
      </c>
      <c r="O33">
        <v>1.0061199999999999</v>
      </c>
      <c r="P33">
        <v>18.760000000000002</v>
      </c>
    </row>
    <row r="34" spans="1:16">
      <c r="A34">
        <v>29</v>
      </c>
      <c r="B34">
        <v>66</v>
      </c>
      <c r="C34">
        <v>1.13029</v>
      </c>
      <c r="D34">
        <v>1.85</v>
      </c>
      <c r="E34">
        <v>22</v>
      </c>
      <c r="F34">
        <v>1.5206599999999999</v>
      </c>
      <c r="G34">
        <v>7.92</v>
      </c>
      <c r="H34">
        <v>22</v>
      </c>
      <c r="I34">
        <v>1.5206599999999999</v>
      </c>
      <c r="J34">
        <v>20.58</v>
      </c>
      <c r="K34">
        <v>49</v>
      </c>
      <c r="L34">
        <v>1.28315</v>
      </c>
      <c r="M34">
        <v>13.36</v>
      </c>
      <c r="N34">
        <v>68</v>
      </c>
      <c r="O34">
        <v>1.0061199999999999</v>
      </c>
      <c r="P34">
        <v>71.95</v>
      </c>
    </row>
    <row r="35" spans="1:16">
      <c r="A35">
        <v>30</v>
      </c>
      <c r="B35">
        <v>95</v>
      </c>
      <c r="C35">
        <v>1.1277299999999999</v>
      </c>
      <c r="D35">
        <v>1</v>
      </c>
      <c r="E35">
        <v>28</v>
      </c>
      <c r="F35">
        <v>1.91943</v>
      </c>
      <c r="G35">
        <v>4.4800000000000004</v>
      </c>
      <c r="H35">
        <v>22</v>
      </c>
      <c r="I35">
        <v>1.2761199999999999</v>
      </c>
      <c r="J35">
        <v>13.82</v>
      </c>
      <c r="K35">
        <v>60</v>
      </c>
      <c r="L35">
        <v>1.4269700000000001</v>
      </c>
      <c r="M35">
        <v>2.96</v>
      </c>
      <c r="N35">
        <v>91</v>
      </c>
      <c r="O35">
        <v>1.1152599999999999</v>
      </c>
      <c r="P35">
        <v>12.79</v>
      </c>
    </row>
    <row r="36" spans="1:16">
      <c r="A36">
        <v>31</v>
      </c>
      <c r="B36">
        <v>97</v>
      </c>
      <c r="C36">
        <v>1.14734</v>
      </c>
      <c r="D36">
        <v>1.21</v>
      </c>
      <c r="E36">
        <v>29</v>
      </c>
      <c r="F36">
        <v>1.9241699999999999</v>
      </c>
      <c r="G36">
        <v>2.4300000000000002</v>
      </c>
      <c r="H36">
        <v>21</v>
      </c>
      <c r="I36">
        <v>1.88626</v>
      </c>
      <c r="J36">
        <v>3.89</v>
      </c>
      <c r="K36">
        <v>60</v>
      </c>
      <c r="L36">
        <v>1.50193</v>
      </c>
      <c r="M36">
        <v>5.37</v>
      </c>
      <c r="N36">
        <v>93</v>
      </c>
      <c r="O36">
        <v>1.1618999999999999</v>
      </c>
      <c r="P36">
        <v>7.82</v>
      </c>
    </row>
    <row r="38" spans="1:16">
      <c r="C38" t="s">
        <v>5</v>
      </c>
      <c r="F38" t="s">
        <v>6</v>
      </c>
      <c r="I38" t="s">
        <v>24</v>
      </c>
      <c r="L38" t="s">
        <v>7</v>
      </c>
      <c r="O38" t="s">
        <v>7</v>
      </c>
    </row>
    <row r="39" spans="1:16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10</v>
      </c>
      <c r="K39" t="s">
        <v>8</v>
      </c>
      <c r="L39" t="s">
        <v>9</v>
      </c>
      <c r="M39" t="s">
        <v>11</v>
      </c>
      <c r="N39" t="s">
        <v>8</v>
      </c>
      <c r="O39" t="s">
        <v>9</v>
      </c>
      <c r="P39" t="s">
        <v>11</v>
      </c>
    </row>
    <row r="40" spans="1:16">
      <c r="A40" t="s">
        <v>16</v>
      </c>
      <c r="B40" s="1">
        <f>MAX(B5:B36)</f>
        <v>128</v>
      </c>
      <c r="C40" s="1">
        <f t="shared" ref="C40:P40" si="0">MAX(C5:C36)</f>
        <v>1.3</v>
      </c>
      <c r="D40" s="1">
        <f t="shared" si="0"/>
        <v>28.27</v>
      </c>
      <c r="E40" s="1">
        <f t="shared" si="0"/>
        <v>33</v>
      </c>
      <c r="F40" s="1">
        <f t="shared" si="0"/>
        <v>1.9375</v>
      </c>
      <c r="G40" s="1">
        <f t="shared" si="0"/>
        <v>18.41</v>
      </c>
      <c r="H40" s="1">
        <f t="shared" si="0"/>
        <v>32</v>
      </c>
      <c r="I40" s="1">
        <f t="shared" si="0"/>
        <v>1.9009400000000001</v>
      </c>
      <c r="J40" s="1">
        <f t="shared" si="0"/>
        <v>32.409999999999997</v>
      </c>
      <c r="K40" s="1">
        <f t="shared" si="0"/>
        <v>64</v>
      </c>
      <c r="L40" s="1">
        <f t="shared" si="0"/>
        <v>1.7709299999999999</v>
      </c>
      <c r="M40" s="1">
        <f t="shared" si="0"/>
        <v>24.25</v>
      </c>
      <c r="N40" s="1">
        <f t="shared" si="0"/>
        <v>93</v>
      </c>
      <c r="O40" s="1">
        <f t="shared" si="0"/>
        <v>1.5738399999999999</v>
      </c>
      <c r="P40" s="1">
        <f t="shared" si="0"/>
        <v>71.95</v>
      </c>
    </row>
    <row r="41" spans="1:16">
      <c r="A41" t="s">
        <v>17</v>
      </c>
      <c r="B41" s="1">
        <f>MIN(B5:B36)</f>
        <v>50</v>
      </c>
      <c r="C41" s="1">
        <f t="shared" ref="C41:P41" si="1">MIN(C5:C36)</f>
        <v>1.0126200000000001</v>
      </c>
      <c r="D41" s="1">
        <f t="shared" si="1"/>
        <v>1</v>
      </c>
      <c r="E41" s="1">
        <f t="shared" si="1"/>
        <v>21</v>
      </c>
      <c r="F41" s="1">
        <f t="shared" si="1"/>
        <v>1.0327900000000001</v>
      </c>
      <c r="G41" s="1">
        <f t="shared" si="1"/>
        <v>1.9</v>
      </c>
      <c r="H41" s="1">
        <f t="shared" si="1"/>
        <v>21</v>
      </c>
      <c r="I41" s="1">
        <f t="shared" si="1"/>
        <v>1.00658</v>
      </c>
      <c r="J41" s="1">
        <f t="shared" si="1"/>
        <v>3.28</v>
      </c>
      <c r="K41" s="1">
        <f t="shared" si="1"/>
        <v>39</v>
      </c>
      <c r="L41" s="1">
        <f t="shared" si="1"/>
        <v>1.00926</v>
      </c>
      <c r="M41" s="1">
        <f t="shared" si="1"/>
        <v>2.96</v>
      </c>
      <c r="N41" s="1">
        <f t="shared" si="1"/>
        <v>22</v>
      </c>
      <c r="O41" s="1">
        <f t="shared" si="1"/>
        <v>1.0061199999999999</v>
      </c>
      <c r="P41" s="1">
        <f t="shared" si="1"/>
        <v>5.61</v>
      </c>
    </row>
    <row r="42" spans="1:16">
      <c r="A42" t="s">
        <v>18</v>
      </c>
      <c r="B42" s="1">
        <f>MEDIAN(B5:B36)</f>
        <v>86</v>
      </c>
      <c r="C42" s="1">
        <f t="shared" ref="C42:P42" si="2">MEDIAN(C5:C36)</f>
        <v>1.0833299999999999</v>
      </c>
      <c r="D42" s="1">
        <f t="shared" si="2"/>
        <v>2.835</v>
      </c>
      <c r="E42" s="1">
        <f t="shared" si="2"/>
        <v>22.5</v>
      </c>
      <c r="F42" s="1">
        <f t="shared" si="2"/>
        <v>1.75566</v>
      </c>
      <c r="G42" s="1">
        <f t="shared" si="2"/>
        <v>5.4950000000000001</v>
      </c>
      <c r="H42" s="1">
        <f t="shared" si="2"/>
        <v>22</v>
      </c>
      <c r="I42" s="1">
        <f t="shared" si="2"/>
        <v>1.5082949999999999</v>
      </c>
      <c r="J42" s="1">
        <f t="shared" si="2"/>
        <v>8.92</v>
      </c>
      <c r="K42" s="1">
        <f t="shared" si="2"/>
        <v>53</v>
      </c>
      <c r="L42" s="1">
        <f t="shared" si="2"/>
        <v>1.432385</v>
      </c>
      <c r="M42" s="1">
        <f t="shared" si="2"/>
        <v>7.0600000000000005</v>
      </c>
      <c r="N42" s="1">
        <f t="shared" si="2"/>
        <v>68</v>
      </c>
      <c r="O42" s="1">
        <f t="shared" si="2"/>
        <v>1.0585550000000001</v>
      </c>
      <c r="P42" s="1">
        <f t="shared" si="2"/>
        <v>12.68</v>
      </c>
    </row>
    <row r="43" spans="1:16">
      <c r="A43" t="s">
        <v>19</v>
      </c>
      <c r="B43" s="1">
        <f>AVERAGE(B5:B36)</f>
        <v>86.1875</v>
      </c>
      <c r="C43" s="1">
        <f t="shared" ref="C43:P43" si="3">AVERAGE(C5:C36)</f>
        <v>1.1170134375000003</v>
      </c>
      <c r="D43" s="1">
        <f t="shared" si="3"/>
        <v>4.9662499999999996</v>
      </c>
      <c r="E43" s="1">
        <f t="shared" si="3"/>
        <v>25.21875</v>
      </c>
      <c r="F43" s="1">
        <f t="shared" si="3"/>
        <v>1.6744037499999995</v>
      </c>
      <c r="G43" s="1">
        <f t="shared" si="3"/>
        <v>6.6240625000000009</v>
      </c>
      <c r="H43" s="1">
        <f t="shared" si="3"/>
        <v>22.75</v>
      </c>
      <c r="I43" s="1">
        <f t="shared" si="3"/>
        <v>1.4417365625</v>
      </c>
      <c r="J43" s="1">
        <f t="shared" si="3"/>
        <v>10.706874999999997</v>
      </c>
      <c r="K43" s="1">
        <f t="shared" si="3"/>
        <v>52.84375</v>
      </c>
      <c r="L43" s="1">
        <f t="shared" si="3"/>
        <v>1.3796303124999998</v>
      </c>
      <c r="M43" s="1">
        <f t="shared" si="3"/>
        <v>8.8481249999999996</v>
      </c>
      <c r="N43" s="1">
        <f t="shared" si="3"/>
        <v>62.21875</v>
      </c>
      <c r="O43" s="1">
        <f t="shared" si="3"/>
        <v>1.1471575000000001</v>
      </c>
      <c r="P43" s="1">
        <f t="shared" si="3"/>
        <v>17.905312500000004</v>
      </c>
    </row>
    <row r="44" spans="1:16">
      <c r="A44" t="s">
        <v>20</v>
      </c>
      <c r="B44" s="1">
        <f>STDEV(B5:B36)</f>
        <v>20.674805456041451</v>
      </c>
      <c r="C44" s="1">
        <f t="shared" ref="C44:P44" si="4">STDEV(C5:C36)</f>
        <v>8.5623715120451457E-2</v>
      </c>
      <c r="D44" s="1">
        <f t="shared" si="4"/>
        <v>6.0036589649764371</v>
      </c>
      <c r="E44" s="1">
        <f t="shared" si="4"/>
        <v>4.4267105314253676</v>
      </c>
      <c r="F44" s="1">
        <f t="shared" si="4"/>
        <v>0.29122668232008198</v>
      </c>
      <c r="G44" s="1">
        <f t="shared" si="4"/>
        <v>4.3965175803898937</v>
      </c>
      <c r="H44" s="1">
        <f t="shared" si="4"/>
        <v>2.4096579867074968</v>
      </c>
      <c r="I44" s="1">
        <f t="shared" si="4"/>
        <v>0.29214865716164268</v>
      </c>
      <c r="J44" s="1">
        <f t="shared" si="4"/>
        <v>7.8227820467921116</v>
      </c>
      <c r="K44" s="1">
        <f t="shared" si="4"/>
        <v>7.9030797386106837</v>
      </c>
      <c r="L44" s="1">
        <f t="shared" si="4"/>
        <v>0.1957076534261685</v>
      </c>
      <c r="M44" s="1">
        <f t="shared" si="4"/>
        <v>5.2714614717729917</v>
      </c>
      <c r="N44" s="1">
        <f t="shared" si="4"/>
        <v>20.795058927698463</v>
      </c>
      <c r="O44" s="1">
        <f t="shared" si="4"/>
        <v>0.18659354746303136</v>
      </c>
      <c r="P44" s="1">
        <f t="shared" si="4"/>
        <v>15.804904911261946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44"/>
  <sheetViews>
    <sheetView topLeftCell="A33" workbookViewId="0">
      <selection activeCell="E50" sqref="E50"/>
    </sheetView>
  </sheetViews>
  <sheetFormatPr baseColWidth="10" defaultRowHeight="16"/>
  <sheetData>
    <row r="1" spans="1:16">
      <c r="A1" t="s">
        <v>0</v>
      </c>
      <c r="B1" t="s">
        <v>14</v>
      </c>
      <c r="C1" t="s">
        <v>2</v>
      </c>
      <c r="D1">
        <v>5963</v>
      </c>
    </row>
    <row r="2" spans="1:16">
      <c r="A2" t="s">
        <v>3</v>
      </c>
      <c r="B2" t="s">
        <v>4</v>
      </c>
    </row>
    <row r="3" spans="1:16">
      <c r="C3" t="s">
        <v>5</v>
      </c>
      <c r="F3" t="s">
        <v>6</v>
      </c>
      <c r="I3" t="s">
        <v>24</v>
      </c>
      <c r="L3" t="s">
        <v>7</v>
      </c>
      <c r="O3" t="s">
        <v>25</v>
      </c>
    </row>
    <row r="4" spans="1:16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10</v>
      </c>
      <c r="K4" t="s">
        <v>8</v>
      </c>
      <c r="L4" t="s">
        <v>9</v>
      </c>
      <c r="M4" t="s">
        <v>11</v>
      </c>
      <c r="N4" t="s">
        <v>8</v>
      </c>
      <c r="O4" t="s">
        <v>9</v>
      </c>
      <c r="P4" t="s">
        <v>11</v>
      </c>
    </row>
    <row r="5" spans="1:16">
      <c r="A5">
        <v>0</v>
      </c>
      <c r="B5">
        <v>236</v>
      </c>
      <c r="C5">
        <v>1.00356</v>
      </c>
      <c r="D5">
        <v>33.229999999999997</v>
      </c>
      <c r="E5">
        <v>74</v>
      </c>
      <c r="F5">
        <v>1.4051800000000001</v>
      </c>
      <c r="G5">
        <v>30.99</v>
      </c>
      <c r="H5">
        <v>74</v>
      </c>
      <c r="I5">
        <v>1.3390200000000001</v>
      </c>
      <c r="J5">
        <v>39.1</v>
      </c>
      <c r="K5">
        <v>131</v>
      </c>
      <c r="L5">
        <v>1.35562</v>
      </c>
      <c r="M5">
        <v>42.93</v>
      </c>
      <c r="N5">
        <v>233</v>
      </c>
      <c r="O5">
        <v>1.0045299999999999</v>
      </c>
      <c r="P5">
        <v>55.94</v>
      </c>
    </row>
    <row r="6" spans="1:16">
      <c r="A6">
        <v>1</v>
      </c>
      <c r="B6">
        <v>216</v>
      </c>
      <c r="C6">
        <v>1.03793</v>
      </c>
      <c r="D6">
        <v>27.67</v>
      </c>
      <c r="E6">
        <v>67</v>
      </c>
      <c r="F6">
        <v>1.68597</v>
      </c>
      <c r="G6">
        <v>52</v>
      </c>
      <c r="H6">
        <v>67</v>
      </c>
      <c r="I6">
        <v>1.64706</v>
      </c>
      <c r="J6">
        <v>67.400000000000006</v>
      </c>
      <c r="K6">
        <v>160</v>
      </c>
      <c r="L6">
        <v>1.3613599999999999</v>
      </c>
      <c r="M6">
        <v>38.590000000000003</v>
      </c>
      <c r="N6">
        <v>218</v>
      </c>
      <c r="O6">
        <v>1.0521199999999999</v>
      </c>
      <c r="P6">
        <v>103.04</v>
      </c>
    </row>
    <row r="7" spans="1:16">
      <c r="A7">
        <v>2</v>
      </c>
      <c r="B7">
        <v>306</v>
      </c>
      <c r="C7">
        <v>1.05003</v>
      </c>
      <c r="D7">
        <v>37.5</v>
      </c>
      <c r="E7">
        <v>69</v>
      </c>
      <c r="F7">
        <v>1.97143</v>
      </c>
      <c r="G7">
        <v>35.4</v>
      </c>
      <c r="H7">
        <v>68</v>
      </c>
      <c r="I7">
        <v>1.6709499999999999</v>
      </c>
      <c r="J7">
        <v>48.42</v>
      </c>
      <c r="K7">
        <v>155</v>
      </c>
      <c r="L7">
        <v>1.3907799999999999</v>
      </c>
      <c r="M7">
        <v>57.99</v>
      </c>
      <c r="N7">
        <v>302</v>
      </c>
      <c r="O7">
        <v>1.0487200000000001</v>
      </c>
      <c r="P7">
        <v>179.58</v>
      </c>
    </row>
    <row r="8" spans="1:16">
      <c r="A8">
        <v>3</v>
      </c>
      <c r="B8">
        <v>254</v>
      </c>
      <c r="C8">
        <v>1.0244200000000001</v>
      </c>
      <c r="D8">
        <v>58</v>
      </c>
      <c r="E8">
        <v>68</v>
      </c>
      <c r="F8">
        <v>1.9709399999999999</v>
      </c>
      <c r="G8">
        <v>85.59</v>
      </c>
      <c r="H8">
        <v>68</v>
      </c>
      <c r="I8">
        <v>1.96218</v>
      </c>
      <c r="J8">
        <v>49.88</v>
      </c>
      <c r="K8">
        <v>170</v>
      </c>
      <c r="L8">
        <v>1.4260299999999999</v>
      </c>
      <c r="M8">
        <v>83.05</v>
      </c>
      <c r="N8">
        <v>250</v>
      </c>
      <c r="O8">
        <v>1.02312</v>
      </c>
      <c r="P8">
        <v>84.53</v>
      </c>
    </row>
    <row r="9" spans="1:16">
      <c r="A9">
        <v>4</v>
      </c>
      <c r="B9">
        <v>276</v>
      </c>
      <c r="C9">
        <v>1.0263100000000001</v>
      </c>
      <c r="D9">
        <v>20.27</v>
      </c>
      <c r="E9">
        <v>97</v>
      </c>
      <c r="F9">
        <v>1.97496</v>
      </c>
      <c r="G9">
        <v>35.33</v>
      </c>
      <c r="H9">
        <v>97</v>
      </c>
      <c r="I9">
        <v>1.9332</v>
      </c>
      <c r="J9">
        <v>35.06</v>
      </c>
      <c r="K9">
        <v>206</v>
      </c>
      <c r="L9">
        <v>1.41543</v>
      </c>
      <c r="M9">
        <v>38.35</v>
      </c>
      <c r="N9">
        <v>246</v>
      </c>
      <c r="O9">
        <v>1.0016099999999999</v>
      </c>
      <c r="P9">
        <v>121.02</v>
      </c>
    </row>
    <row r="10" spans="1:16">
      <c r="A10">
        <v>5</v>
      </c>
      <c r="B10">
        <v>215</v>
      </c>
      <c r="C10">
        <v>1.06002</v>
      </c>
      <c r="D10">
        <v>21.5</v>
      </c>
      <c r="E10">
        <v>67</v>
      </c>
      <c r="F10">
        <v>1.68597</v>
      </c>
      <c r="G10">
        <v>26.72</v>
      </c>
      <c r="H10">
        <v>67</v>
      </c>
      <c r="I10">
        <v>1.64706</v>
      </c>
      <c r="J10">
        <v>35.32</v>
      </c>
      <c r="K10">
        <v>154</v>
      </c>
      <c r="L10">
        <v>1.4092199999999999</v>
      </c>
      <c r="M10">
        <v>71.97</v>
      </c>
      <c r="N10">
        <v>218</v>
      </c>
      <c r="O10">
        <v>1.0521199999999999</v>
      </c>
      <c r="P10">
        <v>78.08</v>
      </c>
    </row>
    <row r="11" spans="1:16">
      <c r="A11">
        <v>6</v>
      </c>
      <c r="B11">
        <v>284</v>
      </c>
      <c r="C11">
        <v>1.0761099999999999</v>
      </c>
      <c r="D11">
        <v>14.1</v>
      </c>
      <c r="E11">
        <v>75</v>
      </c>
      <c r="F11">
        <v>1.9802599999999999</v>
      </c>
      <c r="G11">
        <v>26.06</v>
      </c>
      <c r="H11">
        <v>75</v>
      </c>
      <c r="I11">
        <v>1.9802599999999999</v>
      </c>
      <c r="J11">
        <v>44.39</v>
      </c>
      <c r="K11">
        <v>179</v>
      </c>
      <c r="L11">
        <v>1.4010899999999999</v>
      </c>
      <c r="M11">
        <v>59.4</v>
      </c>
      <c r="N11">
        <v>280</v>
      </c>
      <c r="O11">
        <v>1.0747800000000001</v>
      </c>
      <c r="P11">
        <v>71.069999999999993</v>
      </c>
    </row>
    <row r="12" spans="1:16">
      <c r="A12">
        <v>7</v>
      </c>
      <c r="B12">
        <v>306</v>
      </c>
      <c r="C12">
        <v>1.05003</v>
      </c>
      <c r="D12">
        <v>13.41</v>
      </c>
      <c r="E12">
        <v>74</v>
      </c>
      <c r="F12">
        <v>1.96513</v>
      </c>
      <c r="G12">
        <v>39.92</v>
      </c>
      <c r="H12">
        <v>68</v>
      </c>
      <c r="I12">
        <v>1.0056499999999999</v>
      </c>
      <c r="J12">
        <v>36.32</v>
      </c>
      <c r="K12">
        <v>189</v>
      </c>
      <c r="L12">
        <v>1.4087700000000001</v>
      </c>
      <c r="M12">
        <v>107.87</v>
      </c>
      <c r="N12">
        <v>302</v>
      </c>
      <c r="O12">
        <v>1.0487200000000001</v>
      </c>
      <c r="P12">
        <v>59.44</v>
      </c>
    </row>
    <row r="13" spans="1:16">
      <c r="A13">
        <v>8</v>
      </c>
      <c r="B13">
        <v>305</v>
      </c>
      <c r="C13">
        <v>1.05643</v>
      </c>
      <c r="D13">
        <v>14.73</v>
      </c>
      <c r="E13">
        <v>85</v>
      </c>
      <c r="F13">
        <v>1.95746</v>
      </c>
      <c r="G13">
        <v>30.18</v>
      </c>
      <c r="H13">
        <v>85</v>
      </c>
      <c r="I13">
        <v>1.95746</v>
      </c>
      <c r="J13">
        <v>70.069999999999993</v>
      </c>
      <c r="K13">
        <v>202</v>
      </c>
      <c r="L13">
        <v>1.41292</v>
      </c>
      <c r="M13">
        <v>58.45</v>
      </c>
      <c r="N13">
        <v>254</v>
      </c>
      <c r="O13">
        <v>1.02905</v>
      </c>
      <c r="P13">
        <v>45.78</v>
      </c>
    </row>
    <row r="14" spans="1:16">
      <c r="A14">
        <v>9</v>
      </c>
      <c r="B14">
        <v>222</v>
      </c>
      <c r="C14">
        <v>1.0561799999999999</v>
      </c>
      <c r="D14">
        <v>8.9499999999999993</v>
      </c>
      <c r="E14">
        <v>67</v>
      </c>
      <c r="F14">
        <v>1.68597</v>
      </c>
      <c r="G14">
        <v>19.95</v>
      </c>
      <c r="H14">
        <v>67</v>
      </c>
      <c r="I14">
        <v>1.64706</v>
      </c>
      <c r="J14">
        <v>60.43</v>
      </c>
      <c r="K14">
        <v>166</v>
      </c>
      <c r="L14">
        <v>1.3015399999999999</v>
      </c>
      <c r="M14">
        <v>47.57</v>
      </c>
      <c r="N14">
        <v>218</v>
      </c>
      <c r="O14">
        <v>1.0521199999999999</v>
      </c>
      <c r="P14">
        <v>43.86</v>
      </c>
    </row>
    <row r="15" spans="1:16">
      <c r="A15">
        <v>10</v>
      </c>
      <c r="B15">
        <v>229</v>
      </c>
      <c r="C15">
        <v>1.0381800000000001</v>
      </c>
      <c r="D15">
        <v>9.06</v>
      </c>
      <c r="E15">
        <v>69</v>
      </c>
      <c r="F15">
        <v>1.9684999999999999</v>
      </c>
      <c r="G15">
        <v>18.97</v>
      </c>
      <c r="H15">
        <v>70</v>
      </c>
      <c r="I15">
        <v>1.90747</v>
      </c>
      <c r="J15">
        <v>22.56</v>
      </c>
      <c r="K15">
        <v>143</v>
      </c>
      <c r="L15">
        <v>1.6981900000000001</v>
      </c>
      <c r="M15">
        <v>43.25</v>
      </c>
      <c r="N15">
        <v>226</v>
      </c>
      <c r="O15">
        <v>1.0371999999999999</v>
      </c>
      <c r="P15">
        <v>80.900000000000006</v>
      </c>
    </row>
    <row r="16" spans="1:16">
      <c r="A16">
        <v>11</v>
      </c>
      <c r="B16">
        <v>236</v>
      </c>
      <c r="C16">
        <v>1.00356</v>
      </c>
      <c r="D16">
        <v>9.2100000000000009</v>
      </c>
      <c r="E16">
        <v>68</v>
      </c>
      <c r="F16">
        <v>1.60856</v>
      </c>
      <c r="G16">
        <v>19.07</v>
      </c>
      <c r="H16">
        <v>68</v>
      </c>
      <c r="I16">
        <v>1.60856</v>
      </c>
      <c r="J16">
        <v>23.03</v>
      </c>
      <c r="K16">
        <v>151</v>
      </c>
      <c r="L16">
        <v>1.6501999999999999</v>
      </c>
      <c r="M16">
        <v>24.6</v>
      </c>
      <c r="N16">
        <v>218</v>
      </c>
      <c r="O16">
        <v>1.0521199999999999</v>
      </c>
      <c r="P16">
        <v>84.63</v>
      </c>
    </row>
    <row r="17" spans="1:16">
      <c r="A17">
        <v>12</v>
      </c>
      <c r="B17">
        <v>238</v>
      </c>
      <c r="C17">
        <v>1.04182</v>
      </c>
      <c r="D17">
        <v>26.28</v>
      </c>
      <c r="E17">
        <v>67</v>
      </c>
      <c r="F17">
        <v>1.68597</v>
      </c>
      <c r="G17">
        <v>41.56</v>
      </c>
      <c r="H17">
        <v>67</v>
      </c>
      <c r="I17">
        <v>1.64706</v>
      </c>
      <c r="J17">
        <v>25.53</v>
      </c>
      <c r="K17">
        <v>152</v>
      </c>
      <c r="L17">
        <v>1.37845</v>
      </c>
      <c r="M17">
        <v>24.02</v>
      </c>
      <c r="N17">
        <v>218</v>
      </c>
      <c r="O17">
        <v>1.0521199999999999</v>
      </c>
      <c r="P17">
        <v>34.15</v>
      </c>
    </row>
    <row r="18" spans="1:16">
      <c r="A18">
        <v>13</v>
      </c>
      <c r="B18">
        <v>315</v>
      </c>
      <c r="C18">
        <v>1.0733200000000001</v>
      </c>
      <c r="D18">
        <v>8.5500000000000007</v>
      </c>
      <c r="E18">
        <v>85</v>
      </c>
      <c r="F18">
        <v>1.9734499999999999</v>
      </c>
      <c r="G18">
        <v>17.12</v>
      </c>
      <c r="H18">
        <v>68</v>
      </c>
      <c r="I18">
        <v>1.1198600000000001</v>
      </c>
      <c r="J18">
        <v>22.25</v>
      </c>
      <c r="K18">
        <v>197</v>
      </c>
      <c r="L18">
        <v>1.54125</v>
      </c>
      <c r="M18">
        <v>43.85</v>
      </c>
      <c r="N18">
        <v>141</v>
      </c>
      <c r="O18">
        <v>1.50987</v>
      </c>
      <c r="P18">
        <v>98.22</v>
      </c>
    </row>
    <row r="19" spans="1:16">
      <c r="A19">
        <v>14</v>
      </c>
      <c r="B19">
        <v>246</v>
      </c>
      <c r="C19">
        <v>1.0751999999999999</v>
      </c>
      <c r="D19">
        <v>10.68</v>
      </c>
      <c r="E19">
        <v>67</v>
      </c>
      <c r="F19">
        <v>1.68597</v>
      </c>
      <c r="G19">
        <v>19.350000000000001</v>
      </c>
      <c r="H19">
        <v>67</v>
      </c>
      <c r="I19">
        <v>1.64706</v>
      </c>
      <c r="J19">
        <v>23.57</v>
      </c>
      <c r="K19">
        <v>193</v>
      </c>
      <c r="L19">
        <v>1.1271599999999999</v>
      </c>
      <c r="M19">
        <v>24.28</v>
      </c>
      <c r="N19">
        <v>218</v>
      </c>
      <c r="O19">
        <v>1.0521199999999999</v>
      </c>
      <c r="P19">
        <v>60.86</v>
      </c>
    </row>
    <row r="20" spans="1:16">
      <c r="A20">
        <v>15</v>
      </c>
      <c r="B20">
        <v>228</v>
      </c>
      <c r="C20">
        <v>1.00162</v>
      </c>
      <c r="D20">
        <v>32.31</v>
      </c>
      <c r="E20">
        <v>68</v>
      </c>
      <c r="F20">
        <v>1.94482</v>
      </c>
      <c r="G20">
        <v>53.14</v>
      </c>
      <c r="H20">
        <v>68</v>
      </c>
      <c r="I20">
        <v>1.5329699999999999</v>
      </c>
      <c r="J20">
        <v>26.79</v>
      </c>
      <c r="K20">
        <v>150</v>
      </c>
      <c r="L20">
        <v>1.75857</v>
      </c>
      <c r="M20">
        <v>24.8</v>
      </c>
      <c r="N20">
        <v>226</v>
      </c>
      <c r="O20">
        <v>1.0022599999999999</v>
      </c>
      <c r="P20">
        <v>36.93</v>
      </c>
    </row>
    <row r="21" spans="1:16">
      <c r="A21">
        <v>16</v>
      </c>
      <c r="B21">
        <v>216</v>
      </c>
      <c r="C21">
        <v>1.0386</v>
      </c>
      <c r="D21">
        <v>8.18</v>
      </c>
      <c r="E21">
        <v>67</v>
      </c>
      <c r="F21">
        <v>1.68597</v>
      </c>
      <c r="G21">
        <v>18.29</v>
      </c>
      <c r="H21">
        <v>67</v>
      </c>
      <c r="I21">
        <v>1.64706</v>
      </c>
      <c r="J21">
        <v>35.909999999999997</v>
      </c>
      <c r="K21">
        <v>183</v>
      </c>
      <c r="L21">
        <v>1.1648499999999999</v>
      </c>
      <c r="M21">
        <v>45.42</v>
      </c>
      <c r="N21">
        <v>218</v>
      </c>
      <c r="O21">
        <v>1.0521199999999999</v>
      </c>
      <c r="P21">
        <v>51.74</v>
      </c>
    </row>
    <row r="22" spans="1:16">
      <c r="A22">
        <v>17</v>
      </c>
      <c r="B22">
        <v>220</v>
      </c>
      <c r="C22">
        <v>1.0706599999999999</v>
      </c>
      <c r="D22">
        <v>8.57</v>
      </c>
      <c r="E22">
        <v>67</v>
      </c>
      <c r="F22">
        <v>1.68597</v>
      </c>
      <c r="G22">
        <v>19.57</v>
      </c>
      <c r="H22">
        <v>65</v>
      </c>
      <c r="I22">
        <v>1.8966799999999999</v>
      </c>
      <c r="J22">
        <v>25.37</v>
      </c>
      <c r="K22">
        <v>144</v>
      </c>
      <c r="L22">
        <v>1.4714700000000001</v>
      </c>
      <c r="M22">
        <v>25.09</v>
      </c>
      <c r="N22">
        <v>218</v>
      </c>
      <c r="O22">
        <v>1.0521199999999999</v>
      </c>
      <c r="P22">
        <v>43.03</v>
      </c>
    </row>
    <row r="23" spans="1:16">
      <c r="A23">
        <v>18</v>
      </c>
      <c r="B23">
        <v>251</v>
      </c>
      <c r="C23">
        <v>1.05966</v>
      </c>
      <c r="D23">
        <v>21.47</v>
      </c>
      <c r="E23">
        <v>104</v>
      </c>
      <c r="F23">
        <v>1.2981100000000001</v>
      </c>
      <c r="G23">
        <v>53.01</v>
      </c>
      <c r="H23">
        <v>87</v>
      </c>
      <c r="I23">
        <v>1.9269499999999999</v>
      </c>
      <c r="J23">
        <v>52.01</v>
      </c>
      <c r="K23">
        <v>204</v>
      </c>
      <c r="L23">
        <v>1.0543</v>
      </c>
      <c r="M23">
        <v>33.56</v>
      </c>
      <c r="N23">
        <v>239</v>
      </c>
      <c r="O23">
        <v>1.0549999999999999</v>
      </c>
      <c r="P23">
        <v>42.31</v>
      </c>
    </row>
    <row r="24" spans="1:16">
      <c r="A24">
        <v>19</v>
      </c>
      <c r="B24">
        <v>349</v>
      </c>
      <c r="C24">
        <v>1.0057199999999999</v>
      </c>
      <c r="D24">
        <v>9.84</v>
      </c>
      <c r="E24">
        <v>96</v>
      </c>
      <c r="F24">
        <v>1.5641099999999999</v>
      </c>
      <c r="G24">
        <v>39.880000000000003</v>
      </c>
      <c r="H24">
        <v>96</v>
      </c>
      <c r="I24">
        <v>1.53833</v>
      </c>
      <c r="J24">
        <v>46.85</v>
      </c>
      <c r="K24">
        <v>207</v>
      </c>
      <c r="L24">
        <v>1.2218199999999999</v>
      </c>
      <c r="M24">
        <v>45.75</v>
      </c>
      <c r="N24">
        <v>113</v>
      </c>
      <c r="O24">
        <v>1.8221099999999999</v>
      </c>
      <c r="P24">
        <v>52.38</v>
      </c>
    </row>
    <row r="25" spans="1:16">
      <c r="A25">
        <v>20</v>
      </c>
      <c r="B25">
        <v>422</v>
      </c>
      <c r="C25">
        <v>1.1254999999999999</v>
      </c>
      <c r="D25">
        <v>10.14</v>
      </c>
      <c r="E25">
        <v>93</v>
      </c>
      <c r="F25">
        <v>1.9298500000000001</v>
      </c>
      <c r="G25">
        <v>35.54</v>
      </c>
      <c r="H25">
        <v>68</v>
      </c>
      <c r="I25">
        <v>1.0009999999999999</v>
      </c>
      <c r="J25">
        <v>53.55</v>
      </c>
      <c r="K25">
        <v>196</v>
      </c>
      <c r="L25">
        <v>1.5169600000000001</v>
      </c>
      <c r="M25">
        <v>44.58</v>
      </c>
      <c r="N25">
        <v>124</v>
      </c>
      <c r="O25">
        <v>1.45147</v>
      </c>
      <c r="P25">
        <v>37.29</v>
      </c>
    </row>
    <row r="26" spans="1:16">
      <c r="A26">
        <v>21</v>
      </c>
      <c r="B26">
        <v>364</v>
      </c>
      <c r="C26">
        <v>1.0999000000000001</v>
      </c>
      <c r="D26">
        <v>8.99</v>
      </c>
      <c r="E26">
        <v>78</v>
      </c>
      <c r="F26">
        <v>1.9729300000000001</v>
      </c>
      <c r="G26">
        <v>23.48</v>
      </c>
      <c r="H26">
        <v>68</v>
      </c>
      <c r="I26">
        <v>1.00299</v>
      </c>
      <c r="J26">
        <v>32.71</v>
      </c>
      <c r="K26">
        <v>188</v>
      </c>
      <c r="L26">
        <v>1.5682700000000001</v>
      </c>
      <c r="M26">
        <v>34.82</v>
      </c>
      <c r="N26">
        <v>124</v>
      </c>
      <c r="O26">
        <v>1.57161</v>
      </c>
      <c r="P26">
        <v>88.96</v>
      </c>
    </row>
    <row r="27" spans="1:16">
      <c r="A27">
        <v>22</v>
      </c>
      <c r="B27">
        <v>211</v>
      </c>
      <c r="C27">
        <v>1.0013000000000001</v>
      </c>
      <c r="D27">
        <v>33.35</v>
      </c>
      <c r="E27">
        <v>67</v>
      </c>
      <c r="F27">
        <v>1.68597</v>
      </c>
      <c r="G27">
        <v>57.21</v>
      </c>
      <c r="H27">
        <v>67</v>
      </c>
      <c r="I27">
        <v>1.64706</v>
      </c>
      <c r="J27">
        <v>36.32</v>
      </c>
      <c r="K27">
        <v>179</v>
      </c>
      <c r="L27">
        <v>1.23834</v>
      </c>
      <c r="M27">
        <v>24.3</v>
      </c>
      <c r="N27">
        <v>218</v>
      </c>
      <c r="O27">
        <v>1.0521199999999999</v>
      </c>
      <c r="P27">
        <v>32.270000000000003</v>
      </c>
    </row>
    <row r="28" spans="1:16">
      <c r="A28">
        <v>23</v>
      </c>
      <c r="B28">
        <v>346</v>
      </c>
      <c r="C28">
        <v>1.0543800000000001</v>
      </c>
      <c r="D28">
        <v>8.01</v>
      </c>
      <c r="E28">
        <v>88</v>
      </c>
      <c r="F28">
        <v>1.6493</v>
      </c>
      <c r="G28">
        <v>17.34</v>
      </c>
      <c r="H28">
        <v>68</v>
      </c>
      <c r="I28">
        <v>1.0157099999999999</v>
      </c>
      <c r="J28">
        <v>42.67</v>
      </c>
      <c r="K28">
        <v>190</v>
      </c>
      <c r="L28">
        <v>1.29247</v>
      </c>
      <c r="M28">
        <v>63.33</v>
      </c>
      <c r="N28">
        <v>118</v>
      </c>
      <c r="O28">
        <v>1.2664899999999999</v>
      </c>
      <c r="P28">
        <v>62.51</v>
      </c>
    </row>
    <row r="29" spans="1:16">
      <c r="A29">
        <v>24</v>
      </c>
      <c r="B29">
        <v>221</v>
      </c>
      <c r="C29">
        <v>1.06477</v>
      </c>
      <c r="D29">
        <v>8.89</v>
      </c>
      <c r="E29">
        <v>68</v>
      </c>
      <c r="F29">
        <v>1.60856</v>
      </c>
      <c r="G29">
        <v>18.010000000000002</v>
      </c>
      <c r="H29">
        <v>68</v>
      </c>
      <c r="I29">
        <v>1.60856</v>
      </c>
      <c r="J29">
        <v>43.34</v>
      </c>
      <c r="K29">
        <v>192</v>
      </c>
      <c r="L29">
        <v>1.03538</v>
      </c>
      <c r="M29">
        <v>56.8</v>
      </c>
      <c r="N29">
        <v>218</v>
      </c>
      <c r="O29">
        <v>1.0521199999999999</v>
      </c>
      <c r="P29">
        <v>58.55</v>
      </c>
    </row>
    <row r="30" spans="1:16">
      <c r="A30">
        <v>25</v>
      </c>
      <c r="B30">
        <v>270</v>
      </c>
      <c r="C30">
        <v>1.0389299999999999</v>
      </c>
      <c r="D30">
        <v>10.97</v>
      </c>
      <c r="E30">
        <v>67</v>
      </c>
      <c r="F30">
        <v>1.68597</v>
      </c>
      <c r="G30">
        <v>27.47</v>
      </c>
      <c r="H30">
        <v>67</v>
      </c>
      <c r="I30">
        <v>1.64706</v>
      </c>
      <c r="J30">
        <v>35.51</v>
      </c>
      <c r="K30">
        <v>175</v>
      </c>
      <c r="L30">
        <v>1.1727399999999999</v>
      </c>
      <c r="M30">
        <v>42.54</v>
      </c>
      <c r="N30">
        <v>218</v>
      </c>
      <c r="O30">
        <v>1.0521199999999999</v>
      </c>
      <c r="P30">
        <v>80.03</v>
      </c>
    </row>
    <row r="31" spans="1:16">
      <c r="A31">
        <v>26</v>
      </c>
      <c r="B31">
        <v>248</v>
      </c>
      <c r="C31">
        <v>1.07656</v>
      </c>
      <c r="D31">
        <v>17.440000000000001</v>
      </c>
      <c r="E31">
        <v>68</v>
      </c>
      <c r="F31">
        <v>1.6198999999999999</v>
      </c>
      <c r="G31">
        <v>29.44</v>
      </c>
      <c r="H31">
        <v>68</v>
      </c>
      <c r="I31">
        <v>1.5587599999999999</v>
      </c>
      <c r="J31">
        <v>22.22</v>
      </c>
      <c r="K31">
        <v>142</v>
      </c>
      <c r="L31">
        <v>1.5353000000000001</v>
      </c>
      <c r="M31">
        <v>33.82</v>
      </c>
      <c r="N31">
        <v>246</v>
      </c>
      <c r="O31">
        <v>1.07589</v>
      </c>
      <c r="P31">
        <v>46.82</v>
      </c>
    </row>
    <row r="32" spans="1:16">
      <c r="A32">
        <v>27</v>
      </c>
      <c r="B32">
        <v>390</v>
      </c>
      <c r="C32">
        <v>1.06803</v>
      </c>
      <c r="D32">
        <v>19.670000000000002</v>
      </c>
      <c r="E32">
        <v>79</v>
      </c>
      <c r="F32">
        <v>1.9778199999999999</v>
      </c>
      <c r="G32">
        <v>41.33</v>
      </c>
      <c r="H32">
        <v>68</v>
      </c>
      <c r="I32">
        <v>1.00499</v>
      </c>
      <c r="J32">
        <v>40.47</v>
      </c>
      <c r="K32">
        <v>192</v>
      </c>
      <c r="L32">
        <v>1.53084</v>
      </c>
      <c r="M32">
        <v>23.42</v>
      </c>
      <c r="N32">
        <v>103</v>
      </c>
      <c r="O32">
        <v>1.6034299999999999</v>
      </c>
      <c r="P32">
        <v>35.49</v>
      </c>
    </row>
    <row r="33" spans="1:16">
      <c r="A33">
        <v>28</v>
      </c>
      <c r="B33">
        <v>238</v>
      </c>
      <c r="C33">
        <v>1.04182</v>
      </c>
      <c r="D33">
        <v>8.4700000000000006</v>
      </c>
      <c r="E33">
        <v>67</v>
      </c>
      <c r="F33">
        <v>1.94146</v>
      </c>
      <c r="G33">
        <v>17.5</v>
      </c>
      <c r="H33">
        <v>68</v>
      </c>
      <c r="I33">
        <v>1.1764699999999999</v>
      </c>
      <c r="J33">
        <v>22.23</v>
      </c>
      <c r="K33">
        <v>136</v>
      </c>
      <c r="L33">
        <v>1.7572300000000001</v>
      </c>
      <c r="M33">
        <v>58.77</v>
      </c>
      <c r="N33">
        <v>236</v>
      </c>
      <c r="O33">
        <v>1.0425</v>
      </c>
      <c r="P33">
        <v>60.57</v>
      </c>
    </row>
    <row r="34" spans="1:16">
      <c r="A34">
        <v>29</v>
      </c>
      <c r="B34">
        <v>216</v>
      </c>
      <c r="C34">
        <v>1.0252399999999999</v>
      </c>
      <c r="D34">
        <v>8.18</v>
      </c>
      <c r="E34">
        <v>67</v>
      </c>
      <c r="F34">
        <v>1.68597</v>
      </c>
      <c r="G34">
        <v>23.74</v>
      </c>
      <c r="H34">
        <v>67</v>
      </c>
      <c r="I34">
        <v>1.64706</v>
      </c>
      <c r="J34">
        <v>21.66</v>
      </c>
      <c r="K34">
        <v>182</v>
      </c>
      <c r="L34">
        <v>1.1706099999999999</v>
      </c>
      <c r="M34">
        <v>26.78</v>
      </c>
      <c r="N34">
        <v>218</v>
      </c>
      <c r="O34">
        <v>1.0521199999999999</v>
      </c>
      <c r="P34">
        <v>76.150000000000006</v>
      </c>
    </row>
    <row r="35" spans="1:16">
      <c r="A35">
        <v>30</v>
      </c>
      <c r="B35">
        <v>238</v>
      </c>
      <c r="C35">
        <v>1.04182</v>
      </c>
      <c r="D35">
        <v>19.62</v>
      </c>
      <c r="E35">
        <v>76</v>
      </c>
      <c r="F35">
        <v>1.1219300000000001</v>
      </c>
      <c r="G35">
        <v>27.95</v>
      </c>
      <c r="H35">
        <v>76</v>
      </c>
      <c r="I35">
        <v>1.09979</v>
      </c>
      <c r="J35">
        <v>24.48</v>
      </c>
      <c r="K35">
        <v>136</v>
      </c>
      <c r="L35">
        <v>1.07026</v>
      </c>
      <c r="M35">
        <v>24.83</v>
      </c>
      <c r="N35">
        <v>236</v>
      </c>
      <c r="O35">
        <v>1.0425</v>
      </c>
      <c r="P35">
        <v>33.32</v>
      </c>
    </row>
    <row r="36" spans="1:16">
      <c r="A36">
        <v>31</v>
      </c>
      <c r="B36">
        <v>332</v>
      </c>
      <c r="C36">
        <v>1.07687</v>
      </c>
      <c r="D36">
        <v>8.42</v>
      </c>
      <c r="E36">
        <v>78</v>
      </c>
      <c r="F36">
        <v>1.9396599999999999</v>
      </c>
      <c r="G36">
        <v>17.22</v>
      </c>
      <c r="H36">
        <v>68</v>
      </c>
      <c r="I36">
        <v>1.00299</v>
      </c>
      <c r="J36">
        <v>22.95</v>
      </c>
      <c r="K36">
        <v>187</v>
      </c>
      <c r="L36">
        <v>1.5444800000000001</v>
      </c>
      <c r="M36">
        <v>23.51</v>
      </c>
      <c r="N36">
        <v>102</v>
      </c>
      <c r="O36">
        <v>1.5366</v>
      </c>
      <c r="P36">
        <v>69.62</v>
      </c>
    </row>
    <row r="38" spans="1:16">
      <c r="C38" t="s">
        <v>5</v>
      </c>
      <c r="F38" t="s">
        <v>6</v>
      </c>
      <c r="I38" t="s">
        <v>24</v>
      </c>
      <c r="L38" t="s">
        <v>7</v>
      </c>
      <c r="O38" t="s">
        <v>7</v>
      </c>
    </row>
    <row r="39" spans="1:16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10</v>
      </c>
      <c r="K39" t="s">
        <v>8</v>
      </c>
      <c r="L39" t="s">
        <v>9</v>
      </c>
      <c r="M39" t="s">
        <v>11</v>
      </c>
      <c r="N39" t="s">
        <v>8</v>
      </c>
      <c r="O39" t="s">
        <v>9</v>
      </c>
      <c r="P39" t="s">
        <v>11</v>
      </c>
    </row>
    <row r="40" spans="1:16">
      <c r="A40" t="s">
        <v>16</v>
      </c>
      <c r="B40" s="1">
        <f>MAX(B5:B36)</f>
        <v>422</v>
      </c>
      <c r="C40" s="1">
        <f t="shared" ref="C40:P40" si="0">MAX(C5:C36)</f>
        <v>1.1254999999999999</v>
      </c>
      <c r="D40" s="1">
        <f t="shared" si="0"/>
        <v>58</v>
      </c>
      <c r="E40" s="1">
        <f t="shared" si="0"/>
        <v>104</v>
      </c>
      <c r="F40" s="1">
        <f t="shared" si="0"/>
        <v>1.9802599999999999</v>
      </c>
      <c r="G40" s="1">
        <f t="shared" si="0"/>
        <v>85.59</v>
      </c>
      <c r="H40" s="1">
        <f t="shared" si="0"/>
        <v>97</v>
      </c>
      <c r="I40" s="1">
        <f t="shared" si="0"/>
        <v>1.9802599999999999</v>
      </c>
      <c r="J40" s="1">
        <f t="shared" si="0"/>
        <v>70.069999999999993</v>
      </c>
      <c r="K40" s="1">
        <f t="shared" si="0"/>
        <v>207</v>
      </c>
      <c r="L40" s="1">
        <f t="shared" si="0"/>
        <v>1.75857</v>
      </c>
      <c r="M40" s="1">
        <f t="shared" si="0"/>
        <v>107.87</v>
      </c>
      <c r="N40" s="1">
        <f t="shared" si="0"/>
        <v>302</v>
      </c>
      <c r="O40" s="1">
        <f t="shared" si="0"/>
        <v>1.8221099999999999</v>
      </c>
      <c r="P40" s="1">
        <f t="shared" si="0"/>
        <v>179.58</v>
      </c>
    </row>
    <row r="41" spans="1:16">
      <c r="A41" t="s">
        <v>17</v>
      </c>
      <c r="B41" s="1">
        <f>MIN(B5:B36)</f>
        <v>211</v>
      </c>
      <c r="C41" s="1">
        <f t="shared" ref="C41:P41" si="1">MIN(C5:C36)</f>
        <v>1.0013000000000001</v>
      </c>
      <c r="D41" s="1">
        <f t="shared" si="1"/>
        <v>8.01</v>
      </c>
      <c r="E41" s="1">
        <f t="shared" si="1"/>
        <v>67</v>
      </c>
      <c r="F41" s="1">
        <f t="shared" si="1"/>
        <v>1.1219300000000001</v>
      </c>
      <c r="G41" s="1">
        <f t="shared" si="1"/>
        <v>17.12</v>
      </c>
      <c r="H41" s="1">
        <f t="shared" si="1"/>
        <v>65</v>
      </c>
      <c r="I41" s="1">
        <f t="shared" si="1"/>
        <v>1.0009999999999999</v>
      </c>
      <c r="J41" s="1">
        <f t="shared" si="1"/>
        <v>21.66</v>
      </c>
      <c r="K41" s="1">
        <f t="shared" si="1"/>
        <v>131</v>
      </c>
      <c r="L41" s="1">
        <f t="shared" si="1"/>
        <v>1.03538</v>
      </c>
      <c r="M41" s="1">
        <f t="shared" si="1"/>
        <v>23.42</v>
      </c>
      <c r="N41" s="1">
        <f t="shared" si="1"/>
        <v>102</v>
      </c>
      <c r="O41" s="1">
        <f t="shared" si="1"/>
        <v>1.0016099999999999</v>
      </c>
      <c r="P41" s="1">
        <f t="shared" si="1"/>
        <v>32.270000000000003</v>
      </c>
    </row>
    <row r="42" spans="1:16">
      <c r="A42" t="s">
        <v>18</v>
      </c>
      <c r="B42" s="1">
        <f>MEDIAN(B5:B36)</f>
        <v>247</v>
      </c>
      <c r="C42" s="1">
        <f t="shared" ref="C42:P42" si="2">MEDIAN(C5:C36)</f>
        <v>1.05003</v>
      </c>
      <c r="D42" s="1">
        <f t="shared" si="2"/>
        <v>12.190000000000001</v>
      </c>
      <c r="E42" s="1">
        <f t="shared" si="2"/>
        <v>68.5</v>
      </c>
      <c r="F42" s="1">
        <f t="shared" si="2"/>
        <v>1.68597</v>
      </c>
      <c r="G42" s="1">
        <f t="shared" si="2"/>
        <v>27.71</v>
      </c>
      <c r="H42" s="1">
        <f t="shared" si="2"/>
        <v>68</v>
      </c>
      <c r="I42" s="1">
        <f t="shared" si="2"/>
        <v>1.64706</v>
      </c>
      <c r="J42" s="1">
        <f t="shared" si="2"/>
        <v>35.709999999999994</v>
      </c>
      <c r="K42" s="1">
        <f t="shared" si="2"/>
        <v>179</v>
      </c>
      <c r="L42" s="1">
        <f t="shared" si="2"/>
        <v>1.40493</v>
      </c>
      <c r="M42" s="1">
        <f t="shared" si="2"/>
        <v>42.734999999999999</v>
      </c>
      <c r="N42" s="1">
        <f t="shared" si="2"/>
        <v>218</v>
      </c>
      <c r="O42" s="1">
        <f t="shared" si="2"/>
        <v>1.0521199999999999</v>
      </c>
      <c r="P42" s="1">
        <f t="shared" si="2"/>
        <v>60.004999999999995</v>
      </c>
    </row>
    <row r="43" spans="1:16">
      <c r="A43" t="s">
        <v>19</v>
      </c>
      <c r="B43" s="1">
        <f>AVERAGE(B5:B36)</f>
        <v>270.125</v>
      </c>
      <c r="C43" s="1">
        <f t="shared" ref="C43:P43" si="3">AVERAGE(C5:C36)</f>
        <v>1.0488900000000001</v>
      </c>
      <c r="D43" s="1">
        <f t="shared" si="3"/>
        <v>17.364374999999995</v>
      </c>
      <c r="E43" s="1">
        <f t="shared" si="3"/>
        <v>74.90625</v>
      </c>
      <c r="F43" s="1">
        <f t="shared" si="3"/>
        <v>1.7563756249999996</v>
      </c>
      <c r="G43" s="1">
        <f t="shared" si="3"/>
        <v>31.822812500000008</v>
      </c>
      <c r="H43" s="1">
        <f t="shared" si="3"/>
        <v>71.25</v>
      </c>
      <c r="I43" s="1">
        <f t="shared" si="3"/>
        <v>1.5210731249999998</v>
      </c>
      <c r="J43" s="1">
        <f t="shared" si="3"/>
        <v>37.136562500000011</v>
      </c>
      <c r="K43" s="1">
        <f t="shared" si="3"/>
        <v>172.84375</v>
      </c>
      <c r="L43" s="1">
        <f t="shared" si="3"/>
        <v>1.3869343750000001</v>
      </c>
      <c r="M43" s="1">
        <f t="shared" si="3"/>
        <v>43.696562499999992</v>
      </c>
      <c r="N43" s="1">
        <f t="shared" si="3"/>
        <v>209.90625</v>
      </c>
      <c r="O43" s="1">
        <f t="shared" si="3"/>
        <v>1.1522781249999996</v>
      </c>
      <c r="P43" s="1">
        <f t="shared" si="3"/>
        <v>65.908437499999991</v>
      </c>
    </row>
    <row r="44" spans="1:16">
      <c r="A44" t="s">
        <v>20</v>
      </c>
      <c r="B44" s="1">
        <f>STDEV(B5:B36)</f>
        <v>57.147093736957835</v>
      </c>
      <c r="C44" s="1">
        <f t="shared" ref="C44:P44" si="4">STDEV(C5:C36)</f>
        <v>2.9102153894348129E-2</v>
      </c>
      <c r="D44" s="1">
        <f t="shared" si="4"/>
        <v>11.600893162917224</v>
      </c>
      <c r="E44" s="1">
        <f t="shared" si="4"/>
        <v>10.650940818659198</v>
      </c>
      <c r="F44" s="1">
        <f t="shared" si="4"/>
        <v>0.21937599780400346</v>
      </c>
      <c r="G44" s="1">
        <f t="shared" si="4"/>
        <v>15.481923743592674</v>
      </c>
      <c r="H44" s="1">
        <f t="shared" si="4"/>
        <v>8.2462112512353212</v>
      </c>
      <c r="I44" s="1">
        <f t="shared" si="4"/>
        <v>0.33545111502358255</v>
      </c>
      <c r="J44" s="1">
        <f t="shared" si="4"/>
        <v>13.713841750011337</v>
      </c>
      <c r="K44" s="1">
        <f t="shared" si="4"/>
        <v>23.463230499738756</v>
      </c>
      <c r="L44" s="1">
        <f t="shared" si="4"/>
        <v>0.19717190442953816</v>
      </c>
      <c r="M44" s="1">
        <f t="shared" si="4"/>
        <v>19.631475485502978</v>
      </c>
      <c r="N44" s="1">
        <f t="shared" si="4"/>
        <v>54.623851209592885</v>
      </c>
      <c r="O44" s="1">
        <f t="shared" si="4"/>
        <v>0.22037857012551229</v>
      </c>
      <c r="P44" s="1">
        <f t="shared" si="4"/>
        <v>30.635404156015664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44"/>
  <sheetViews>
    <sheetView topLeftCell="E33" workbookViewId="0">
      <selection activeCell="L49" sqref="L49"/>
    </sheetView>
  </sheetViews>
  <sheetFormatPr baseColWidth="10" defaultRowHeight="16"/>
  <sheetData>
    <row r="1" spans="1:16">
      <c r="A1" t="s">
        <v>0</v>
      </c>
      <c r="B1" t="s">
        <v>13</v>
      </c>
      <c r="C1" t="s">
        <v>2</v>
      </c>
      <c r="D1">
        <v>59502</v>
      </c>
    </row>
    <row r="2" spans="1:16">
      <c r="A2" t="s">
        <v>3</v>
      </c>
      <c r="B2" t="s">
        <v>4</v>
      </c>
    </row>
    <row r="3" spans="1:16">
      <c r="C3" t="s">
        <v>5</v>
      </c>
      <c r="F3" t="s">
        <v>6</v>
      </c>
      <c r="I3" t="s">
        <v>24</v>
      </c>
      <c r="L3" t="s">
        <v>7</v>
      </c>
      <c r="O3" t="s">
        <v>25</v>
      </c>
    </row>
    <row r="4" spans="1:16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10</v>
      </c>
      <c r="K4" t="s">
        <v>8</v>
      </c>
      <c r="L4" t="s">
        <v>9</v>
      </c>
      <c r="M4" t="s">
        <v>11</v>
      </c>
      <c r="N4" t="s">
        <v>8</v>
      </c>
      <c r="O4" t="s">
        <v>9</v>
      </c>
      <c r="P4" t="s">
        <v>11</v>
      </c>
    </row>
    <row r="5" spans="1:16">
      <c r="A5">
        <v>0</v>
      </c>
      <c r="B5">
        <v>976</v>
      </c>
      <c r="C5">
        <v>1.02281</v>
      </c>
      <c r="D5">
        <v>160.1</v>
      </c>
      <c r="E5">
        <v>292</v>
      </c>
      <c r="F5">
        <v>1.1252500000000001</v>
      </c>
      <c r="G5">
        <v>341.06</v>
      </c>
      <c r="H5">
        <v>292</v>
      </c>
      <c r="I5">
        <v>1.1180300000000001</v>
      </c>
      <c r="J5">
        <v>373.51</v>
      </c>
      <c r="K5">
        <v>639</v>
      </c>
      <c r="L5">
        <v>1.0071099999999999</v>
      </c>
      <c r="M5">
        <v>513.03</v>
      </c>
      <c r="N5">
        <v>372</v>
      </c>
      <c r="O5">
        <v>1.4058299999999999</v>
      </c>
      <c r="P5">
        <v>1310.32</v>
      </c>
    </row>
    <row r="6" spans="1:16">
      <c r="A6">
        <v>1</v>
      </c>
      <c r="B6">
        <v>1238</v>
      </c>
      <c r="C6">
        <v>1.0177400000000001</v>
      </c>
      <c r="D6">
        <v>180.72</v>
      </c>
      <c r="E6">
        <v>326</v>
      </c>
      <c r="F6">
        <v>1.4630700000000001</v>
      </c>
      <c r="G6">
        <v>315.82</v>
      </c>
      <c r="H6">
        <v>241</v>
      </c>
      <c r="I6">
        <v>1.9884900000000001</v>
      </c>
      <c r="J6">
        <v>418.72</v>
      </c>
      <c r="K6">
        <v>631</v>
      </c>
      <c r="L6">
        <v>1.13222</v>
      </c>
      <c r="M6">
        <v>435.7</v>
      </c>
      <c r="N6">
        <v>411</v>
      </c>
      <c r="O6">
        <v>1.8153300000000001</v>
      </c>
      <c r="P6">
        <v>640.33000000000004</v>
      </c>
    </row>
    <row r="7" spans="1:16">
      <c r="A7">
        <v>2</v>
      </c>
      <c r="B7">
        <v>1368</v>
      </c>
      <c r="C7">
        <v>1.0432999999999999</v>
      </c>
      <c r="D7">
        <v>121.78</v>
      </c>
      <c r="E7">
        <v>324</v>
      </c>
      <c r="F7">
        <v>1.6130599999999999</v>
      </c>
      <c r="G7">
        <v>317.7</v>
      </c>
      <c r="H7">
        <v>202</v>
      </c>
      <c r="I7">
        <v>1.94079</v>
      </c>
      <c r="J7">
        <v>413.39</v>
      </c>
      <c r="K7">
        <v>625</v>
      </c>
      <c r="L7">
        <v>1.2481599999999999</v>
      </c>
      <c r="M7">
        <v>440.89</v>
      </c>
      <c r="N7">
        <v>423</v>
      </c>
      <c r="O7">
        <v>1.2355100000000001</v>
      </c>
      <c r="P7">
        <v>801.86</v>
      </c>
    </row>
    <row r="8" spans="1:16">
      <c r="A8">
        <v>3</v>
      </c>
      <c r="B8">
        <v>770</v>
      </c>
      <c r="C8">
        <v>1.01424</v>
      </c>
      <c r="D8">
        <v>131.03</v>
      </c>
      <c r="E8">
        <v>211</v>
      </c>
      <c r="F8">
        <v>1.6823999999999999</v>
      </c>
      <c r="G8">
        <v>305.01</v>
      </c>
      <c r="H8">
        <v>211</v>
      </c>
      <c r="I8">
        <v>1.66981</v>
      </c>
      <c r="J8">
        <v>362.42</v>
      </c>
      <c r="K8">
        <v>480</v>
      </c>
      <c r="L8">
        <v>1.4294</v>
      </c>
      <c r="M8">
        <v>422.04</v>
      </c>
      <c r="N8">
        <v>700</v>
      </c>
      <c r="O8">
        <v>1.0141899999999999</v>
      </c>
      <c r="P8">
        <v>557.04999999999995</v>
      </c>
    </row>
    <row r="9" spans="1:16">
      <c r="A9">
        <v>4</v>
      </c>
      <c r="B9">
        <v>998</v>
      </c>
      <c r="C9">
        <v>1.0115000000000001</v>
      </c>
      <c r="D9">
        <v>163.27000000000001</v>
      </c>
      <c r="E9">
        <v>292</v>
      </c>
      <c r="F9">
        <v>1.20106</v>
      </c>
      <c r="G9">
        <v>322.02</v>
      </c>
      <c r="H9">
        <v>292</v>
      </c>
      <c r="I9">
        <v>1.1935500000000001</v>
      </c>
      <c r="J9">
        <v>360.36</v>
      </c>
      <c r="K9">
        <v>644</v>
      </c>
      <c r="L9">
        <v>1.0650299999999999</v>
      </c>
      <c r="M9">
        <v>421.34</v>
      </c>
      <c r="N9">
        <v>366</v>
      </c>
      <c r="O9">
        <v>1.47706</v>
      </c>
      <c r="P9">
        <v>638.75</v>
      </c>
    </row>
    <row r="10" spans="1:16">
      <c r="A10">
        <v>5</v>
      </c>
      <c r="B10">
        <v>719</v>
      </c>
      <c r="C10">
        <v>1.0042899999999999</v>
      </c>
      <c r="D10">
        <v>126.85</v>
      </c>
      <c r="E10">
        <v>211</v>
      </c>
      <c r="F10">
        <v>1.6823999999999999</v>
      </c>
      <c r="G10">
        <v>325.44</v>
      </c>
      <c r="H10">
        <v>211</v>
      </c>
      <c r="I10">
        <v>1.66981</v>
      </c>
      <c r="J10">
        <v>428.07</v>
      </c>
      <c r="K10">
        <v>454</v>
      </c>
      <c r="L10">
        <v>1.5119800000000001</v>
      </c>
      <c r="M10">
        <v>516.20000000000005</v>
      </c>
      <c r="N10">
        <v>700</v>
      </c>
      <c r="O10">
        <v>1.0141899999999999</v>
      </c>
      <c r="P10">
        <v>561.49</v>
      </c>
    </row>
    <row r="11" spans="1:16">
      <c r="A11">
        <v>6</v>
      </c>
      <c r="B11">
        <v>816</v>
      </c>
      <c r="C11">
        <v>1.0098</v>
      </c>
      <c r="D11">
        <v>136.11000000000001</v>
      </c>
      <c r="E11">
        <v>211</v>
      </c>
      <c r="F11">
        <v>1.6823999999999999</v>
      </c>
      <c r="G11">
        <v>301.33999999999997</v>
      </c>
      <c r="H11">
        <v>268</v>
      </c>
      <c r="I11">
        <v>1.0008699999999999</v>
      </c>
      <c r="J11">
        <v>375.56</v>
      </c>
      <c r="K11">
        <v>523</v>
      </c>
      <c r="L11">
        <v>1.268</v>
      </c>
      <c r="M11">
        <v>450.9</v>
      </c>
      <c r="N11">
        <v>700</v>
      </c>
      <c r="O11">
        <v>1.0141899999999999</v>
      </c>
      <c r="P11">
        <v>527.33000000000004</v>
      </c>
    </row>
    <row r="12" spans="1:16">
      <c r="A12">
        <v>7</v>
      </c>
      <c r="B12">
        <v>839</v>
      </c>
      <c r="C12">
        <v>1.01755</v>
      </c>
      <c r="D12">
        <v>118.15</v>
      </c>
      <c r="E12">
        <v>232</v>
      </c>
      <c r="F12">
        <v>1.99014</v>
      </c>
      <c r="G12">
        <v>307.93</v>
      </c>
      <c r="H12">
        <v>232</v>
      </c>
      <c r="I12">
        <v>1.99014</v>
      </c>
      <c r="J12">
        <v>355.38</v>
      </c>
      <c r="K12">
        <v>575</v>
      </c>
      <c r="L12">
        <v>1.3774</v>
      </c>
      <c r="M12">
        <v>403.65</v>
      </c>
      <c r="N12">
        <v>835</v>
      </c>
      <c r="O12">
        <v>1.01742</v>
      </c>
      <c r="P12">
        <v>541.08000000000004</v>
      </c>
    </row>
    <row r="13" spans="1:16">
      <c r="A13">
        <v>8</v>
      </c>
      <c r="B13">
        <v>875</v>
      </c>
      <c r="C13">
        <v>1.01284</v>
      </c>
      <c r="D13">
        <v>163.37</v>
      </c>
      <c r="E13">
        <v>240</v>
      </c>
      <c r="F13">
        <v>1.9890399999999999</v>
      </c>
      <c r="G13">
        <v>356.02</v>
      </c>
      <c r="H13">
        <v>240</v>
      </c>
      <c r="I13">
        <v>1.9890399999999999</v>
      </c>
      <c r="J13">
        <v>367.35</v>
      </c>
      <c r="K13">
        <v>595</v>
      </c>
      <c r="L13">
        <v>1.32673</v>
      </c>
      <c r="M13">
        <v>407.72</v>
      </c>
      <c r="N13">
        <v>871</v>
      </c>
      <c r="O13">
        <v>1.0126999999999999</v>
      </c>
      <c r="P13">
        <v>535.28</v>
      </c>
    </row>
    <row r="14" spans="1:16">
      <c r="A14">
        <v>9</v>
      </c>
      <c r="B14">
        <v>696</v>
      </c>
      <c r="C14">
        <v>1.0153300000000001</v>
      </c>
      <c r="D14">
        <v>123.96</v>
      </c>
      <c r="E14">
        <v>212</v>
      </c>
      <c r="F14">
        <v>1.65726</v>
      </c>
      <c r="G14">
        <v>309.27</v>
      </c>
      <c r="H14">
        <v>212</v>
      </c>
      <c r="I14">
        <v>1.65726</v>
      </c>
      <c r="J14">
        <v>357.85</v>
      </c>
      <c r="K14">
        <v>469</v>
      </c>
      <c r="L14">
        <v>1.4186700000000001</v>
      </c>
      <c r="M14">
        <v>437.56</v>
      </c>
      <c r="N14">
        <v>700</v>
      </c>
      <c r="O14">
        <v>1.0141899999999999</v>
      </c>
      <c r="P14">
        <v>539.37</v>
      </c>
    </row>
    <row r="15" spans="1:16">
      <c r="A15">
        <v>10</v>
      </c>
      <c r="B15">
        <v>696</v>
      </c>
      <c r="C15">
        <v>1.01763</v>
      </c>
      <c r="D15">
        <v>122.01</v>
      </c>
      <c r="E15">
        <v>212</v>
      </c>
      <c r="F15">
        <v>1.65726</v>
      </c>
      <c r="G15">
        <v>310.2</v>
      </c>
      <c r="H15">
        <v>212</v>
      </c>
      <c r="I15">
        <v>1.65726</v>
      </c>
      <c r="J15">
        <v>345.62</v>
      </c>
      <c r="K15">
        <v>479</v>
      </c>
      <c r="L15">
        <v>1.4070400000000001</v>
      </c>
      <c r="M15">
        <v>420.12</v>
      </c>
      <c r="N15">
        <v>700</v>
      </c>
      <c r="O15">
        <v>1.0141899999999999</v>
      </c>
      <c r="P15">
        <v>524.91</v>
      </c>
    </row>
    <row r="16" spans="1:16">
      <c r="A16">
        <v>11</v>
      </c>
      <c r="B16">
        <v>748</v>
      </c>
      <c r="C16">
        <v>1.0140400000000001</v>
      </c>
      <c r="D16">
        <v>118.8</v>
      </c>
      <c r="E16">
        <v>326</v>
      </c>
      <c r="F16">
        <v>1.0161800000000001</v>
      </c>
      <c r="G16">
        <v>360.48</v>
      </c>
      <c r="H16">
        <v>326</v>
      </c>
      <c r="I16">
        <v>1.0161800000000001</v>
      </c>
      <c r="J16">
        <v>407.12</v>
      </c>
      <c r="K16">
        <v>662</v>
      </c>
      <c r="L16">
        <v>1.05724</v>
      </c>
      <c r="M16">
        <v>439.43</v>
      </c>
      <c r="N16">
        <v>739</v>
      </c>
      <c r="O16">
        <v>1.01434</v>
      </c>
      <c r="P16">
        <v>562.39</v>
      </c>
    </row>
    <row r="17" spans="1:16">
      <c r="A17">
        <v>12</v>
      </c>
      <c r="B17">
        <v>784</v>
      </c>
      <c r="C17">
        <v>1.02234</v>
      </c>
      <c r="D17">
        <v>123.92</v>
      </c>
      <c r="E17">
        <v>211</v>
      </c>
      <c r="F17">
        <v>1.6823999999999999</v>
      </c>
      <c r="G17">
        <v>313.94</v>
      </c>
      <c r="H17">
        <v>211</v>
      </c>
      <c r="I17">
        <v>1.66981</v>
      </c>
      <c r="J17">
        <v>338.74</v>
      </c>
      <c r="K17">
        <v>509</v>
      </c>
      <c r="L17">
        <v>1.3096300000000001</v>
      </c>
      <c r="M17">
        <v>415.43</v>
      </c>
      <c r="N17">
        <v>700</v>
      </c>
      <c r="O17">
        <v>1.0141899999999999</v>
      </c>
      <c r="P17">
        <v>573.41</v>
      </c>
    </row>
    <row r="18" spans="1:16">
      <c r="A18">
        <v>13</v>
      </c>
      <c r="B18">
        <v>1216</v>
      </c>
      <c r="C18">
        <v>1.01146</v>
      </c>
      <c r="D18">
        <v>141.54</v>
      </c>
      <c r="E18">
        <v>315</v>
      </c>
      <c r="F18">
        <v>1.3251599999999999</v>
      </c>
      <c r="G18">
        <v>303.44</v>
      </c>
      <c r="H18">
        <v>314</v>
      </c>
      <c r="I18">
        <v>1.30843</v>
      </c>
      <c r="J18">
        <v>366.77</v>
      </c>
      <c r="K18">
        <v>674</v>
      </c>
      <c r="L18">
        <v>1.03325</v>
      </c>
      <c r="M18">
        <v>421.98</v>
      </c>
      <c r="N18">
        <v>387</v>
      </c>
      <c r="O18">
        <v>1.5906899999999999</v>
      </c>
      <c r="P18">
        <v>615.72</v>
      </c>
    </row>
    <row r="19" spans="1:16">
      <c r="A19">
        <v>14</v>
      </c>
      <c r="B19">
        <v>871</v>
      </c>
      <c r="C19">
        <v>1.0125</v>
      </c>
      <c r="D19">
        <v>119.89</v>
      </c>
      <c r="E19">
        <v>212</v>
      </c>
      <c r="F19">
        <v>1.98794</v>
      </c>
      <c r="G19">
        <v>300.73</v>
      </c>
      <c r="H19">
        <v>212</v>
      </c>
      <c r="I19">
        <v>1.27179</v>
      </c>
      <c r="J19">
        <v>367.11</v>
      </c>
      <c r="K19">
        <v>611</v>
      </c>
      <c r="L19">
        <v>1.3633</v>
      </c>
      <c r="M19">
        <v>522.69000000000005</v>
      </c>
      <c r="N19">
        <v>867</v>
      </c>
      <c r="O19">
        <v>1.01264</v>
      </c>
      <c r="P19">
        <v>533.4</v>
      </c>
    </row>
    <row r="20" spans="1:16">
      <c r="A20">
        <v>15</v>
      </c>
      <c r="B20">
        <v>704</v>
      </c>
      <c r="C20">
        <v>1.01925</v>
      </c>
      <c r="D20">
        <v>117.02</v>
      </c>
      <c r="E20">
        <v>211</v>
      </c>
      <c r="F20">
        <v>1.69354</v>
      </c>
      <c r="G20">
        <v>310.68</v>
      </c>
      <c r="H20">
        <v>212</v>
      </c>
      <c r="I20">
        <v>1.00221</v>
      </c>
      <c r="J20">
        <v>357.19</v>
      </c>
      <c r="K20">
        <v>429</v>
      </c>
      <c r="L20">
        <v>1.48542</v>
      </c>
      <c r="M20">
        <v>407.07</v>
      </c>
      <c r="N20">
        <v>702</v>
      </c>
      <c r="O20">
        <v>1.01932</v>
      </c>
      <c r="P20">
        <v>538.04</v>
      </c>
    </row>
    <row r="21" spans="1:16">
      <c r="A21">
        <v>16</v>
      </c>
      <c r="B21">
        <v>859</v>
      </c>
      <c r="C21">
        <v>1.00302</v>
      </c>
      <c r="D21">
        <v>121.42</v>
      </c>
      <c r="E21">
        <v>244</v>
      </c>
      <c r="F21">
        <v>1.9817800000000001</v>
      </c>
      <c r="G21">
        <v>308.63</v>
      </c>
      <c r="H21">
        <v>244</v>
      </c>
      <c r="I21">
        <v>1.32348</v>
      </c>
      <c r="J21">
        <v>433.52</v>
      </c>
      <c r="K21">
        <v>563</v>
      </c>
      <c r="L21">
        <v>1.43306</v>
      </c>
      <c r="M21">
        <v>420.64</v>
      </c>
      <c r="N21">
        <v>855</v>
      </c>
      <c r="O21">
        <v>1.0028900000000001</v>
      </c>
      <c r="P21">
        <v>532.09</v>
      </c>
    </row>
    <row r="22" spans="1:16">
      <c r="A22">
        <v>17</v>
      </c>
      <c r="B22">
        <v>744</v>
      </c>
      <c r="C22">
        <v>1.0235799999999999</v>
      </c>
      <c r="D22">
        <v>119.02</v>
      </c>
      <c r="E22">
        <v>211</v>
      </c>
      <c r="F22">
        <v>1.6823999999999999</v>
      </c>
      <c r="G22">
        <v>311.18</v>
      </c>
      <c r="H22">
        <v>211</v>
      </c>
      <c r="I22">
        <v>1.66981</v>
      </c>
      <c r="J22">
        <v>335.25</v>
      </c>
      <c r="K22">
        <v>483</v>
      </c>
      <c r="L22">
        <v>1.3827199999999999</v>
      </c>
      <c r="M22">
        <v>421.25</v>
      </c>
      <c r="N22">
        <v>700</v>
      </c>
      <c r="O22">
        <v>1.0141899999999999</v>
      </c>
      <c r="P22">
        <v>528.34</v>
      </c>
    </row>
    <row r="23" spans="1:16">
      <c r="A23">
        <v>18</v>
      </c>
      <c r="B23">
        <v>842</v>
      </c>
      <c r="C23">
        <v>1.01705</v>
      </c>
      <c r="D23">
        <v>125.98</v>
      </c>
      <c r="E23">
        <v>206</v>
      </c>
      <c r="F23">
        <v>1.98899</v>
      </c>
      <c r="G23">
        <v>312.75</v>
      </c>
      <c r="H23">
        <v>206</v>
      </c>
      <c r="I23">
        <v>1.9877899999999999</v>
      </c>
      <c r="J23">
        <v>608.88</v>
      </c>
      <c r="K23">
        <v>571</v>
      </c>
      <c r="L23">
        <v>1.28884</v>
      </c>
      <c r="M23">
        <v>422.53</v>
      </c>
      <c r="N23">
        <v>838</v>
      </c>
      <c r="O23">
        <v>1.01718</v>
      </c>
      <c r="P23">
        <v>528.33000000000004</v>
      </c>
    </row>
    <row r="24" spans="1:16">
      <c r="A24">
        <v>19</v>
      </c>
      <c r="B24">
        <v>774</v>
      </c>
      <c r="C24">
        <v>1.01464</v>
      </c>
      <c r="D24">
        <v>119.61</v>
      </c>
      <c r="E24">
        <v>226</v>
      </c>
      <c r="F24">
        <v>1.4942800000000001</v>
      </c>
      <c r="G24">
        <v>308.20999999999998</v>
      </c>
      <c r="H24">
        <v>226</v>
      </c>
      <c r="I24">
        <v>1.4737199999999999</v>
      </c>
      <c r="J24">
        <v>356.44</v>
      </c>
      <c r="K24">
        <v>476</v>
      </c>
      <c r="L24">
        <v>1.40547</v>
      </c>
      <c r="M24">
        <v>411.7</v>
      </c>
      <c r="N24">
        <v>772</v>
      </c>
      <c r="O24">
        <v>1.01471</v>
      </c>
      <c r="P24">
        <v>542.48</v>
      </c>
    </row>
    <row r="25" spans="1:16">
      <c r="A25">
        <v>20</v>
      </c>
      <c r="B25">
        <v>726</v>
      </c>
      <c r="C25">
        <v>1.0123599999999999</v>
      </c>
      <c r="D25">
        <v>118.91</v>
      </c>
      <c r="E25">
        <v>211</v>
      </c>
      <c r="F25">
        <v>1.6823999999999999</v>
      </c>
      <c r="G25">
        <v>314.48</v>
      </c>
      <c r="H25">
        <v>211</v>
      </c>
      <c r="I25">
        <v>1.66981</v>
      </c>
      <c r="J25">
        <v>348.03</v>
      </c>
      <c r="K25">
        <v>484</v>
      </c>
      <c r="L25">
        <v>1.30644</v>
      </c>
      <c r="M25">
        <v>433.75</v>
      </c>
      <c r="N25">
        <v>700</v>
      </c>
      <c r="O25">
        <v>1.0141899999999999</v>
      </c>
      <c r="P25">
        <v>545.08000000000004</v>
      </c>
    </row>
    <row r="26" spans="1:16">
      <c r="A26">
        <v>21</v>
      </c>
      <c r="B26">
        <v>726</v>
      </c>
      <c r="C26">
        <v>1.02155</v>
      </c>
      <c r="D26">
        <v>119.9</v>
      </c>
      <c r="E26">
        <v>212</v>
      </c>
      <c r="F26">
        <v>1.65726</v>
      </c>
      <c r="G26">
        <v>320.14999999999998</v>
      </c>
      <c r="H26">
        <v>212</v>
      </c>
      <c r="I26">
        <v>1.65726</v>
      </c>
      <c r="J26">
        <v>352.69</v>
      </c>
      <c r="K26">
        <v>463</v>
      </c>
      <c r="L26">
        <v>1.42371</v>
      </c>
      <c r="M26">
        <v>408.52</v>
      </c>
      <c r="N26">
        <v>700</v>
      </c>
      <c r="O26">
        <v>1.0141899999999999</v>
      </c>
      <c r="P26">
        <v>521.96</v>
      </c>
    </row>
    <row r="27" spans="1:16">
      <c r="A27">
        <v>22</v>
      </c>
      <c r="B27">
        <v>664</v>
      </c>
      <c r="C27">
        <v>1.0203500000000001</v>
      </c>
      <c r="D27">
        <v>121.68</v>
      </c>
      <c r="E27">
        <v>211</v>
      </c>
      <c r="F27">
        <v>1.6823999999999999</v>
      </c>
      <c r="G27">
        <v>292.14</v>
      </c>
      <c r="H27">
        <v>211</v>
      </c>
      <c r="I27">
        <v>1.66981</v>
      </c>
      <c r="J27">
        <v>434.13</v>
      </c>
      <c r="K27">
        <v>559</v>
      </c>
      <c r="L27">
        <v>1.2588699999999999</v>
      </c>
      <c r="M27">
        <v>412.06</v>
      </c>
      <c r="N27">
        <v>700</v>
      </c>
      <c r="O27">
        <v>1.0141899999999999</v>
      </c>
      <c r="P27">
        <v>532.6</v>
      </c>
    </row>
    <row r="28" spans="1:16">
      <c r="A28">
        <v>23</v>
      </c>
      <c r="B28">
        <v>1002</v>
      </c>
      <c r="C28">
        <v>1.0147900000000001</v>
      </c>
      <c r="D28">
        <v>119.27</v>
      </c>
      <c r="E28">
        <v>288</v>
      </c>
      <c r="F28">
        <v>1.34223</v>
      </c>
      <c r="G28">
        <v>320.86</v>
      </c>
      <c r="H28">
        <v>288</v>
      </c>
      <c r="I28">
        <v>1.3340000000000001</v>
      </c>
      <c r="J28">
        <v>364.19</v>
      </c>
      <c r="K28">
        <v>642</v>
      </c>
      <c r="L28">
        <v>1.02546</v>
      </c>
      <c r="M28">
        <v>423.7</v>
      </c>
      <c r="N28">
        <v>355</v>
      </c>
      <c r="O28">
        <v>1.6366400000000001</v>
      </c>
      <c r="P28">
        <v>606.65</v>
      </c>
    </row>
    <row r="29" spans="1:16">
      <c r="A29">
        <v>24</v>
      </c>
      <c r="B29">
        <v>500</v>
      </c>
      <c r="C29">
        <v>1.01342</v>
      </c>
      <c r="D29">
        <v>119.79</v>
      </c>
      <c r="E29">
        <v>294</v>
      </c>
      <c r="F29">
        <v>1.98353</v>
      </c>
      <c r="G29">
        <v>305.36</v>
      </c>
      <c r="H29">
        <v>212</v>
      </c>
      <c r="I29">
        <v>1.0016099999999999</v>
      </c>
      <c r="J29">
        <v>413.62</v>
      </c>
      <c r="K29">
        <v>667</v>
      </c>
      <c r="L29">
        <v>1.4697899999999999</v>
      </c>
      <c r="M29">
        <v>393.57</v>
      </c>
      <c r="N29">
        <v>500</v>
      </c>
      <c r="O29">
        <v>1.01342</v>
      </c>
      <c r="P29">
        <v>520.35</v>
      </c>
    </row>
    <row r="30" spans="1:16">
      <c r="A30">
        <v>25</v>
      </c>
      <c r="B30">
        <v>697</v>
      </c>
      <c r="C30">
        <v>1.0149600000000001</v>
      </c>
      <c r="D30">
        <v>138.49</v>
      </c>
      <c r="E30">
        <v>211</v>
      </c>
      <c r="F30">
        <v>1.6823999999999999</v>
      </c>
      <c r="G30">
        <v>297.7</v>
      </c>
      <c r="H30">
        <v>211</v>
      </c>
      <c r="I30">
        <v>1.66981</v>
      </c>
      <c r="J30">
        <v>351.08</v>
      </c>
      <c r="K30">
        <v>479</v>
      </c>
      <c r="L30">
        <v>1.4251400000000001</v>
      </c>
      <c r="M30">
        <v>410.87</v>
      </c>
      <c r="N30">
        <v>700</v>
      </c>
      <c r="O30">
        <v>1.0141899999999999</v>
      </c>
      <c r="P30">
        <v>530.88</v>
      </c>
    </row>
    <row r="31" spans="1:16">
      <c r="A31">
        <v>26</v>
      </c>
      <c r="B31">
        <v>744</v>
      </c>
      <c r="C31">
        <v>1.0235799999999999</v>
      </c>
      <c r="D31">
        <v>119.82</v>
      </c>
      <c r="E31">
        <v>211</v>
      </c>
      <c r="F31">
        <v>1.7176899999999999</v>
      </c>
      <c r="G31">
        <v>311.23</v>
      </c>
      <c r="H31">
        <v>212</v>
      </c>
      <c r="I31">
        <v>1.0005999999999999</v>
      </c>
      <c r="J31">
        <v>355.88</v>
      </c>
      <c r="K31">
        <v>481</v>
      </c>
      <c r="L31">
        <v>1.5650200000000001</v>
      </c>
      <c r="M31">
        <v>471.83</v>
      </c>
      <c r="N31">
        <v>742</v>
      </c>
      <c r="O31">
        <v>1.0236499999999999</v>
      </c>
      <c r="P31">
        <v>615.41999999999996</v>
      </c>
    </row>
    <row r="32" spans="1:16">
      <c r="A32">
        <v>27</v>
      </c>
      <c r="B32">
        <v>1136</v>
      </c>
      <c r="C32">
        <v>1.02329</v>
      </c>
      <c r="D32">
        <v>127.12</v>
      </c>
      <c r="E32">
        <v>243</v>
      </c>
      <c r="F32">
        <v>1.9917400000000001</v>
      </c>
      <c r="G32">
        <v>285.85000000000002</v>
      </c>
      <c r="H32">
        <v>212</v>
      </c>
      <c r="I32">
        <v>1.0006699999999999</v>
      </c>
      <c r="J32">
        <v>377.33</v>
      </c>
      <c r="K32">
        <v>519</v>
      </c>
      <c r="L32">
        <v>1.5502899999999999</v>
      </c>
      <c r="M32">
        <v>413.26</v>
      </c>
      <c r="N32">
        <v>396</v>
      </c>
      <c r="O32">
        <v>1.5643499999999999</v>
      </c>
      <c r="P32">
        <v>593.91</v>
      </c>
    </row>
    <row r="33" spans="1:16">
      <c r="A33">
        <v>28</v>
      </c>
      <c r="B33">
        <v>702</v>
      </c>
      <c r="C33">
        <v>1.01891</v>
      </c>
      <c r="D33">
        <v>116.55</v>
      </c>
      <c r="E33">
        <v>212</v>
      </c>
      <c r="F33">
        <v>1.8635699999999999</v>
      </c>
      <c r="G33">
        <v>298.22000000000003</v>
      </c>
      <c r="H33">
        <v>212</v>
      </c>
      <c r="I33">
        <v>1.8635699999999999</v>
      </c>
      <c r="J33">
        <v>345.76</v>
      </c>
      <c r="K33">
        <v>443</v>
      </c>
      <c r="L33">
        <v>1.6011</v>
      </c>
      <c r="M33">
        <v>391</v>
      </c>
      <c r="N33">
        <v>700</v>
      </c>
      <c r="O33">
        <v>1.01898</v>
      </c>
      <c r="P33">
        <v>534.29</v>
      </c>
    </row>
    <row r="34" spans="1:16">
      <c r="A34">
        <v>29</v>
      </c>
      <c r="B34">
        <v>1082</v>
      </c>
      <c r="C34">
        <v>1.01691</v>
      </c>
      <c r="D34">
        <v>158.30000000000001</v>
      </c>
      <c r="E34">
        <v>236</v>
      </c>
      <c r="F34">
        <v>1.9912399999999999</v>
      </c>
      <c r="G34">
        <v>288.27</v>
      </c>
      <c r="H34">
        <v>212</v>
      </c>
      <c r="I34">
        <v>1.0025500000000001</v>
      </c>
      <c r="J34">
        <v>369.51</v>
      </c>
      <c r="K34">
        <v>547</v>
      </c>
      <c r="L34">
        <v>1.5688299999999999</v>
      </c>
      <c r="M34">
        <v>403.15</v>
      </c>
      <c r="N34">
        <v>307</v>
      </c>
      <c r="O34">
        <v>1.5705499999999999</v>
      </c>
      <c r="P34">
        <v>592.48</v>
      </c>
    </row>
    <row r="35" spans="1:16">
      <c r="A35">
        <v>30</v>
      </c>
      <c r="B35">
        <v>940</v>
      </c>
      <c r="C35">
        <v>1.00631</v>
      </c>
      <c r="D35">
        <v>119.93</v>
      </c>
      <c r="E35">
        <v>212</v>
      </c>
      <c r="F35">
        <v>1.99108</v>
      </c>
      <c r="G35">
        <v>299.66000000000003</v>
      </c>
      <c r="H35">
        <v>212</v>
      </c>
      <c r="I35">
        <v>1.49099</v>
      </c>
      <c r="J35">
        <v>354.24</v>
      </c>
      <c r="K35">
        <v>588</v>
      </c>
      <c r="L35">
        <v>1.2807200000000001</v>
      </c>
      <c r="M35">
        <v>395.94</v>
      </c>
      <c r="N35">
        <v>936</v>
      </c>
      <c r="O35">
        <v>1.00644</v>
      </c>
      <c r="P35">
        <v>543.88</v>
      </c>
    </row>
    <row r="36" spans="1:16">
      <c r="A36">
        <v>31</v>
      </c>
      <c r="B36">
        <v>734</v>
      </c>
      <c r="C36">
        <v>1.0007299999999999</v>
      </c>
      <c r="D36">
        <v>125.1</v>
      </c>
      <c r="E36">
        <v>211</v>
      </c>
      <c r="F36">
        <v>1.6823999999999999</v>
      </c>
      <c r="G36">
        <v>303.02999999999997</v>
      </c>
      <c r="H36">
        <v>209</v>
      </c>
      <c r="I36">
        <v>1.74698</v>
      </c>
      <c r="J36">
        <v>446.4</v>
      </c>
      <c r="K36">
        <v>527</v>
      </c>
      <c r="L36">
        <v>1.2603800000000001</v>
      </c>
      <c r="M36">
        <v>460.23</v>
      </c>
      <c r="N36">
        <v>700</v>
      </c>
      <c r="O36">
        <v>1.0141899999999999</v>
      </c>
      <c r="P36">
        <v>527.54</v>
      </c>
    </row>
    <row r="38" spans="1:16">
      <c r="C38" t="s">
        <v>5</v>
      </c>
      <c r="F38" t="s">
        <v>6</v>
      </c>
      <c r="I38" t="s">
        <v>24</v>
      </c>
      <c r="L38" t="s">
        <v>7</v>
      </c>
      <c r="O38" t="s">
        <v>7</v>
      </c>
    </row>
    <row r="39" spans="1:16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10</v>
      </c>
      <c r="K39" t="s">
        <v>8</v>
      </c>
      <c r="L39" t="s">
        <v>9</v>
      </c>
      <c r="M39" t="s">
        <v>11</v>
      </c>
      <c r="N39" t="s">
        <v>8</v>
      </c>
      <c r="O39" t="s">
        <v>9</v>
      </c>
      <c r="P39" t="s">
        <v>11</v>
      </c>
    </row>
    <row r="40" spans="1:16">
      <c r="A40" t="s">
        <v>16</v>
      </c>
      <c r="B40" s="1">
        <f>MAX(B5:B36)</f>
        <v>1368</v>
      </c>
      <c r="C40" s="1">
        <f t="shared" ref="C40:I40" si="0">MAX(C5:C36)</f>
        <v>1.0432999999999999</v>
      </c>
      <c r="D40" s="1">
        <f t="shared" si="0"/>
        <v>180.72</v>
      </c>
      <c r="E40" s="1">
        <f t="shared" si="0"/>
        <v>326</v>
      </c>
      <c r="F40" s="1">
        <f t="shared" si="0"/>
        <v>1.9917400000000001</v>
      </c>
      <c r="G40" s="1">
        <f t="shared" si="0"/>
        <v>360.48</v>
      </c>
      <c r="H40" s="1">
        <f t="shared" si="0"/>
        <v>326</v>
      </c>
      <c r="I40" s="1">
        <f t="shared" si="0"/>
        <v>1.99014</v>
      </c>
      <c r="J40" s="1">
        <f t="shared" ref="J40:P40" si="1">MAX(J5:J36)</f>
        <v>608.88</v>
      </c>
      <c r="K40" s="1">
        <f t="shared" si="1"/>
        <v>674</v>
      </c>
      <c r="L40" s="1">
        <f t="shared" si="1"/>
        <v>1.6011</v>
      </c>
      <c r="M40" s="1">
        <f t="shared" si="1"/>
        <v>522.69000000000005</v>
      </c>
      <c r="N40" s="1">
        <f t="shared" si="1"/>
        <v>936</v>
      </c>
      <c r="O40" s="1">
        <f t="shared" si="1"/>
        <v>1.8153300000000001</v>
      </c>
      <c r="P40" s="1">
        <f t="shared" si="1"/>
        <v>1310.32</v>
      </c>
    </row>
    <row r="41" spans="1:16">
      <c r="A41" t="s">
        <v>17</v>
      </c>
      <c r="B41" s="1">
        <f>MIN(B5:B36)</f>
        <v>500</v>
      </c>
      <c r="C41" s="1">
        <f t="shared" ref="C41:I41" si="2">MIN(C5:C36)</f>
        <v>1.0007299999999999</v>
      </c>
      <c r="D41" s="1">
        <f t="shared" si="2"/>
        <v>116.55</v>
      </c>
      <c r="E41" s="1">
        <f t="shared" si="2"/>
        <v>206</v>
      </c>
      <c r="F41" s="1">
        <f t="shared" si="2"/>
        <v>1.0161800000000001</v>
      </c>
      <c r="G41" s="1">
        <f t="shared" si="2"/>
        <v>285.85000000000002</v>
      </c>
      <c r="H41" s="1">
        <f t="shared" si="2"/>
        <v>202</v>
      </c>
      <c r="I41" s="1">
        <f t="shared" si="2"/>
        <v>1.0005999999999999</v>
      </c>
      <c r="J41" s="1">
        <f t="shared" ref="J41:P41" si="3">MIN(J5:J36)</f>
        <v>335.25</v>
      </c>
      <c r="K41" s="1">
        <f t="shared" si="3"/>
        <v>429</v>
      </c>
      <c r="L41" s="1">
        <f t="shared" si="3"/>
        <v>1.0071099999999999</v>
      </c>
      <c r="M41" s="1">
        <f t="shared" si="3"/>
        <v>391</v>
      </c>
      <c r="N41" s="1">
        <f t="shared" si="3"/>
        <v>307</v>
      </c>
      <c r="O41" s="1">
        <f t="shared" si="3"/>
        <v>1.0028900000000001</v>
      </c>
      <c r="P41" s="1">
        <f t="shared" si="3"/>
        <v>520.35</v>
      </c>
    </row>
    <row r="42" spans="1:16">
      <c r="A42" t="s">
        <v>18</v>
      </c>
      <c r="B42" s="1">
        <f>MEDIAN(B5:B36)</f>
        <v>779</v>
      </c>
      <c r="C42" s="1">
        <f t="shared" ref="C42:I42" si="4">MEDIAN(C5:C36)</f>
        <v>1.015145</v>
      </c>
      <c r="D42" s="1">
        <f t="shared" si="4"/>
        <v>121.89500000000001</v>
      </c>
      <c r="E42" s="1">
        <f t="shared" si="4"/>
        <v>212</v>
      </c>
      <c r="F42" s="1">
        <f t="shared" si="4"/>
        <v>1.6823999999999999</v>
      </c>
      <c r="G42" s="1">
        <f t="shared" si="4"/>
        <v>309.73500000000001</v>
      </c>
      <c r="H42" s="1">
        <f t="shared" si="4"/>
        <v>212</v>
      </c>
      <c r="I42" s="1">
        <f t="shared" si="4"/>
        <v>1.65726</v>
      </c>
      <c r="J42" s="1">
        <f t="shared" ref="J42:P42" si="5">MEDIAN(J5:J36)</f>
        <v>365.48</v>
      </c>
      <c r="K42" s="1">
        <f t="shared" si="5"/>
        <v>537</v>
      </c>
      <c r="L42" s="1">
        <f t="shared" si="5"/>
        <v>1.37035</v>
      </c>
      <c r="M42" s="1">
        <f t="shared" si="5"/>
        <v>421.29499999999996</v>
      </c>
      <c r="N42" s="1">
        <f t="shared" si="5"/>
        <v>700</v>
      </c>
      <c r="O42" s="1">
        <f t="shared" si="5"/>
        <v>1.0141899999999999</v>
      </c>
      <c r="P42" s="1">
        <f t="shared" si="5"/>
        <v>541.78</v>
      </c>
    </row>
    <row r="43" spans="1:16">
      <c r="A43" t="s">
        <v>19</v>
      </c>
      <c r="B43" s="1">
        <f>AVERAGE(B5:B36)</f>
        <v>849.5625</v>
      </c>
      <c r="C43" s="1">
        <f t="shared" ref="C43:I43" si="6">AVERAGE(C5:C36)</f>
        <v>1.0160021875</v>
      </c>
      <c r="D43" s="1">
        <f t="shared" si="6"/>
        <v>129.98156250000002</v>
      </c>
      <c r="E43" s="1">
        <f t="shared" si="6"/>
        <v>239.90625</v>
      </c>
      <c r="F43" s="1">
        <f t="shared" si="6"/>
        <v>1.6832484375000003</v>
      </c>
      <c r="G43" s="1">
        <f t="shared" si="6"/>
        <v>311.83749999999998</v>
      </c>
      <c r="H43" s="1">
        <f t="shared" si="6"/>
        <v>230.90625</v>
      </c>
      <c r="I43" s="1">
        <f t="shared" si="6"/>
        <v>1.4908103125000001</v>
      </c>
      <c r="J43" s="1">
        <f t="shared" ref="J43:P43" si="7">AVERAGE(J5:J36)</f>
        <v>382.56593749999996</v>
      </c>
      <c r="K43" s="1">
        <f t="shared" si="7"/>
        <v>546.59375</v>
      </c>
      <c r="L43" s="1">
        <f t="shared" si="7"/>
        <v>1.3339506249999997</v>
      </c>
      <c r="M43" s="1">
        <f t="shared" si="7"/>
        <v>430.30468750000011</v>
      </c>
      <c r="N43" s="1">
        <f t="shared" si="7"/>
        <v>649.1875</v>
      </c>
      <c r="O43" s="1">
        <f t="shared" si="7"/>
        <v>1.1449978124999998</v>
      </c>
      <c r="P43" s="1">
        <f t="shared" si="7"/>
        <v>587.40656250000006</v>
      </c>
    </row>
    <row r="44" spans="1:16">
      <c r="A44" t="s">
        <v>20</v>
      </c>
      <c r="B44" s="1">
        <f>STDEV(B5:B36)</f>
        <v>191.92100819633262</v>
      </c>
      <c r="C44" s="1">
        <f t="shared" ref="C44:I44" si="8">STDEV(C5:C36)</f>
        <v>7.7138161487432929E-3</v>
      </c>
      <c r="D44" s="1">
        <f t="shared" si="8"/>
        <v>16.795705117173846</v>
      </c>
      <c r="E44" s="1">
        <f t="shared" si="8"/>
        <v>41.547764487045121</v>
      </c>
      <c r="F44" s="1">
        <f t="shared" si="8"/>
        <v>0.26618001730710072</v>
      </c>
      <c r="G44" s="1">
        <f t="shared" si="8"/>
        <v>16.408645046379196</v>
      </c>
      <c r="H44" s="1">
        <f t="shared" si="8"/>
        <v>34.580769758592332</v>
      </c>
      <c r="I44" s="1">
        <f t="shared" si="8"/>
        <v>0.34689594875292007</v>
      </c>
      <c r="J44" s="1">
        <f t="shared" ref="J44:P44" si="9">STDEV(J5:J36)</f>
        <v>51.704951772557074</v>
      </c>
      <c r="K44" s="1">
        <f t="shared" si="9"/>
        <v>75.039713947714645</v>
      </c>
      <c r="L44" s="1">
        <f t="shared" si="9"/>
        <v>0.16741997807209735</v>
      </c>
      <c r="M44" s="1">
        <f t="shared" si="9"/>
        <v>33.747987465383929</v>
      </c>
      <c r="N44" s="1">
        <f t="shared" si="9"/>
        <v>178.09211779120051</v>
      </c>
      <c r="O44" s="1">
        <f t="shared" si="9"/>
        <v>0.24384398771893817</v>
      </c>
      <c r="P44" s="1">
        <f t="shared" si="9"/>
        <v>143.19375334657474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45"/>
  <sheetViews>
    <sheetView topLeftCell="E1" workbookViewId="0">
      <selection activeCell="P4" sqref="P4"/>
    </sheetView>
  </sheetViews>
  <sheetFormatPr baseColWidth="10" defaultRowHeight="16"/>
  <sheetData>
    <row r="1" spans="1:16">
      <c r="A1" t="s">
        <v>0</v>
      </c>
      <c r="B1" t="s">
        <v>12</v>
      </c>
      <c r="C1" t="s">
        <v>2</v>
      </c>
      <c r="D1">
        <v>595856</v>
      </c>
    </row>
    <row r="2" spans="1:16">
      <c r="A2" t="s">
        <v>3</v>
      </c>
      <c r="B2" t="s">
        <v>4</v>
      </c>
    </row>
    <row r="3" spans="1:16">
      <c r="C3" t="s">
        <v>5</v>
      </c>
      <c r="F3" t="s">
        <v>6</v>
      </c>
      <c r="I3" t="s">
        <v>24</v>
      </c>
      <c r="L3" t="s">
        <v>7</v>
      </c>
      <c r="O3" t="s">
        <v>25</v>
      </c>
    </row>
    <row r="4" spans="1:16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10</v>
      </c>
      <c r="K4" t="s">
        <v>8</v>
      </c>
      <c r="L4" t="s">
        <v>9</v>
      </c>
      <c r="M4" t="s">
        <v>11</v>
      </c>
      <c r="N4" t="s">
        <v>8</v>
      </c>
      <c r="O4" t="s">
        <v>9</v>
      </c>
      <c r="P4" t="s">
        <v>11</v>
      </c>
    </row>
    <row r="5" spans="1:16">
      <c r="A5">
        <v>0</v>
      </c>
      <c r="B5">
        <v>2180</v>
      </c>
      <c r="C5">
        <v>1.0000500000000001</v>
      </c>
      <c r="D5">
        <v>3971.73</v>
      </c>
      <c r="E5">
        <v>668</v>
      </c>
      <c r="F5">
        <v>1.6736500000000001</v>
      </c>
      <c r="G5">
        <v>3777.17</v>
      </c>
      <c r="H5">
        <v>668</v>
      </c>
      <c r="I5">
        <v>1.6736500000000001</v>
      </c>
      <c r="J5">
        <v>4660.93</v>
      </c>
      <c r="K5">
        <v>1748</v>
      </c>
      <c r="L5">
        <v>1.2252400000000001</v>
      </c>
      <c r="M5">
        <v>8073.01</v>
      </c>
      <c r="N5">
        <v>2226</v>
      </c>
      <c r="O5">
        <v>1.0015000000000001</v>
      </c>
      <c r="P5">
        <v>9877.59</v>
      </c>
    </row>
    <row r="6" spans="1:16">
      <c r="A6">
        <v>1</v>
      </c>
      <c r="B6">
        <v>3634</v>
      </c>
      <c r="C6">
        <v>1.01152</v>
      </c>
      <c r="D6">
        <v>1546.39</v>
      </c>
      <c r="E6">
        <v>728</v>
      </c>
      <c r="F6">
        <v>1.9964500000000001</v>
      </c>
      <c r="G6">
        <v>4154.53</v>
      </c>
      <c r="H6">
        <v>669</v>
      </c>
      <c r="I6">
        <v>1.0004500000000001</v>
      </c>
      <c r="J6">
        <v>6521.94</v>
      </c>
      <c r="K6">
        <v>2001</v>
      </c>
      <c r="L6">
        <v>1.4418299999999999</v>
      </c>
      <c r="M6">
        <v>6065.71</v>
      </c>
      <c r="N6">
        <v>984</v>
      </c>
      <c r="O6">
        <v>1.5726500000000001</v>
      </c>
      <c r="P6">
        <v>10529.47</v>
      </c>
    </row>
    <row r="7" spans="1:16">
      <c r="A7">
        <v>2</v>
      </c>
      <c r="B7">
        <v>3321</v>
      </c>
      <c r="C7">
        <v>1.0044</v>
      </c>
      <c r="D7">
        <v>1841.36</v>
      </c>
      <c r="E7">
        <v>953</v>
      </c>
      <c r="F7">
        <v>1.9790700000000001</v>
      </c>
      <c r="G7">
        <v>4201.63</v>
      </c>
      <c r="H7">
        <v>730</v>
      </c>
      <c r="I7">
        <v>1.9932300000000001</v>
      </c>
      <c r="J7">
        <v>4305.54</v>
      </c>
      <c r="K7">
        <v>2130</v>
      </c>
      <c r="L7">
        <v>1.3874599999999999</v>
      </c>
      <c r="M7">
        <v>4886.3900000000003</v>
      </c>
      <c r="N7">
        <v>1685</v>
      </c>
      <c r="O7">
        <v>1.3856900000000001</v>
      </c>
      <c r="P7">
        <v>7754.74</v>
      </c>
    </row>
    <row r="8" spans="1:16">
      <c r="A8">
        <v>3</v>
      </c>
      <c r="B8">
        <v>3408</v>
      </c>
      <c r="C8">
        <v>1.0089900000000001</v>
      </c>
      <c r="D8">
        <v>1686.46</v>
      </c>
      <c r="E8">
        <v>672</v>
      </c>
      <c r="F8">
        <v>1.89689</v>
      </c>
      <c r="G8">
        <v>4137.93</v>
      </c>
      <c r="H8">
        <v>669</v>
      </c>
      <c r="I8">
        <v>1.00003</v>
      </c>
      <c r="J8">
        <v>4943.05</v>
      </c>
      <c r="K8">
        <v>1939</v>
      </c>
      <c r="L8">
        <v>1.3845499999999999</v>
      </c>
      <c r="M8">
        <v>5517.01</v>
      </c>
      <c r="N8">
        <v>927</v>
      </c>
      <c r="O8">
        <v>1.49892</v>
      </c>
      <c r="P8">
        <v>8053.46</v>
      </c>
    </row>
    <row r="9" spans="1:16">
      <c r="A9">
        <v>4</v>
      </c>
      <c r="B9">
        <v>2244</v>
      </c>
      <c r="C9">
        <v>1.00709</v>
      </c>
      <c r="D9">
        <v>1377.64</v>
      </c>
      <c r="E9">
        <v>669</v>
      </c>
      <c r="F9">
        <v>1.26566</v>
      </c>
      <c r="G9">
        <v>3772.85</v>
      </c>
      <c r="H9">
        <v>669</v>
      </c>
      <c r="I9">
        <v>1.0002500000000001</v>
      </c>
      <c r="J9">
        <v>4498.6899999999996</v>
      </c>
      <c r="K9">
        <v>1372</v>
      </c>
      <c r="L9">
        <v>1.1133599999999999</v>
      </c>
      <c r="M9">
        <v>5353.59</v>
      </c>
      <c r="N9">
        <v>2242</v>
      </c>
      <c r="O9">
        <v>1.00709</v>
      </c>
      <c r="P9">
        <v>7129.21</v>
      </c>
    </row>
    <row r="10" spans="1:16">
      <c r="A10">
        <v>5</v>
      </c>
      <c r="B10">
        <v>2402</v>
      </c>
      <c r="C10">
        <v>1.0050699999999999</v>
      </c>
      <c r="D10">
        <v>1414.03</v>
      </c>
      <c r="E10">
        <v>669</v>
      </c>
      <c r="F10">
        <v>1.9255800000000001</v>
      </c>
      <c r="G10">
        <v>3712.36</v>
      </c>
      <c r="H10">
        <v>669</v>
      </c>
      <c r="I10">
        <v>1.0004200000000001</v>
      </c>
      <c r="J10">
        <v>4575.45</v>
      </c>
      <c r="K10">
        <v>1151</v>
      </c>
      <c r="L10">
        <v>1.7838099999999999</v>
      </c>
      <c r="M10">
        <v>5154.8599999999997</v>
      </c>
      <c r="N10">
        <v>2400</v>
      </c>
      <c r="O10">
        <v>1.00508</v>
      </c>
      <c r="P10">
        <v>7113.56</v>
      </c>
    </row>
    <row r="11" spans="1:16">
      <c r="A11">
        <v>6</v>
      </c>
      <c r="B11">
        <v>3724</v>
      </c>
      <c r="C11">
        <v>1.0095000000000001</v>
      </c>
      <c r="D11">
        <v>1732.22</v>
      </c>
      <c r="E11">
        <v>669</v>
      </c>
      <c r="F11">
        <v>1.99691</v>
      </c>
      <c r="G11">
        <v>4969.6899999999996</v>
      </c>
      <c r="H11">
        <v>669</v>
      </c>
      <c r="I11">
        <v>1.5828800000000001</v>
      </c>
      <c r="J11">
        <v>4720.2</v>
      </c>
      <c r="K11">
        <v>1948</v>
      </c>
      <c r="L11">
        <v>1.35378</v>
      </c>
      <c r="M11">
        <v>5241.9399999999996</v>
      </c>
      <c r="N11">
        <v>797</v>
      </c>
      <c r="O11">
        <v>1.66734</v>
      </c>
      <c r="P11">
        <v>7849.76</v>
      </c>
    </row>
    <row r="12" spans="1:16">
      <c r="A12">
        <v>7</v>
      </c>
      <c r="B12">
        <v>2208</v>
      </c>
      <c r="C12">
        <v>1.00709</v>
      </c>
      <c r="D12">
        <v>1647.02</v>
      </c>
      <c r="E12">
        <v>669</v>
      </c>
      <c r="F12">
        <v>1.6656599999999999</v>
      </c>
      <c r="G12">
        <v>3601.36</v>
      </c>
      <c r="H12">
        <v>669</v>
      </c>
      <c r="I12">
        <v>1</v>
      </c>
      <c r="J12">
        <v>4494.04</v>
      </c>
      <c r="K12">
        <v>1504</v>
      </c>
      <c r="L12">
        <v>1.4015</v>
      </c>
      <c r="M12">
        <v>6176.99</v>
      </c>
      <c r="N12">
        <v>2226</v>
      </c>
      <c r="O12">
        <v>1.0015000000000001</v>
      </c>
      <c r="P12">
        <v>8778.44</v>
      </c>
    </row>
    <row r="13" spans="1:16">
      <c r="A13">
        <v>8</v>
      </c>
      <c r="B13">
        <v>2576</v>
      </c>
      <c r="C13">
        <v>1.00183</v>
      </c>
      <c r="D13">
        <v>1547.03</v>
      </c>
      <c r="E13">
        <v>729</v>
      </c>
      <c r="F13">
        <v>1.99566</v>
      </c>
      <c r="G13">
        <v>3894.88</v>
      </c>
      <c r="H13">
        <v>730</v>
      </c>
      <c r="I13">
        <v>1.98912</v>
      </c>
      <c r="J13">
        <v>4875.5600000000004</v>
      </c>
      <c r="K13">
        <v>1768</v>
      </c>
      <c r="L13">
        <v>1.4357200000000001</v>
      </c>
      <c r="M13">
        <v>5865.38</v>
      </c>
      <c r="N13">
        <v>2572</v>
      </c>
      <c r="O13">
        <v>1.0018400000000001</v>
      </c>
      <c r="P13">
        <v>6977.02</v>
      </c>
    </row>
    <row r="14" spans="1:16">
      <c r="A14">
        <v>9</v>
      </c>
      <c r="B14">
        <v>2833</v>
      </c>
      <c r="C14">
        <v>1.00834</v>
      </c>
      <c r="D14">
        <v>1754.82</v>
      </c>
      <c r="E14">
        <v>669</v>
      </c>
      <c r="F14">
        <v>1.9967200000000001</v>
      </c>
      <c r="G14">
        <v>3821.05</v>
      </c>
      <c r="H14">
        <v>669</v>
      </c>
      <c r="I14">
        <v>1.33002</v>
      </c>
      <c r="J14">
        <v>4685.67</v>
      </c>
      <c r="K14">
        <v>1950</v>
      </c>
      <c r="L14">
        <v>1.3595999999999999</v>
      </c>
      <c r="M14">
        <v>5513.12</v>
      </c>
      <c r="N14">
        <v>2829</v>
      </c>
      <c r="O14">
        <v>1.0083599999999999</v>
      </c>
      <c r="P14">
        <v>7040.07</v>
      </c>
    </row>
    <row r="15" spans="1:16">
      <c r="A15">
        <v>10</v>
      </c>
      <c r="B15">
        <v>4004</v>
      </c>
      <c r="C15">
        <v>1.00865</v>
      </c>
      <c r="D15">
        <v>1562.65</v>
      </c>
      <c r="E15">
        <v>1001</v>
      </c>
      <c r="F15">
        <v>1.20827</v>
      </c>
      <c r="G15">
        <v>3893.5</v>
      </c>
      <c r="H15">
        <v>669</v>
      </c>
      <c r="I15">
        <v>1.7310300000000001</v>
      </c>
      <c r="J15">
        <v>5146.25</v>
      </c>
      <c r="K15">
        <v>2097</v>
      </c>
      <c r="L15">
        <v>1.10375</v>
      </c>
      <c r="M15">
        <v>5715.35</v>
      </c>
      <c r="N15">
        <v>1337</v>
      </c>
      <c r="O15">
        <v>1.56789</v>
      </c>
      <c r="P15">
        <v>8389.98</v>
      </c>
    </row>
    <row r="16" spans="1:16">
      <c r="A16">
        <v>11</v>
      </c>
      <c r="B16">
        <v>4000</v>
      </c>
      <c r="C16">
        <v>1.00271</v>
      </c>
      <c r="D16">
        <v>1579.73</v>
      </c>
      <c r="E16">
        <v>980</v>
      </c>
      <c r="F16">
        <v>1.33507</v>
      </c>
      <c r="G16">
        <v>3961.51</v>
      </c>
      <c r="H16">
        <v>669</v>
      </c>
      <c r="I16">
        <v>1.4952000000000001</v>
      </c>
      <c r="J16">
        <v>4986.75</v>
      </c>
      <c r="K16">
        <v>2085</v>
      </c>
      <c r="L16">
        <v>1.0026999999999999</v>
      </c>
      <c r="M16">
        <v>5797.32</v>
      </c>
      <c r="N16">
        <v>1321</v>
      </c>
      <c r="O16">
        <v>1.7494799999999999</v>
      </c>
      <c r="P16">
        <v>8230.86</v>
      </c>
    </row>
    <row r="17" spans="1:16">
      <c r="A17">
        <v>12</v>
      </c>
      <c r="B17">
        <v>3634</v>
      </c>
      <c r="C17">
        <v>1.01152</v>
      </c>
      <c r="D17">
        <v>1542.86</v>
      </c>
      <c r="E17">
        <v>970</v>
      </c>
      <c r="F17">
        <v>1.66387</v>
      </c>
      <c r="G17">
        <v>3764.29</v>
      </c>
      <c r="H17">
        <v>806</v>
      </c>
      <c r="I17">
        <v>1.9920199999999999</v>
      </c>
      <c r="J17">
        <v>4577.68</v>
      </c>
      <c r="K17">
        <v>2128</v>
      </c>
      <c r="L17">
        <v>1.16303</v>
      </c>
      <c r="M17">
        <v>5553.99</v>
      </c>
      <c r="N17">
        <v>1072</v>
      </c>
      <c r="O17">
        <v>1.90757</v>
      </c>
      <c r="P17">
        <v>7876.31</v>
      </c>
    </row>
    <row r="18" spans="1:16">
      <c r="A18">
        <v>13</v>
      </c>
      <c r="B18">
        <v>3336</v>
      </c>
      <c r="C18">
        <v>1.0084900000000001</v>
      </c>
      <c r="D18">
        <v>1686.55</v>
      </c>
      <c r="E18">
        <v>964</v>
      </c>
      <c r="F18">
        <v>1.0190699999999999</v>
      </c>
      <c r="G18">
        <v>4086.3</v>
      </c>
      <c r="H18">
        <v>687</v>
      </c>
      <c r="I18">
        <v>1.9957800000000001</v>
      </c>
      <c r="J18">
        <v>5274.96</v>
      </c>
      <c r="K18">
        <v>2073</v>
      </c>
      <c r="L18">
        <v>1.05162</v>
      </c>
      <c r="M18">
        <v>5573.21</v>
      </c>
      <c r="N18">
        <v>1303</v>
      </c>
      <c r="O18">
        <v>1.3240400000000001</v>
      </c>
      <c r="P18">
        <v>8588.4</v>
      </c>
    </row>
    <row r="19" spans="1:16">
      <c r="A19">
        <v>14</v>
      </c>
      <c r="B19">
        <v>2214</v>
      </c>
      <c r="C19">
        <v>1.00116</v>
      </c>
      <c r="D19">
        <v>1612.88</v>
      </c>
      <c r="E19">
        <v>668</v>
      </c>
      <c r="F19">
        <v>1.6736500000000001</v>
      </c>
      <c r="G19">
        <v>3924.4</v>
      </c>
      <c r="H19">
        <v>668</v>
      </c>
      <c r="I19">
        <v>1.6736500000000001</v>
      </c>
      <c r="J19">
        <v>4710.8</v>
      </c>
      <c r="K19">
        <v>1732</v>
      </c>
      <c r="L19">
        <v>1.21069</v>
      </c>
      <c r="M19">
        <v>5641.4</v>
      </c>
      <c r="N19">
        <v>2226</v>
      </c>
      <c r="O19">
        <v>1.0015000000000001</v>
      </c>
      <c r="P19">
        <v>6949.25</v>
      </c>
    </row>
    <row r="20" spans="1:16">
      <c r="A20">
        <v>15</v>
      </c>
      <c r="B20">
        <v>2396</v>
      </c>
      <c r="C20">
        <v>1.0070399999999999</v>
      </c>
      <c r="D20">
        <v>1569.54</v>
      </c>
      <c r="E20">
        <v>702</v>
      </c>
      <c r="F20">
        <v>1.54149</v>
      </c>
      <c r="G20">
        <v>3908.98</v>
      </c>
      <c r="H20">
        <v>702</v>
      </c>
      <c r="I20">
        <v>1.5346</v>
      </c>
      <c r="J20">
        <v>4647.4799999999996</v>
      </c>
      <c r="K20">
        <v>1068</v>
      </c>
      <c r="L20">
        <v>1.48966</v>
      </c>
      <c r="M20">
        <v>5228.6499999999996</v>
      </c>
      <c r="N20">
        <v>2394</v>
      </c>
      <c r="O20">
        <v>1.0070300000000001</v>
      </c>
      <c r="P20">
        <v>7073.61</v>
      </c>
    </row>
    <row r="21" spans="1:16">
      <c r="A21">
        <v>16</v>
      </c>
      <c r="B21">
        <v>2194</v>
      </c>
      <c r="C21">
        <v>1.0050399999999999</v>
      </c>
      <c r="D21">
        <v>1586.3</v>
      </c>
      <c r="E21">
        <v>668</v>
      </c>
      <c r="F21">
        <v>1.6736500000000001</v>
      </c>
      <c r="G21">
        <v>3758.62</v>
      </c>
      <c r="H21">
        <v>668</v>
      </c>
      <c r="I21">
        <v>1.6736500000000001</v>
      </c>
      <c r="J21">
        <v>4554.17</v>
      </c>
      <c r="K21">
        <v>1517</v>
      </c>
      <c r="L21">
        <v>1.41299</v>
      </c>
      <c r="M21">
        <v>5482.46</v>
      </c>
      <c r="N21">
        <v>2226</v>
      </c>
      <c r="O21">
        <v>1.0015000000000001</v>
      </c>
      <c r="P21">
        <v>7006.27</v>
      </c>
    </row>
    <row r="22" spans="1:16">
      <c r="A22">
        <v>17</v>
      </c>
      <c r="B22">
        <v>2804</v>
      </c>
      <c r="C22">
        <v>1.00021</v>
      </c>
      <c r="D22">
        <v>1713.24</v>
      </c>
      <c r="E22">
        <v>909</v>
      </c>
      <c r="F22">
        <v>1.0325800000000001</v>
      </c>
      <c r="G22">
        <v>3923.72</v>
      </c>
      <c r="H22">
        <v>804</v>
      </c>
      <c r="I22">
        <v>1.9940500000000001</v>
      </c>
      <c r="J22">
        <v>4405.04</v>
      </c>
      <c r="K22">
        <v>1857</v>
      </c>
      <c r="L22">
        <v>1.02569</v>
      </c>
      <c r="M22">
        <v>5766.68</v>
      </c>
      <c r="N22">
        <v>2800</v>
      </c>
      <c r="O22">
        <v>1.0002200000000001</v>
      </c>
      <c r="P22">
        <v>7351.18</v>
      </c>
    </row>
    <row r="23" spans="1:16">
      <c r="A23">
        <v>18</v>
      </c>
      <c r="B23">
        <v>2654</v>
      </c>
      <c r="C23">
        <v>1.00678</v>
      </c>
      <c r="D23">
        <v>1583.97</v>
      </c>
      <c r="E23">
        <v>893</v>
      </c>
      <c r="F23">
        <v>1.6335</v>
      </c>
      <c r="G23">
        <v>3810.56</v>
      </c>
      <c r="H23">
        <v>659</v>
      </c>
      <c r="I23">
        <v>1.7513000000000001</v>
      </c>
      <c r="J23">
        <v>5124.7</v>
      </c>
      <c r="K23">
        <v>1935</v>
      </c>
      <c r="L23">
        <v>1.1247799999999999</v>
      </c>
      <c r="M23">
        <v>5707.93</v>
      </c>
      <c r="N23">
        <v>2650</v>
      </c>
      <c r="O23">
        <v>1.0067699999999999</v>
      </c>
      <c r="P23">
        <v>7057.89</v>
      </c>
    </row>
    <row r="24" spans="1:16">
      <c r="A24">
        <v>19</v>
      </c>
      <c r="B24">
        <v>2426</v>
      </c>
      <c r="C24">
        <v>1.00803</v>
      </c>
      <c r="D24">
        <v>1598.96</v>
      </c>
      <c r="E24">
        <v>1040</v>
      </c>
      <c r="F24">
        <v>1.0045599999999999</v>
      </c>
      <c r="G24">
        <v>4064.23</v>
      </c>
      <c r="H24">
        <v>1039</v>
      </c>
      <c r="I24">
        <v>1.0001100000000001</v>
      </c>
      <c r="J24">
        <v>4813.05</v>
      </c>
      <c r="K24">
        <v>2131</v>
      </c>
      <c r="L24">
        <v>1.0414099999999999</v>
      </c>
      <c r="M24">
        <v>5955.62</v>
      </c>
      <c r="N24">
        <v>2375</v>
      </c>
      <c r="O24">
        <v>1.00715</v>
      </c>
      <c r="P24">
        <v>7247.88</v>
      </c>
    </row>
    <row r="25" spans="1:16">
      <c r="A25">
        <v>20</v>
      </c>
      <c r="B25">
        <v>2246</v>
      </c>
      <c r="C25">
        <v>1.00604</v>
      </c>
      <c r="D25">
        <v>1625.42</v>
      </c>
      <c r="E25">
        <v>668</v>
      </c>
      <c r="F25">
        <v>1.6736500000000001</v>
      </c>
      <c r="G25">
        <v>3957.18</v>
      </c>
      <c r="H25">
        <v>668</v>
      </c>
      <c r="I25">
        <v>1.6736500000000001</v>
      </c>
      <c r="J25">
        <v>4657.91</v>
      </c>
      <c r="K25">
        <v>1979</v>
      </c>
      <c r="L25">
        <v>1.04735</v>
      </c>
      <c r="M25">
        <v>5643.84</v>
      </c>
      <c r="N25">
        <v>2226</v>
      </c>
      <c r="O25">
        <v>1.0015000000000001</v>
      </c>
      <c r="P25">
        <v>7074.36</v>
      </c>
    </row>
    <row r="26" spans="1:16">
      <c r="A26">
        <v>21</v>
      </c>
      <c r="B26">
        <v>2295</v>
      </c>
      <c r="C26">
        <v>1.00379</v>
      </c>
      <c r="D26">
        <v>2582.2399999999998</v>
      </c>
      <c r="E26">
        <v>669</v>
      </c>
      <c r="F26">
        <v>1.6656599999999999</v>
      </c>
      <c r="G26">
        <v>4091.97</v>
      </c>
      <c r="H26">
        <v>669</v>
      </c>
      <c r="I26">
        <v>1.41025</v>
      </c>
      <c r="J26">
        <v>5028.47</v>
      </c>
      <c r="K26">
        <v>2029</v>
      </c>
      <c r="L26">
        <v>1.1251899999999999</v>
      </c>
      <c r="M26">
        <v>5805.41</v>
      </c>
      <c r="N26">
        <v>2226</v>
      </c>
      <c r="O26">
        <v>1.0015000000000001</v>
      </c>
      <c r="P26">
        <v>7385.94</v>
      </c>
    </row>
    <row r="27" spans="1:16">
      <c r="A27">
        <v>22</v>
      </c>
      <c r="B27">
        <v>2428</v>
      </c>
      <c r="C27">
        <v>1.0061199999999999</v>
      </c>
      <c r="D27">
        <v>1850.93</v>
      </c>
      <c r="E27">
        <v>749</v>
      </c>
      <c r="F27">
        <v>1.2263500000000001</v>
      </c>
      <c r="G27">
        <v>4204.3900000000003</v>
      </c>
      <c r="H27">
        <v>748</v>
      </c>
      <c r="I27">
        <v>1.2188300000000001</v>
      </c>
      <c r="J27">
        <v>4919.82</v>
      </c>
      <c r="K27">
        <v>1185</v>
      </c>
      <c r="L27">
        <v>1.15785</v>
      </c>
      <c r="M27">
        <v>5895.55</v>
      </c>
      <c r="N27">
        <v>2426</v>
      </c>
      <c r="O27">
        <v>1.0061199999999999</v>
      </c>
      <c r="P27">
        <v>7343.52</v>
      </c>
    </row>
    <row r="28" spans="1:16">
      <c r="A28">
        <v>23</v>
      </c>
      <c r="B28">
        <v>3353</v>
      </c>
      <c r="C28">
        <v>1.00465</v>
      </c>
      <c r="D28">
        <v>1689.31</v>
      </c>
      <c r="E28">
        <v>1038</v>
      </c>
      <c r="F28">
        <v>1.20248</v>
      </c>
      <c r="G28">
        <v>4116.29</v>
      </c>
      <c r="H28">
        <v>849</v>
      </c>
      <c r="I28">
        <v>1.9922500000000001</v>
      </c>
      <c r="J28">
        <v>5564.78</v>
      </c>
      <c r="K28">
        <v>2052</v>
      </c>
      <c r="L28">
        <v>1.07094</v>
      </c>
      <c r="M28">
        <v>7489.94</v>
      </c>
      <c r="N28">
        <v>2762</v>
      </c>
      <c r="O28">
        <v>1.0064599999999999</v>
      </c>
      <c r="P28">
        <v>7356.89</v>
      </c>
    </row>
    <row r="29" spans="1:16">
      <c r="A29">
        <v>24</v>
      </c>
      <c r="B29">
        <v>2588</v>
      </c>
      <c r="C29">
        <v>1.0018499999999999</v>
      </c>
      <c r="D29">
        <v>1571.86</v>
      </c>
      <c r="E29">
        <v>669</v>
      </c>
      <c r="F29">
        <v>1.9979899999999999</v>
      </c>
      <c r="G29">
        <v>3671.19</v>
      </c>
      <c r="H29">
        <v>669</v>
      </c>
      <c r="I29">
        <v>1.1025100000000001</v>
      </c>
      <c r="J29">
        <v>4870.2</v>
      </c>
      <c r="K29">
        <v>1716</v>
      </c>
      <c r="L29">
        <v>1.4470400000000001</v>
      </c>
      <c r="M29">
        <v>5634.59</v>
      </c>
      <c r="N29">
        <v>2584</v>
      </c>
      <c r="O29">
        <v>1.00187</v>
      </c>
      <c r="P29">
        <v>7019.64</v>
      </c>
    </row>
    <row r="30" spans="1:16">
      <c r="A30">
        <v>25</v>
      </c>
      <c r="B30">
        <v>2732</v>
      </c>
      <c r="C30">
        <v>1.00675</v>
      </c>
      <c r="D30">
        <v>1562.69</v>
      </c>
      <c r="E30">
        <v>669</v>
      </c>
      <c r="F30">
        <v>1.9968900000000001</v>
      </c>
      <c r="G30">
        <v>3774.83</v>
      </c>
      <c r="H30">
        <v>669</v>
      </c>
      <c r="I30">
        <v>1.09982</v>
      </c>
      <c r="J30">
        <v>4718.45</v>
      </c>
      <c r="K30">
        <v>1859</v>
      </c>
      <c r="L30">
        <v>1.2925899999999999</v>
      </c>
      <c r="M30">
        <v>5457.8</v>
      </c>
      <c r="N30">
        <v>2728</v>
      </c>
      <c r="O30">
        <v>1.0067600000000001</v>
      </c>
      <c r="P30">
        <v>7045.24</v>
      </c>
    </row>
    <row r="31" spans="1:16">
      <c r="A31">
        <v>26</v>
      </c>
      <c r="B31">
        <v>2724</v>
      </c>
      <c r="C31">
        <v>1.00631</v>
      </c>
      <c r="D31">
        <v>1554.75</v>
      </c>
      <c r="E31">
        <v>906</v>
      </c>
      <c r="F31">
        <v>1.99464</v>
      </c>
      <c r="G31">
        <v>3688.97</v>
      </c>
      <c r="H31">
        <v>906</v>
      </c>
      <c r="I31">
        <v>1.99464</v>
      </c>
      <c r="J31">
        <v>4426.8100000000004</v>
      </c>
      <c r="K31">
        <v>2103</v>
      </c>
      <c r="L31">
        <v>1.33938</v>
      </c>
      <c r="M31">
        <v>5304.75</v>
      </c>
      <c r="N31">
        <v>2448</v>
      </c>
      <c r="O31">
        <v>1.00692</v>
      </c>
      <c r="P31">
        <v>6954.6</v>
      </c>
    </row>
    <row r="32" spans="1:16">
      <c r="A32">
        <v>27</v>
      </c>
      <c r="B32">
        <v>2839</v>
      </c>
      <c r="C32">
        <v>1.00126</v>
      </c>
      <c r="D32">
        <v>1525.74</v>
      </c>
      <c r="E32">
        <v>652</v>
      </c>
      <c r="F32">
        <v>1.99607</v>
      </c>
      <c r="G32">
        <v>3656.02</v>
      </c>
      <c r="H32">
        <v>652</v>
      </c>
      <c r="I32">
        <v>1.81071</v>
      </c>
      <c r="J32">
        <v>4395.51</v>
      </c>
      <c r="K32">
        <v>1927</v>
      </c>
      <c r="L32">
        <v>1.3532</v>
      </c>
      <c r="M32">
        <v>5331.1</v>
      </c>
      <c r="N32">
        <v>2835</v>
      </c>
      <c r="O32">
        <v>1.00125</v>
      </c>
      <c r="P32">
        <v>7060.6</v>
      </c>
    </row>
    <row r="33" spans="1:16">
      <c r="A33">
        <v>28</v>
      </c>
      <c r="B33">
        <v>2990</v>
      </c>
      <c r="C33">
        <v>1.00143</v>
      </c>
      <c r="D33">
        <v>1567.67</v>
      </c>
      <c r="E33">
        <v>669</v>
      </c>
      <c r="F33">
        <v>1.99749</v>
      </c>
      <c r="G33">
        <v>3743.28</v>
      </c>
      <c r="H33">
        <v>669</v>
      </c>
      <c r="I33">
        <v>1.3430899999999999</v>
      </c>
      <c r="J33">
        <v>4682.74</v>
      </c>
      <c r="K33">
        <v>1871</v>
      </c>
      <c r="L33">
        <v>1.2737000000000001</v>
      </c>
      <c r="M33">
        <v>5577.86</v>
      </c>
      <c r="N33">
        <v>2986</v>
      </c>
      <c r="O33">
        <v>1.0014400000000001</v>
      </c>
      <c r="P33">
        <v>6952.11</v>
      </c>
    </row>
    <row r="34" spans="1:16">
      <c r="A34">
        <v>29</v>
      </c>
      <c r="B34">
        <v>2141</v>
      </c>
      <c r="C34">
        <v>1.0051300000000001</v>
      </c>
      <c r="D34">
        <v>1548.21</v>
      </c>
      <c r="E34">
        <v>669</v>
      </c>
      <c r="F34">
        <v>1.6656599999999999</v>
      </c>
      <c r="G34">
        <v>3866.31</v>
      </c>
      <c r="H34">
        <v>669</v>
      </c>
      <c r="I34">
        <v>1</v>
      </c>
      <c r="J34">
        <v>4823.47</v>
      </c>
      <c r="K34">
        <v>1842</v>
      </c>
      <c r="L34">
        <v>1.14202</v>
      </c>
      <c r="M34">
        <v>5650.99</v>
      </c>
      <c r="N34">
        <v>2226</v>
      </c>
      <c r="O34">
        <v>1.0015000000000001</v>
      </c>
      <c r="P34">
        <v>7106.06</v>
      </c>
    </row>
    <row r="35" spans="1:16">
      <c r="A35">
        <v>30</v>
      </c>
      <c r="B35">
        <v>2416</v>
      </c>
      <c r="C35">
        <v>1.00149</v>
      </c>
      <c r="D35">
        <v>1600.11</v>
      </c>
      <c r="E35">
        <v>669</v>
      </c>
      <c r="F35">
        <v>1.6656599999999999</v>
      </c>
      <c r="G35">
        <v>3746.47</v>
      </c>
      <c r="H35">
        <v>669</v>
      </c>
      <c r="I35">
        <v>1</v>
      </c>
      <c r="J35">
        <v>4760.05</v>
      </c>
      <c r="K35">
        <v>1575</v>
      </c>
      <c r="L35">
        <v>1.33847</v>
      </c>
      <c r="M35">
        <v>5433.26</v>
      </c>
      <c r="N35">
        <v>2226</v>
      </c>
      <c r="O35">
        <v>1.0015000000000001</v>
      </c>
      <c r="P35">
        <v>7134.29</v>
      </c>
    </row>
    <row r="36" spans="1:16">
      <c r="A36">
        <v>31</v>
      </c>
      <c r="B36">
        <v>3096</v>
      </c>
      <c r="C36">
        <v>1.0102</v>
      </c>
      <c r="D36">
        <v>1609.71</v>
      </c>
      <c r="E36">
        <v>718</v>
      </c>
      <c r="F36">
        <v>1.9954499999999999</v>
      </c>
      <c r="G36">
        <v>3724.11</v>
      </c>
      <c r="H36">
        <v>718</v>
      </c>
      <c r="I36">
        <v>1.9954499999999999</v>
      </c>
      <c r="J36">
        <v>4538.07</v>
      </c>
      <c r="K36">
        <v>1978</v>
      </c>
      <c r="L36">
        <v>1.50847</v>
      </c>
      <c r="M36">
        <v>5638.17</v>
      </c>
      <c r="N36">
        <v>915</v>
      </c>
      <c r="O36">
        <v>1.5975900000000001</v>
      </c>
      <c r="P36">
        <v>7994.38</v>
      </c>
    </row>
    <row r="38" spans="1:16">
      <c r="C38" t="s">
        <v>5</v>
      </c>
      <c r="F38" t="s">
        <v>6</v>
      </c>
      <c r="I38" t="s">
        <v>24</v>
      </c>
      <c r="L38" t="s">
        <v>7</v>
      </c>
      <c r="O38" t="s">
        <v>25</v>
      </c>
    </row>
    <row r="39" spans="1:16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10</v>
      </c>
      <c r="K39" t="s">
        <v>8</v>
      </c>
      <c r="L39" t="s">
        <v>9</v>
      </c>
      <c r="M39" t="s">
        <v>11</v>
      </c>
      <c r="N39" t="s">
        <v>8</v>
      </c>
      <c r="O39" t="s">
        <v>9</v>
      </c>
      <c r="P39" t="s">
        <v>11</v>
      </c>
    </row>
    <row r="40" spans="1:16">
      <c r="A40" t="s">
        <v>16</v>
      </c>
      <c r="B40" s="1">
        <f>MAX(B5:B36)</f>
        <v>4004</v>
      </c>
      <c r="C40" s="1">
        <f t="shared" ref="C40:P40" si="0">MAX(C5:C36)</f>
        <v>1.01152</v>
      </c>
      <c r="D40" s="1">
        <f t="shared" si="0"/>
        <v>3971.73</v>
      </c>
      <c r="E40" s="1">
        <f t="shared" si="0"/>
        <v>1040</v>
      </c>
      <c r="F40" s="1">
        <f t="shared" si="0"/>
        <v>1.9979899999999999</v>
      </c>
      <c r="G40" s="1">
        <f t="shared" si="0"/>
        <v>4969.6899999999996</v>
      </c>
      <c r="H40" s="1">
        <f t="shared" si="0"/>
        <v>1039</v>
      </c>
      <c r="I40" s="1">
        <f t="shared" si="0"/>
        <v>1.9957800000000001</v>
      </c>
      <c r="J40" s="1">
        <f t="shared" si="0"/>
        <v>6521.94</v>
      </c>
      <c r="K40" s="1">
        <f t="shared" si="0"/>
        <v>2131</v>
      </c>
      <c r="L40" s="1">
        <f t="shared" si="0"/>
        <v>1.7838099999999999</v>
      </c>
      <c r="M40" s="1">
        <f t="shared" si="0"/>
        <v>8073.01</v>
      </c>
      <c r="N40" s="1">
        <f t="shared" si="0"/>
        <v>2986</v>
      </c>
      <c r="O40" s="1">
        <f t="shared" si="0"/>
        <v>1.90757</v>
      </c>
      <c r="P40" s="1">
        <f t="shared" si="0"/>
        <v>10529.47</v>
      </c>
    </row>
    <row r="41" spans="1:16">
      <c r="A41" t="s">
        <v>17</v>
      </c>
      <c r="B41" s="1">
        <f>MIN(B5:B36)</f>
        <v>2141</v>
      </c>
      <c r="C41" s="1">
        <f t="shared" ref="C41:P41" si="1">MIN(C5:C36)</f>
        <v>1.0000500000000001</v>
      </c>
      <c r="D41" s="1">
        <f t="shared" si="1"/>
        <v>1377.64</v>
      </c>
      <c r="E41" s="1">
        <f t="shared" si="1"/>
        <v>652</v>
      </c>
      <c r="F41" s="1">
        <f t="shared" si="1"/>
        <v>1.0045599999999999</v>
      </c>
      <c r="G41" s="1">
        <f t="shared" si="1"/>
        <v>3601.36</v>
      </c>
      <c r="H41" s="1">
        <f t="shared" si="1"/>
        <v>652</v>
      </c>
      <c r="I41" s="1">
        <f t="shared" si="1"/>
        <v>1</v>
      </c>
      <c r="J41" s="1">
        <f t="shared" si="1"/>
        <v>4305.54</v>
      </c>
      <c r="K41" s="1">
        <f t="shared" si="1"/>
        <v>1068</v>
      </c>
      <c r="L41" s="1">
        <f t="shared" si="1"/>
        <v>1.0026999999999999</v>
      </c>
      <c r="M41" s="1">
        <f t="shared" si="1"/>
        <v>4886.3900000000003</v>
      </c>
      <c r="N41" s="1">
        <f t="shared" si="1"/>
        <v>797</v>
      </c>
      <c r="O41" s="1">
        <f t="shared" si="1"/>
        <v>1.0002200000000001</v>
      </c>
      <c r="P41" s="1">
        <f t="shared" si="1"/>
        <v>6949.25</v>
      </c>
    </row>
    <row r="42" spans="1:16">
      <c r="A42" t="s">
        <v>18</v>
      </c>
      <c r="B42" s="1">
        <f>MEDIAN(B5:B36)</f>
        <v>2689</v>
      </c>
      <c r="C42" s="1">
        <f t="shared" ref="C42:P42" si="2">MEDIAN(C5:C36)</f>
        <v>1.0060799999999999</v>
      </c>
      <c r="D42" s="1">
        <f t="shared" si="2"/>
        <v>1592.63</v>
      </c>
      <c r="E42" s="1">
        <f t="shared" si="2"/>
        <v>670.5</v>
      </c>
      <c r="F42" s="1">
        <f t="shared" si="2"/>
        <v>1.6736500000000001</v>
      </c>
      <c r="G42" s="1">
        <f t="shared" si="2"/>
        <v>3879.9049999999997</v>
      </c>
      <c r="H42" s="1">
        <f t="shared" si="2"/>
        <v>669</v>
      </c>
      <c r="I42" s="1">
        <f t="shared" si="2"/>
        <v>1.55874</v>
      </c>
      <c r="J42" s="1">
        <f t="shared" si="2"/>
        <v>4714.625</v>
      </c>
      <c r="K42" s="1">
        <f t="shared" si="2"/>
        <v>1931</v>
      </c>
      <c r="L42" s="1">
        <f t="shared" si="2"/>
        <v>1.283145</v>
      </c>
      <c r="M42" s="1">
        <f t="shared" si="2"/>
        <v>5636.38</v>
      </c>
      <c r="N42" s="1">
        <f t="shared" si="2"/>
        <v>2226</v>
      </c>
      <c r="O42" s="1">
        <f t="shared" si="2"/>
        <v>1.00661</v>
      </c>
      <c r="P42" s="1">
        <f t="shared" si="2"/>
        <v>7191.085</v>
      </c>
    </row>
    <row r="43" spans="1:16">
      <c r="A43" t="s">
        <v>19</v>
      </c>
      <c r="B43" s="1">
        <f>AVERAGE(B5:B36)</f>
        <v>2813.75</v>
      </c>
      <c r="C43" s="1">
        <f t="shared" ref="C43:P43" si="3">AVERAGE(C5:C36)</f>
        <v>1.0055790625000001</v>
      </c>
      <c r="D43" s="1">
        <f t="shared" si="3"/>
        <v>1713.8756249999997</v>
      </c>
      <c r="E43" s="1">
        <f t="shared" si="3"/>
        <v>769.84375</v>
      </c>
      <c r="F43" s="1">
        <f t="shared" si="3"/>
        <v>1.6642484375</v>
      </c>
      <c r="G43" s="1">
        <f t="shared" si="3"/>
        <v>3918.1428125000002</v>
      </c>
      <c r="H43" s="1">
        <f t="shared" si="3"/>
        <v>710.53125</v>
      </c>
      <c r="I43" s="1">
        <f t="shared" si="3"/>
        <v>1.5016449999999997</v>
      </c>
      <c r="J43" s="1">
        <f t="shared" si="3"/>
        <v>4809.6321874999994</v>
      </c>
      <c r="K43" s="1">
        <f t="shared" si="3"/>
        <v>1820.3125</v>
      </c>
      <c r="L43" s="1">
        <f t="shared" si="3"/>
        <v>1.2690428125000002</v>
      </c>
      <c r="M43" s="1">
        <f t="shared" si="3"/>
        <v>5722.9334374999989</v>
      </c>
      <c r="N43" s="1">
        <f t="shared" si="3"/>
        <v>2099.375</v>
      </c>
      <c r="O43" s="1">
        <f t="shared" si="3"/>
        <v>1.1674228124999999</v>
      </c>
      <c r="P43" s="1">
        <f t="shared" si="3"/>
        <v>7603.2056250000005</v>
      </c>
    </row>
    <row r="44" spans="1:16">
      <c r="A44" t="s">
        <v>20</v>
      </c>
      <c r="B44" s="1">
        <f>STDEV(B5:B36)</f>
        <v>571.19094598408469</v>
      </c>
      <c r="C44" s="1">
        <f t="shared" ref="C44:P44" si="4">STDEV(C5:C36)</f>
        <v>3.28707670830638E-3</v>
      </c>
      <c r="D44" s="1">
        <f t="shared" si="4"/>
        <v>457.41613041883301</v>
      </c>
      <c r="E44" s="1">
        <f t="shared" si="4"/>
        <v>138.52031628679435</v>
      </c>
      <c r="F44" s="1">
        <f t="shared" si="4"/>
        <v>0.33466026744619282</v>
      </c>
      <c r="G44" s="1">
        <f t="shared" si="4"/>
        <v>257.34251500154136</v>
      </c>
      <c r="H44" s="1">
        <f t="shared" si="4"/>
        <v>85.224176629980207</v>
      </c>
      <c r="I44" s="1">
        <f t="shared" si="4"/>
        <v>0.39128103119649854</v>
      </c>
      <c r="J44" s="1">
        <f t="shared" si="4"/>
        <v>415.8161567617264</v>
      </c>
      <c r="K44" s="1">
        <f t="shared" si="4"/>
        <v>296.89092571884635</v>
      </c>
      <c r="L44" s="1">
        <f t="shared" si="4"/>
        <v>0.18090326925547212</v>
      </c>
      <c r="M44" s="1">
        <f t="shared" si="4"/>
        <v>607.85557697697357</v>
      </c>
      <c r="N44" s="1">
        <f t="shared" si="4"/>
        <v>656.04084992795504</v>
      </c>
      <c r="O44" s="1">
        <f t="shared" si="4"/>
        <v>0.28081034435769414</v>
      </c>
      <c r="P44" s="1">
        <f t="shared" si="4"/>
        <v>862.34627351847098</v>
      </c>
    </row>
    <row r="45" spans="1:16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H37"/>
  <sheetViews>
    <sheetView tabSelected="1" topLeftCell="Q3" workbookViewId="0">
      <selection activeCell="AH10" sqref="AH10"/>
    </sheetView>
  </sheetViews>
  <sheetFormatPr baseColWidth="10" defaultRowHeight="16"/>
  <cols>
    <col min="1" max="1" width="17.33203125" bestFit="1" customWidth="1"/>
    <col min="2" max="2" width="7.6640625" bestFit="1" customWidth="1"/>
    <col min="3" max="3" width="13" bestFit="1" customWidth="1"/>
    <col min="4" max="4" width="6.83203125" bestFit="1" customWidth="1"/>
    <col min="5" max="5" width="9.1640625" bestFit="1" customWidth="1"/>
    <col min="6" max="6" width="12.1640625" bestFit="1" customWidth="1"/>
    <col min="7" max="7" width="11.5" bestFit="1" customWidth="1"/>
    <col min="8" max="8" width="6.83203125" customWidth="1"/>
    <col min="9" max="9" width="11.1640625" bestFit="1" customWidth="1"/>
    <col min="10" max="10" width="12.1640625" bestFit="1" customWidth="1"/>
    <col min="11" max="11" width="20.1640625" bestFit="1" customWidth="1"/>
    <col min="12" max="12" width="6.83203125" bestFit="1" customWidth="1"/>
    <col min="13" max="13" width="12.5" bestFit="1" customWidth="1"/>
    <col min="14" max="18" width="12.1640625" bestFit="1" customWidth="1"/>
    <col min="19" max="22" width="6.83203125" customWidth="1"/>
    <col min="23" max="23" width="12.5" bestFit="1" customWidth="1"/>
    <col min="24" max="28" width="12.1640625" bestFit="1" customWidth="1"/>
    <col min="29" max="32" width="6.83203125" customWidth="1"/>
    <col min="34" max="34" width="9.1640625" bestFit="1" customWidth="1"/>
  </cols>
  <sheetData>
    <row r="1" spans="1:34">
      <c r="A1" t="s">
        <v>22</v>
      </c>
      <c r="C1" t="s">
        <v>8</v>
      </c>
      <c r="M1" t="s">
        <v>9</v>
      </c>
      <c r="W1" t="s">
        <v>10</v>
      </c>
    </row>
    <row r="2" spans="1:34">
      <c r="A2">
        <v>5</v>
      </c>
      <c r="C2" s="4" t="s">
        <v>5</v>
      </c>
      <c r="D2" s="4"/>
      <c r="E2" s="4" t="s">
        <v>6</v>
      </c>
      <c r="F2" s="4"/>
      <c r="G2" t="s">
        <v>24</v>
      </c>
      <c r="I2" s="4" t="s">
        <v>7</v>
      </c>
      <c r="J2" s="4"/>
      <c r="K2" t="s">
        <v>25</v>
      </c>
      <c r="M2" s="4" t="s">
        <v>5</v>
      </c>
      <c r="N2" s="4"/>
      <c r="O2" s="4" t="s">
        <v>6</v>
      </c>
      <c r="P2" s="4"/>
      <c r="Q2" t="s">
        <v>24</v>
      </c>
      <c r="S2" s="4" t="s">
        <v>7</v>
      </c>
      <c r="T2" s="4"/>
      <c r="U2" t="s">
        <v>25</v>
      </c>
      <c r="W2" s="4" t="s">
        <v>5</v>
      </c>
      <c r="X2" s="4"/>
      <c r="Y2" s="4" t="s">
        <v>6</v>
      </c>
      <c r="Z2" s="4"/>
      <c r="AA2" t="s">
        <v>24</v>
      </c>
      <c r="AC2" s="4" t="s">
        <v>7</v>
      </c>
      <c r="AD2" s="4"/>
      <c r="AE2" t="s">
        <v>25</v>
      </c>
    </row>
    <row r="3" spans="1:34">
      <c r="A3" t="s">
        <v>2</v>
      </c>
      <c r="B3" t="s">
        <v>23</v>
      </c>
      <c r="C3" t="s">
        <v>19</v>
      </c>
      <c r="D3" t="s">
        <v>21</v>
      </c>
      <c r="E3" t="s">
        <v>19</v>
      </c>
      <c r="F3" t="s">
        <v>21</v>
      </c>
      <c r="G3" t="s">
        <v>19</v>
      </c>
      <c r="H3" t="s">
        <v>21</v>
      </c>
      <c r="I3" t="s">
        <v>19</v>
      </c>
      <c r="J3" t="s">
        <v>21</v>
      </c>
      <c r="K3" t="s">
        <v>19</v>
      </c>
      <c r="L3" t="s">
        <v>21</v>
      </c>
      <c r="M3" t="s">
        <v>19</v>
      </c>
      <c r="N3" t="s">
        <v>21</v>
      </c>
      <c r="O3" t="s">
        <v>19</v>
      </c>
      <c r="P3" t="s">
        <v>21</v>
      </c>
      <c r="Q3" t="s">
        <v>19</v>
      </c>
      <c r="R3" t="s">
        <v>21</v>
      </c>
      <c r="S3" t="s">
        <v>19</v>
      </c>
      <c r="T3" t="s">
        <v>21</v>
      </c>
      <c r="U3" t="s">
        <v>19</v>
      </c>
      <c r="V3" t="s">
        <v>21</v>
      </c>
      <c r="W3" t="s">
        <v>19</v>
      </c>
      <c r="X3" t="s">
        <v>21</v>
      </c>
      <c r="Y3" t="s">
        <v>19</v>
      </c>
      <c r="Z3" t="s">
        <v>21</v>
      </c>
      <c r="AA3" t="s">
        <v>19</v>
      </c>
      <c r="AB3" t="s">
        <v>21</v>
      </c>
      <c r="AC3" t="s">
        <v>19</v>
      </c>
      <c r="AD3" t="s">
        <v>21</v>
      </c>
      <c r="AE3" t="s">
        <v>19</v>
      </c>
      <c r="AF3" t="s">
        <v>21</v>
      </c>
    </row>
    <row r="4" spans="1:34">
      <c r="A4">
        <v>63</v>
      </c>
      <c r="B4" s="2">
        <f>SQRT(A4)</f>
        <v>7.9372539331937721</v>
      </c>
      <c r="C4" s="1">
        <v>27.9375</v>
      </c>
      <c r="D4" s="1">
        <v>4.2345544763178129</v>
      </c>
      <c r="E4">
        <v>8.1875</v>
      </c>
      <c r="F4">
        <v>1.3304740847993173</v>
      </c>
      <c r="G4">
        <v>7.75</v>
      </c>
      <c r="H4">
        <v>0.76200076200114297</v>
      </c>
      <c r="I4">
        <v>13.15625</v>
      </c>
      <c r="J4">
        <v>1.9528205407861032</v>
      </c>
      <c r="K4">
        <v>19.75</v>
      </c>
      <c r="L4">
        <v>4.8460159892164958</v>
      </c>
      <c r="M4">
        <v>1.4065896874999999</v>
      </c>
      <c r="N4">
        <v>0.29020651165950168</v>
      </c>
      <c r="O4">
        <v>1.6768018749999998</v>
      </c>
      <c r="P4">
        <v>0.1581340563682212</v>
      </c>
      <c r="Q4">
        <v>1.4141556250000002</v>
      </c>
      <c r="R4">
        <v>0.24566118999663689</v>
      </c>
      <c r="S4">
        <v>1.4063575000000001</v>
      </c>
      <c r="T4">
        <v>0.13757793378487745</v>
      </c>
      <c r="U4">
        <v>1.4432184375000001</v>
      </c>
      <c r="V4">
        <v>0.14935710648901104</v>
      </c>
      <c r="W4">
        <v>1.7118749999999998</v>
      </c>
      <c r="X4">
        <v>2.3265597438998817</v>
      </c>
      <c r="Y4">
        <v>2.0490624999999998</v>
      </c>
      <c r="Z4">
        <v>2.8898993836430789</v>
      </c>
      <c r="AA4">
        <v>2.8434375000000003</v>
      </c>
      <c r="AB4">
        <v>3.5518887382449025</v>
      </c>
      <c r="AC4">
        <v>2.5543749999999998</v>
      </c>
      <c r="AD4">
        <v>2.3313127099582553</v>
      </c>
      <c r="AE4">
        <v>3.2453125000000007</v>
      </c>
      <c r="AF4">
        <v>2.8556937853992226</v>
      </c>
      <c r="AH4">
        <f>A4/30</f>
        <v>2.1</v>
      </c>
    </row>
    <row r="5" spans="1:34">
      <c r="A5">
        <v>588</v>
      </c>
      <c r="B5" s="2">
        <f t="shared" ref="B5:B8" si="0">SQRT(A5)</f>
        <v>24.248711305964282</v>
      </c>
      <c r="C5" s="1">
        <v>86.1875</v>
      </c>
      <c r="D5" s="1">
        <v>20.674805456041451</v>
      </c>
      <c r="E5">
        <v>25.21875</v>
      </c>
      <c r="F5">
        <v>4.4267105314253676</v>
      </c>
      <c r="G5">
        <v>22.75</v>
      </c>
      <c r="H5">
        <v>2.4096579867074968</v>
      </c>
      <c r="I5">
        <v>52.84375</v>
      </c>
      <c r="J5">
        <v>7.9030797386106837</v>
      </c>
      <c r="K5">
        <v>62.21875</v>
      </c>
      <c r="L5">
        <v>20.795058927698463</v>
      </c>
      <c r="M5">
        <v>1.1170134375000003</v>
      </c>
      <c r="N5">
        <v>8.5623715120451457E-2</v>
      </c>
      <c r="O5">
        <v>1.6744037499999995</v>
      </c>
      <c r="P5">
        <v>0.29122668232008198</v>
      </c>
      <c r="Q5">
        <v>1.4417365625</v>
      </c>
      <c r="R5">
        <v>0.29214865716164268</v>
      </c>
      <c r="S5">
        <v>1.3796303124999998</v>
      </c>
      <c r="T5">
        <v>0.1957076534261685</v>
      </c>
      <c r="U5">
        <v>1.1471575000000001</v>
      </c>
      <c r="V5">
        <v>0.18659354746303136</v>
      </c>
      <c r="W5">
        <v>4.9662499999999996</v>
      </c>
      <c r="X5">
        <v>6.0036589649764371</v>
      </c>
      <c r="Y5">
        <v>6.6240625000000009</v>
      </c>
      <c r="Z5">
        <v>4.3965175803898937</v>
      </c>
      <c r="AA5">
        <v>10.706874999999997</v>
      </c>
      <c r="AB5">
        <v>7.8227820467921116</v>
      </c>
      <c r="AC5">
        <v>8.8481249999999996</v>
      </c>
      <c r="AD5">
        <v>5.2714614717729917</v>
      </c>
      <c r="AE5">
        <v>17.905312500000004</v>
      </c>
      <c r="AF5">
        <v>15.804904911261946</v>
      </c>
      <c r="AH5">
        <f t="shared" ref="AH5:AH8" si="1">A5/30</f>
        <v>19.600000000000001</v>
      </c>
    </row>
    <row r="6" spans="1:34">
      <c r="A6">
        <v>5963</v>
      </c>
      <c r="B6" s="2">
        <f t="shared" si="0"/>
        <v>77.220463609071913</v>
      </c>
      <c r="C6" s="1">
        <v>270.125</v>
      </c>
      <c r="D6" s="1">
        <v>57.147093736957835</v>
      </c>
      <c r="E6">
        <v>74.90625</v>
      </c>
      <c r="F6">
        <v>10.650940818659198</v>
      </c>
      <c r="G6">
        <v>71.25</v>
      </c>
      <c r="H6">
        <v>8.2462112512353212</v>
      </c>
      <c r="I6">
        <v>172.84375</v>
      </c>
      <c r="J6">
        <v>23.463230499738756</v>
      </c>
      <c r="K6">
        <v>209.90625</v>
      </c>
      <c r="L6">
        <v>54.623851209592885</v>
      </c>
      <c r="M6">
        <v>1.0488900000000001</v>
      </c>
      <c r="N6">
        <v>2.9102153894348129E-2</v>
      </c>
      <c r="O6">
        <v>1.7563756249999996</v>
      </c>
      <c r="P6">
        <v>0.21937599780400346</v>
      </c>
      <c r="Q6">
        <v>1.5210731249999998</v>
      </c>
      <c r="R6">
        <v>0.33545111502358255</v>
      </c>
      <c r="S6">
        <v>1.3869343750000001</v>
      </c>
      <c r="T6">
        <v>0.19717190442953816</v>
      </c>
      <c r="U6">
        <v>1.1522781249999996</v>
      </c>
      <c r="V6">
        <v>0.22037857012551229</v>
      </c>
      <c r="W6">
        <v>17.364374999999995</v>
      </c>
      <c r="X6">
        <v>11.600893162917224</v>
      </c>
      <c r="Y6">
        <v>31.822812500000008</v>
      </c>
      <c r="Z6">
        <v>15.481923743592674</v>
      </c>
      <c r="AA6">
        <v>37.136562500000011</v>
      </c>
      <c r="AB6">
        <v>13.713841750011337</v>
      </c>
      <c r="AC6">
        <v>43.696562499999992</v>
      </c>
      <c r="AD6">
        <v>19.631475485502978</v>
      </c>
      <c r="AE6">
        <v>65.908437499999991</v>
      </c>
      <c r="AF6">
        <v>30.635404156015664</v>
      </c>
      <c r="AH6">
        <f t="shared" si="1"/>
        <v>198.76666666666668</v>
      </c>
    </row>
    <row r="7" spans="1:34">
      <c r="A7">
        <v>59502</v>
      </c>
      <c r="B7" s="2">
        <f t="shared" si="0"/>
        <v>243.93031791886796</v>
      </c>
      <c r="C7" s="1">
        <v>849.5625</v>
      </c>
      <c r="D7" s="1">
        <v>191.92100819633262</v>
      </c>
      <c r="E7">
        <v>239.90625</v>
      </c>
      <c r="F7">
        <v>41.547764487045121</v>
      </c>
      <c r="G7">
        <v>230.90625</v>
      </c>
      <c r="H7">
        <v>34.580769758592332</v>
      </c>
      <c r="I7">
        <v>546.59375</v>
      </c>
      <c r="J7">
        <v>75.039713947714645</v>
      </c>
      <c r="K7">
        <v>649.1875</v>
      </c>
      <c r="L7">
        <v>178.09211779120051</v>
      </c>
      <c r="M7">
        <v>1.0160021875</v>
      </c>
      <c r="N7">
        <v>7.7138161487432929E-3</v>
      </c>
      <c r="O7">
        <v>1.6832484375000003</v>
      </c>
      <c r="P7">
        <v>0.26618001730710072</v>
      </c>
      <c r="Q7">
        <v>1.4908103125000001</v>
      </c>
      <c r="R7">
        <v>0.34689594875292007</v>
      </c>
      <c r="S7">
        <v>1.3339506249999997</v>
      </c>
      <c r="T7">
        <v>0.16741997807209735</v>
      </c>
      <c r="U7">
        <v>1.1449978124999998</v>
      </c>
      <c r="V7">
        <v>0.24384398771893817</v>
      </c>
      <c r="W7">
        <v>129.98156250000002</v>
      </c>
      <c r="X7">
        <v>16.795705117173846</v>
      </c>
      <c r="Y7">
        <v>311.83749999999998</v>
      </c>
      <c r="Z7">
        <v>16.408645046379196</v>
      </c>
      <c r="AA7">
        <v>382.56593749999996</v>
      </c>
      <c r="AB7">
        <v>51.704951772557074</v>
      </c>
      <c r="AC7">
        <v>430.30468750000011</v>
      </c>
      <c r="AD7">
        <v>33.747987465383929</v>
      </c>
      <c r="AE7">
        <v>587.40656250000006</v>
      </c>
      <c r="AF7">
        <v>143.19375334657474</v>
      </c>
      <c r="AH7">
        <f t="shared" si="1"/>
        <v>1983.4</v>
      </c>
    </row>
    <row r="8" spans="1:34">
      <c r="A8">
        <v>595856</v>
      </c>
      <c r="B8" s="2">
        <f t="shared" si="0"/>
        <v>771.91709399390811</v>
      </c>
      <c r="C8" s="1">
        <v>2813.75</v>
      </c>
      <c r="D8" s="1">
        <v>571.19094598408469</v>
      </c>
      <c r="E8">
        <v>769.84375</v>
      </c>
      <c r="F8">
        <v>138.52031628679435</v>
      </c>
      <c r="G8">
        <v>710.53125</v>
      </c>
      <c r="H8">
        <v>85.224176629980207</v>
      </c>
      <c r="I8">
        <v>1820.3125</v>
      </c>
      <c r="J8">
        <v>296.89092571884635</v>
      </c>
      <c r="K8">
        <v>2099.375</v>
      </c>
      <c r="L8">
        <v>656.04084992795504</v>
      </c>
      <c r="M8">
        <v>1.0055790625000001</v>
      </c>
      <c r="N8">
        <v>3.28707670830638E-3</v>
      </c>
      <c r="O8">
        <v>1.6642484375</v>
      </c>
      <c r="P8">
        <v>0.33466026744619282</v>
      </c>
      <c r="Q8">
        <v>1.5016449999999997</v>
      </c>
      <c r="R8">
        <v>0.39128103119649854</v>
      </c>
      <c r="S8">
        <v>1.2690428125000002</v>
      </c>
      <c r="T8">
        <v>0.18090326925547212</v>
      </c>
      <c r="U8">
        <v>1.1674228124999999</v>
      </c>
      <c r="V8">
        <v>0.28081034435769414</v>
      </c>
      <c r="W8">
        <v>1713.8756249999997</v>
      </c>
      <c r="X8">
        <v>457.41613041883301</v>
      </c>
      <c r="Y8">
        <v>3918.1428125000002</v>
      </c>
      <c r="Z8">
        <v>257.34251500154136</v>
      </c>
      <c r="AA8">
        <v>4809.6321874999994</v>
      </c>
      <c r="AB8">
        <v>415.8161567617264</v>
      </c>
      <c r="AC8">
        <v>5722.9334374999989</v>
      </c>
      <c r="AD8">
        <v>607.85557697697357</v>
      </c>
      <c r="AE8">
        <v>7603.2056250000005</v>
      </c>
      <c r="AF8">
        <v>862.34627351847098</v>
      </c>
      <c r="AH8">
        <f t="shared" si="1"/>
        <v>19861.866666666665</v>
      </c>
    </row>
    <row r="9" spans="1:34">
      <c r="B9" s="2"/>
      <c r="C9" s="1"/>
      <c r="D9" s="1"/>
      <c r="E9" s="1"/>
      <c r="F9" s="1"/>
      <c r="G9" s="1"/>
      <c r="H9" s="1"/>
    </row>
    <row r="10" spans="1:34">
      <c r="B10" s="2"/>
      <c r="C10" s="1"/>
      <c r="D10" s="1"/>
      <c r="E10" s="1"/>
      <c r="F10" s="1"/>
      <c r="G10" s="1"/>
      <c r="H10" s="1"/>
    </row>
    <row r="11" spans="1:34">
      <c r="B11" s="2"/>
      <c r="C11" s="1"/>
      <c r="D11" s="1"/>
      <c r="E11" s="1"/>
      <c r="F11" s="1"/>
      <c r="G11" s="1"/>
      <c r="H11" s="1"/>
    </row>
    <row r="12" spans="1:34">
      <c r="B12" s="2"/>
      <c r="C12" s="1"/>
      <c r="D12" s="1"/>
      <c r="E12" s="1"/>
      <c r="F12" s="1"/>
      <c r="G12" s="1"/>
      <c r="H12" s="1"/>
    </row>
    <row r="13" spans="1:34">
      <c r="B13" s="2"/>
      <c r="C13" s="1"/>
      <c r="D13" s="1"/>
      <c r="E13" s="1"/>
      <c r="F13" s="1"/>
      <c r="G13" s="1"/>
      <c r="H13" s="1"/>
    </row>
    <row r="14" spans="1:34">
      <c r="B14" s="2"/>
      <c r="C14" s="1"/>
      <c r="D14" s="1"/>
      <c r="E14" s="1"/>
      <c r="F14" s="1"/>
      <c r="G14" s="1"/>
      <c r="H14" s="1"/>
    </row>
    <row r="15" spans="1:34">
      <c r="B15" s="2"/>
      <c r="C15" s="1"/>
      <c r="D15" s="1"/>
      <c r="E15" s="1"/>
      <c r="F15" s="1"/>
      <c r="G15" s="1"/>
      <c r="H15" s="1"/>
    </row>
    <row r="16" spans="1:34">
      <c r="B16" s="2"/>
      <c r="C16" s="1"/>
      <c r="D16" s="1"/>
      <c r="E16" s="1"/>
      <c r="F16" s="1"/>
      <c r="G16" s="1"/>
      <c r="H16" s="1"/>
    </row>
    <row r="17" spans="2:8">
      <c r="B17" s="2"/>
      <c r="C17" s="1"/>
      <c r="D17" s="1"/>
      <c r="E17" s="1"/>
      <c r="F17" s="1"/>
      <c r="G17" s="1"/>
      <c r="H17" s="1"/>
    </row>
    <row r="18" spans="2:8">
      <c r="B18" s="2"/>
      <c r="C18" s="1"/>
      <c r="D18" s="1"/>
      <c r="E18" s="1"/>
      <c r="F18" s="1"/>
      <c r="G18" s="1"/>
      <c r="H18" s="1"/>
    </row>
    <row r="32" spans="2:8">
      <c r="C32" s="4"/>
      <c r="D32" s="4"/>
      <c r="E32" s="3"/>
      <c r="F32" s="3"/>
      <c r="G32" s="3"/>
      <c r="H32" s="3"/>
    </row>
    <row r="33" spans="1:32">
      <c r="A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>
      <c r="A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>
      <c r="A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>
      <c r="A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>
      <c r="A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</sheetData>
  <mergeCells count="10">
    <mergeCell ref="W2:X2"/>
    <mergeCell ref="Y2:Z2"/>
    <mergeCell ref="AC2:AD2"/>
    <mergeCell ref="C32:D32"/>
    <mergeCell ref="C2:D2"/>
    <mergeCell ref="E2:F2"/>
    <mergeCell ref="I2:J2"/>
    <mergeCell ref="M2:N2"/>
    <mergeCell ref="O2:P2"/>
    <mergeCell ref="S2:T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SummarizeData">
                <anchor moveWithCells="1" sizeWithCells="1">
                  <from>
                    <xdr:col>34</xdr:col>
                    <xdr:colOff>38100</xdr:colOff>
                    <xdr:row>2</xdr:row>
                    <xdr:rowOff>12700</xdr:rowOff>
                  </from>
                  <to>
                    <xdr:col>36</xdr:col>
                    <xdr:colOff>457200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</vt:lpstr>
      <vt:lpstr>2</vt:lpstr>
      <vt:lpstr>3</vt:lpstr>
      <vt:lpstr>4</vt:lpstr>
      <vt:lpstr>5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Zhu, Qixin</cp:lastModifiedBy>
  <dcterms:created xsi:type="dcterms:W3CDTF">2017-12-14T21:33:10Z</dcterms:created>
  <dcterms:modified xsi:type="dcterms:W3CDTF">2018-05-07T02:51:05Z</dcterms:modified>
</cp:coreProperties>
</file>