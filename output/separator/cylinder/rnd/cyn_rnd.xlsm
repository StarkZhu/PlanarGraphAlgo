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eparator/cylinder/rnd/"/>
    </mc:Choice>
  </mc:AlternateContent>
  <xr:revisionPtr revIDLastSave="0" documentId="13_ncr:1_{0DA218B2-9968-434D-B30B-810995426D4C}" xr6:coauthVersionLast="32" xr6:coauthVersionMax="32" xr10:uidLastSave="{00000000-0000-0000-0000-000000000000}"/>
  <bookViews>
    <workbookView xWindow="2100" yWindow="460" windowWidth="21800" windowHeight="13940" tabRatio="500" activeTab="6" xr2:uid="{00000000-000D-0000-FFFF-FFFF00000000}"/>
  </bookViews>
  <sheets>
    <sheet name="1" sheetId="1" r:id="rId1"/>
    <sheet name="2" sheetId="5" r:id="rId2"/>
    <sheet name="3" sheetId="4" r:id="rId3"/>
    <sheet name="4" sheetId="3" r:id="rId4"/>
    <sheet name="5" sheetId="2" r:id="rId5"/>
    <sheet name="6" sheetId="7" r:id="rId6"/>
    <sheet name="Summary" sheetId="6" r:id="rId7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6" l="1"/>
  <c r="AH9" i="6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H5" i="6" l="1"/>
  <c r="AH6" i="6"/>
  <c r="AH7" i="6"/>
  <c r="AH8" i="6"/>
  <c r="AH4" i="6"/>
  <c r="J40" i="3"/>
  <c r="K40" i="3"/>
  <c r="L40" i="3"/>
  <c r="M40" i="3"/>
  <c r="N40" i="3"/>
  <c r="O40" i="3"/>
  <c r="P40" i="3"/>
  <c r="J41" i="3"/>
  <c r="K41" i="3"/>
  <c r="L41" i="3"/>
  <c r="M41" i="3"/>
  <c r="N41" i="3"/>
  <c r="O41" i="3"/>
  <c r="P41" i="3"/>
  <c r="J42" i="3"/>
  <c r="K42" i="3"/>
  <c r="L42" i="3"/>
  <c r="M42" i="3"/>
  <c r="N42" i="3"/>
  <c r="O42" i="3"/>
  <c r="P42" i="3"/>
  <c r="J43" i="3"/>
  <c r="K43" i="3"/>
  <c r="L43" i="3"/>
  <c r="M43" i="3"/>
  <c r="N43" i="3"/>
  <c r="O43" i="3"/>
  <c r="P43" i="3"/>
  <c r="J44" i="3"/>
  <c r="K44" i="3"/>
  <c r="L44" i="3"/>
  <c r="M44" i="3"/>
  <c r="N44" i="3"/>
  <c r="O44" i="3"/>
  <c r="P44" i="3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B4" i="6"/>
  <c r="B5" i="6"/>
  <c r="B6" i="6"/>
  <c r="B7" i="6"/>
  <c r="B8" i="6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<sst xmlns="http://schemas.openxmlformats.org/spreadsheetml/2006/main" count="351" uniqueCount="27">
  <si>
    <t>Graph Info: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</si>
  <si>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</si>
  <si>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</si>
  <si>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</si>
  <si>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</si>
  <si>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</si>
  <si>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</si>
  <si>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</si>
  <si>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</si>
  <si>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</si>
  <si>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</si>
  <si>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Max</t>
  </si>
  <si>
    <t>Min</t>
  </si>
  <si>
    <t>Median</t>
  </si>
  <si>
    <t>Average</t>
  </si>
  <si>
    <t>Std.Dev</t>
  </si>
  <si>
    <t>StdDev</t>
  </si>
  <si>
    <t>Num of tabs</t>
  </si>
  <si>
    <t>sqrtN</t>
  </si>
  <si>
    <t>ModifiedFCS</t>
  </si>
  <si>
    <t>Simple Cycle Separator</t>
  </si>
  <si>
    <t>./input_data/cylinder/rnd/1.txt</t>
  </si>
  <si>
    <t>./input_data/cylinder/rnd/2.txt</t>
  </si>
  <si>
    <t>./input_data/cylinder/rnd/3.txt</t>
  </si>
  <si>
    <t>./input_data/cylinder/rnd/4.txt</t>
  </si>
  <si>
    <t>./input_data/cylinder/rnd/5.txt</t>
  </si>
  <si>
    <t>./input_data/cylinder/rnd/6.txt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</si>
</sst>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24"/>
      <color rgb="FF000000"/>
      <name val="System Font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Random</a:t>
            </a:r>
            <a:r>
              <a:rPr lang="en-US" sz="1800" baseline="0"/>
              <a:t> Cylinder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Summary!$C$4:$C$8</c:f>
              <c:numCache>
                <c:formatCode>0.00</c:formatCode>
                <c:ptCount val="5"/>
                <c:pt idx="0">
                  <c:v>9.34375</c:v>
                </c:pt>
                <c:pt idx="1">
                  <c:v>10</c:v>
                </c:pt>
                <c:pt idx="2">
                  <c:v>9.125</c:v>
                </c:pt>
                <c:pt idx="3">
                  <c:v>7.90625</c:v>
                </c:pt>
                <c:pt idx="4">
                  <c:v>7.84375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1-EF49-8002-C54D657629B1}"/>
            </c:ext>
          </c:extLst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Summary!$E$4:$E$8</c:f>
              <c:numCache>
                <c:formatCode>General</c:formatCode>
                <c:ptCount val="5"/>
                <c:pt idx="0">
                  <c:v>5.90625</c:v>
                </c:pt>
                <c:pt idx="1">
                  <c:v>5.9375</c:v>
                </c:pt>
                <c:pt idx="2">
                  <c:v>3</c:v>
                </c:pt>
                <c:pt idx="3">
                  <c:v>7.5</c:v>
                </c:pt>
                <c:pt idx="4">
                  <c:v>6.625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1-EF49-8002-C54D657629B1}"/>
            </c:ext>
          </c:extLst>
        </c:ser>
        <c:ser>
          <c:idx val="4"/>
          <c:order val="2"/>
          <c:tx>
            <c:strRef>
              <c:f>Summary!$G$2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Summary!$G$4:$G$8</c:f>
              <c:numCache>
                <c:formatCode>General</c:formatCode>
                <c:ptCount val="5"/>
                <c:pt idx="0">
                  <c:v>4.3125</c:v>
                </c:pt>
                <c:pt idx="1">
                  <c:v>6.375</c:v>
                </c:pt>
                <c:pt idx="2">
                  <c:v>3.03125</c:v>
                </c:pt>
                <c:pt idx="3">
                  <c:v>4.84375</c:v>
                </c:pt>
                <c:pt idx="4">
                  <c:v>5.0625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F1-EF49-8002-C54D657629B1}"/>
            </c:ext>
          </c:extLst>
        </c:ser>
        <c:ser>
          <c:idx val="2"/>
          <c:order val="3"/>
          <c:tx>
            <c:strRef>
              <c:f>Summary!$I$2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Summary!$I$4:$I$8</c:f>
              <c:numCache>
                <c:formatCode>General</c:formatCode>
                <c:ptCount val="5"/>
                <c:pt idx="0">
                  <c:v>7.375</c:v>
                </c:pt>
                <c:pt idx="1">
                  <c:v>10</c:v>
                </c:pt>
                <c:pt idx="2">
                  <c:v>9.125</c:v>
                </c:pt>
                <c:pt idx="3">
                  <c:v>7.90625</c:v>
                </c:pt>
                <c:pt idx="4">
                  <c:v>7.84375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1-EF49-8002-C54D657629B1}"/>
            </c:ext>
          </c:extLst>
        </c:ser>
        <c:ser>
          <c:idx val="5"/>
          <c:order val="4"/>
          <c:tx>
            <c:strRef>
              <c:f>Summary!$K$2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Summary!$K$4:$K$8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F1-EF49-8002-C54D657629B1}"/>
            </c:ext>
          </c:extLst>
        </c:ser>
        <c:ser>
          <c:idx val="3"/>
          <c:order val="5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Summary!$B$4:$B$8</c:f>
              <c:numCache>
                <c:formatCode>0.000</c:formatCode>
                <c:ptCount val="5"/>
                <c:pt idx="0">
                  <c:v>5.7445626465380286</c:v>
                </c:pt>
                <c:pt idx="1">
                  <c:v>17.406895185529212</c:v>
                </c:pt>
                <c:pt idx="2">
                  <c:v>54.799635035281028</c:v>
                </c:pt>
                <c:pt idx="3">
                  <c:v>173.21374079443004</c:v>
                </c:pt>
                <c:pt idx="4">
                  <c:v>547.72529611110713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F1-EF49-8002-C54D65762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Separator Size (# 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Random Cylinder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Summary!$M$2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Summary!$M$4:$M$8</c:f>
              <c:numCache>
                <c:formatCode>General</c:formatCode>
                <c:ptCount val="5"/>
                <c:pt idx="0">
                  <c:v>1.2469437500000002</c:v>
                </c:pt>
                <c:pt idx="1">
                  <c:v>1.0354231250000001</c:v>
                </c:pt>
                <c:pt idx="2">
                  <c:v>1.0030762499999999</c:v>
                </c:pt>
                <c:pt idx="3">
                  <c:v>1.0002031249999999</c:v>
                </c:pt>
                <c:pt idx="4">
                  <c:v>1.0000296874999999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9-B64B-924F-B6B72EAF0BF2}"/>
            </c:ext>
          </c:extLst>
        </c:ser>
        <c:ser>
          <c:idx val="1"/>
          <c:order val="1"/>
          <c:tx>
            <c:strRef>
              <c:f>Summary!$O$2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Summary!$O$4:$O$8</c:f>
              <c:numCache>
                <c:formatCode>General</c:formatCode>
                <c:ptCount val="5"/>
                <c:pt idx="0">
                  <c:v>1.5137706249999998</c:v>
                </c:pt>
                <c:pt idx="1">
                  <c:v>1.9024868750000008</c:v>
                </c:pt>
                <c:pt idx="2">
                  <c:v>1.9970100000000013</c:v>
                </c:pt>
                <c:pt idx="3">
                  <c:v>1.9987999999999999</c:v>
                </c:pt>
                <c:pt idx="4">
                  <c:v>1.9998628125000002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A9-B64B-924F-B6B72EAF0BF2}"/>
            </c:ext>
          </c:extLst>
        </c:ser>
        <c:ser>
          <c:idx val="4"/>
          <c:order val="2"/>
          <c:tx>
            <c:strRef>
              <c:f>Summary!$Q$2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Summary!$Q$4:$Q$8</c:f>
              <c:numCache>
                <c:formatCode>General</c:formatCode>
                <c:ptCount val="5"/>
                <c:pt idx="0">
                  <c:v>1.5359562500000001</c:v>
                </c:pt>
                <c:pt idx="1">
                  <c:v>1.6880490625</c:v>
                </c:pt>
                <c:pt idx="2">
                  <c:v>1.7539393750000005</c:v>
                </c:pt>
                <c:pt idx="3">
                  <c:v>1.869345</c:v>
                </c:pt>
                <c:pt idx="4">
                  <c:v>1.91997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A9-B64B-924F-B6B72EAF0BF2}"/>
            </c:ext>
          </c:extLst>
        </c:ser>
        <c:ser>
          <c:idx val="2"/>
          <c:order val="3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Summary!$S$4:$S$8</c:f>
              <c:numCache>
                <c:formatCode>General</c:formatCode>
                <c:ptCount val="5"/>
                <c:pt idx="0">
                  <c:v>1.1882546875000004</c:v>
                </c:pt>
                <c:pt idx="1">
                  <c:v>1.03247</c:v>
                </c:pt>
                <c:pt idx="2">
                  <c:v>1.0046600000000006</c:v>
                </c:pt>
                <c:pt idx="3">
                  <c:v>1</c:v>
                </c:pt>
                <c:pt idx="4">
                  <c:v>1.0000099999999998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A9-B64B-924F-B6B72EAF0BF2}"/>
            </c:ext>
          </c:extLst>
        </c:ser>
        <c:ser>
          <c:idx val="5"/>
          <c:order val="4"/>
          <c:tx>
            <c:strRef>
              <c:f>Summary!$U$2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Summary!$U$4:$U$8</c:f>
              <c:numCache>
                <c:formatCode>General</c:formatCode>
                <c:ptCount val="5"/>
                <c:pt idx="0">
                  <c:v>1.3477893749999998</c:v>
                </c:pt>
                <c:pt idx="1">
                  <c:v>1.8673406249999995</c:v>
                </c:pt>
                <c:pt idx="2">
                  <c:v>1.9940199999999992</c:v>
                </c:pt>
                <c:pt idx="3">
                  <c:v>1.9973806250000001</c:v>
                </c:pt>
                <c:pt idx="4">
                  <c:v>1.9997956250000002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A9-B64B-924F-B6B72EAF0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Balance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  <c:majorUnit val="0.2"/>
        <c:min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Random Cylinder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Summary!$W$2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Summary!$W$4:$W$8</c:f>
              <c:numCache>
                <c:formatCode>General</c:formatCode>
                <c:ptCount val="5"/>
                <c:pt idx="0">
                  <c:v>0.92125000000000012</c:v>
                </c:pt>
                <c:pt idx="1">
                  <c:v>1.6090625000000001</c:v>
                </c:pt>
                <c:pt idx="2">
                  <c:v>8.6106250000000006</c:v>
                </c:pt>
                <c:pt idx="3">
                  <c:v>66.221249999999984</c:v>
                </c:pt>
                <c:pt idx="4">
                  <c:v>847.41124999999988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5-F94F-81F8-52B22D25E98A}"/>
            </c:ext>
          </c:extLst>
        </c:ser>
        <c:ser>
          <c:idx val="1"/>
          <c:order val="1"/>
          <c:tx>
            <c:strRef>
              <c:f>Summary!$Y$2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Summary!$Y$4:$Y$8</c:f>
              <c:numCache>
                <c:formatCode>General</c:formatCode>
                <c:ptCount val="5"/>
                <c:pt idx="0">
                  <c:v>1.0778125000000001</c:v>
                </c:pt>
                <c:pt idx="1">
                  <c:v>3.6599999999999993</c:v>
                </c:pt>
                <c:pt idx="2">
                  <c:v>15.181562499999998</c:v>
                </c:pt>
                <c:pt idx="3">
                  <c:v>147.3190625</c:v>
                </c:pt>
                <c:pt idx="4">
                  <c:v>1865.9296875000002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5-F94F-81F8-52B22D25E98A}"/>
            </c:ext>
          </c:extLst>
        </c:ser>
        <c:ser>
          <c:idx val="4"/>
          <c:order val="2"/>
          <c:tx>
            <c:strRef>
              <c:f>Summary!$AA$2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Summary!$AA$4:$AA$8</c:f>
              <c:numCache>
                <c:formatCode>General</c:formatCode>
                <c:ptCount val="5"/>
                <c:pt idx="0">
                  <c:v>1.6075000000000004</c:v>
                </c:pt>
                <c:pt idx="1">
                  <c:v>9.2756249999999998</c:v>
                </c:pt>
                <c:pt idx="2">
                  <c:v>22.16375</c:v>
                </c:pt>
                <c:pt idx="3">
                  <c:v>215.45156249999997</c:v>
                </c:pt>
                <c:pt idx="4">
                  <c:v>2562.7434375000003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5-F94F-81F8-52B22D25E98A}"/>
            </c:ext>
          </c:extLst>
        </c:ser>
        <c:ser>
          <c:idx val="2"/>
          <c:order val="3"/>
          <c:tx>
            <c:strRef>
              <c:f>Summary!$AC$2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Summary!$AC$4:$AC$8</c:f>
              <c:numCache>
                <c:formatCode>General</c:formatCode>
                <c:ptCount val="5"/>
                <c:pt idx="0">
                  <c:v>0.90187499999999998</c:v>
                </c:pt>
                <c:pt idx="1">
                  <c:v>2.4934375000000002</c:v>
                </c:pt>
                <c:pt idx="2">
                  <c:v>10.635624999999996</c:v>
                </c:pt>
                <c:pt idx="3">
                  <c:v>104.34062499999997</c:v>
                </c:pt>
                <c:pt idx="4">
                  <c:v>1156.0837499999996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5-F94F-81F8-52B22D25E98A}"/>
            </c:ext>
          </c:extLst>
        </c:ser>
        <c:ser>
          <c:idx val="5"/>
          <c:order val="4"/>
          <c:tx>
            <c:strRef>
              <c:f>Summary!$AE$2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Summary!$AE$4:$AE$8</c:f>
              <c:numCache>
                <c:formatCode>General</c:formatCode>
                <c:ptCount val="5"/>
                <c:pt idx="0">
                  <c:v>1.7590625000000002</c:v>
                </c:pt>
                <c:pt idx="1">
                  <c:v>8.5618750000000006</c:v>
                </c:pt>
                <c:pt idx="2">
                  <c:v>37.280624999999986</c:v>
                </c:pt>
                <c:pt idx="3">
                  <c:v>293.18124999999992</c:v>
                </c:pt>
                <c:pt idx="4">
                  <c:v>3595.3262500000005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5-F94F-81F8-52B22D25E98A}"/>
            </c:ext>
          </c:extLst>
        </c:ser>
        <c:ser>
          <c:idx val="3"/>
          <c:order val="5"/>
          <c:tx>
            <c:v>Linear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Summary!$AH$4:$AH$8</c:f>
              <c:numCache>
                <c:formatCode>General</c:formatCode>
                <c:ptCount val="5"/>
                <c:pt idx="0">
                  <c:v>1.1000000000000001</c:v>
                </c:pt>
                <c:pt idx="1">
                  <c:v>10.1</c:v>
                </c:pt>
                <c:pt idx="2">
                  <c:v>100.1</c:v>
                </c:pt>
                <c:pt idx="3">
                  <c:v>1000.1</c:v>
                </c:pt>
                <c:pt idx="4">
                  <c:v>10000.1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5-F94F-81F8-52B22D25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Runtime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2</xdr:row>
          <xdr:rowOff>12700</xdr:rowOff>
        </xdr:from>
        <xdr:to>
          <xdr:col>36</xdr:col>
          <xdr:colOff>457200</xdr:colOff>
          <xdr:row>6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9</xdr:row>
      <xdr:rowOff>0</xdr:rowOff>
    </xdr:from>
    <xdr:to>
      <xdr:col>10</xdr:col>
      <xdr:colOff>419100</xdr:colOff>
      <xdr:row>31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9</xdr:row>
      <xdr:rowOff>0</xdr:rowOff>
    </xdr:from>
    <xdr:to>
      <xdr:col>20</xdr:col>
      <xdr:colOff>165100</xdr:colOff>
      <xdr:row>31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9</xdr:row>
      <xdr:rowOff>0</xdr:rowOff>
    </xdr:from>
    <xdr:to>
      <xdr:col>31</xdr:col>
      <xdr:colOff>165100</xdr:colOff>
      <xdr:row>31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topLeftCell="A18" workbookViewId="0">
      <selection activeCell="C44" sqref="C44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33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9</v>
      </c>
      <c r="C5">
        <v>1</v>
      </c>
      <c r="D5">
        <v>11.65</v>
      </c>
      <c r="E5">
        <v>4</v>
      </c>
      <c r="F5">
        <v>1.4666699999999999</v>
      </c>
      <c r="G5">
        <v>3.83</v>
      </c>
      <c r="H5">
        <v>3</v>
      </c>
      <c r="I5">
        <v>1</v>
      </c>
      <c r="J5">
        <v>3.22</v>
      </c>
      <c r="K5">
        <v>9</v>
      </c>
      <c r="L5">
        <v>1.1052599999999999</v>
      </c>
      <c r="M5">
        <v>1.31</v>
      </c>
      <c r="N5">
        <v>3</v>
      </c>
      <c r="O5">
        <v>1.4</v>
      </c>
      <c r="P5">
        <v>6.49</v>
      </c>
    </row>
    <row r="6" spans="1:16">
      <c r="A6">
        <v>1</v>
      </c>
      <c r="B6">
        <v>8</v>
      </c>
      <c r="C6">
        <v>1.4117599999999999</v>
      </c>
      <c r="D6">
        <v>0.61</v>
      </c>
      <c r="E6">
        <v>5</v>
      </c>
      <c r="F6">
        <v>1.7142900000000001</v>
      </c>
      <c r="G6">
        <v>2.37</v>
      </c>
      <c r="H6">
        <v>3</v>
      </c>
      <c r="I6">
        <v>1.25</v>
      </c>
      <c r="J6">
        <v>1.49</v>
      </c>
      <c r="K6">
        <v>8</v>
      </c>
      <c r="L6">
        <v>1.1052599999999999</v>
      </c>
      <c r="M6">
        <v>0.75</v>
      </c>
      <c r="N6">
        <v>3</v>
      </c>
      <c r="O6">
        <v>1.4</v>
      </c>
      <c r="P6">
        <v>2.36</v>
      </c>
    </row>
    <row r="7" spans="1:16">
      <c r="A7">
        <v>2</v>
      </c>
      <c r="B7">
        <v>7</v>
      </c>
      <c r="C7">
        <v>1.35294</v>
      </c>
      <c r="D7">
        <v>0.48</v>
      </c>
      <c r="E7">
        <v>4</v>
      </c>
      <c r="F7">
        <v>1.64286</v>
      </c>
      <c r="G7">
        <v>2.5</v>
      </c>
      <c r="H7">
        <v>4</v>
      </c>
      <c r="I7">
        <v>1.64286</v>
      </c>
      <c r="J7">
        <v>1.25</v>
      </c>
      <c r="K7">
        <v>7</v>
      </c>
      <c r="L7">
        <v>1.1052599999999999</v>
      </c>
      <c r="M7">
        <v>1.1299999999999999</v>
      </c>
      <c r="N7">
        <v>3</v>
      </c>
      <c r="O7">
        <v>1.5714300000000001</v>
      </c>
      <c r="P7">
        <v>1.7</v>
      </c>
    </row>
    <row r="8" spans="1:16">
      <c r="A8">
        <v>3</v>
      </c>
      <c r="B8">
        <v>11</v>
      </c>
      <c r="C8">
        <v>1.2</v>
      </c>
      <c r="D8">
        <v>0.47</v>
      </c>
      <c r="E8">
        <v>4</v>
      </c>
      <c r="F8">
        <v>1.64286</v>
      </c>
      <c r="G8">
        <v>0.83</v>
      </c>
      <c r="H8">
        <v>3</v>
      </c>
      <c r="I8">
        <v>1.5714300000000001</v>
      </c>
      <c r="J8">
        <v>2.59</v>
      </c>
      <c r="K8">
        <v>5</v>
      </c>
      <c r="L8">
        <v>1.5333300000000001</v>
      </c>
      <c r="M8">
        <v>1.1399999999999999</v>
      </c>
      <c r="N8">
        <v>3</v>
      </c>
      <c r="O8">
        <v>1.5714300000000001</v>
      </c>
      <c r="P8">
        <v>1.59</v>
      </c>
    </row>
    <row r="9" spans="1:16">
      <c r="A9">
        <v>4</v>
      </c>
      <c r="B9">
        <v>8</v>
      </c>
      <c r="C9">
        <v>1.2777799999999999</v>
      </c>
      <c r="D9">
        <v>0.76</v>
      </c>
      <c r="E9">
        <v>6</v>
      </c>
      <c r="F9">
        <v>1.1666700000000001</v>
      </c>
      <c r="G9">
        <v>1.01</v>
      </c>
      <c r="H9">
        <v>3</v>
      </c>
      <c r="I9">
        <v>1.4</v>
      </c>
      <c r="J9">
        <v>5.68</v>
      </c>
      <c r="K9">
        <v>8</v>
      </c>
      <c r="L9">
        <v>1.1052599999999999</v>
      </c>
      <c r="M9">
        <v>0.69</v>
      </c>
      <c r="N9">
        <v>3</v>
      </c>
      <c r="O9">
        <v>1.25</v>
      </c>
      <c r="P9">
        <v>1.48</v>
      </c>
    </row>
    <row r="10" spans="1:16">
      <c r="A10">
        <v>5</v>
      </c>
      <c r="B10">
        <v>14</v>
      </c>
      <c r="C10">
        <v>1.4736800000000001</v>
      </c>
      <c r="D10">
        <v>0.39</v>
      </c>
      <c r="E10">
        <v>8</v>
      </c>
      <c r="F10">
        <v>1.4117599999999999</v>
      </c>
      <c r="G10">
        <v>0.79</v>
      </c>
      <c r="H10">
        <v>5</v>
      </c>
      <c r="I10">
        <v>1.7142900000000001</v>
      </c>
      <c r="J10">
        <v>0.92</v>
      </c>
      <c r="K10">
        <v>10</v>
      </c>
      <c r="L10">
        <v>1.04762</v>
      </c>
      <c r="M10">
        <v>1.35</v>
      </c>
      <c r="N10">
        <v>3</v>
      </c>
      <c r="O10">
        <v>1.11765</v>
      </c>
      <c r="P10">
        <v>1.43</v>
      </c>
    </row>
    <row r="11" spans="1:16">
      <c r="A11">
        <v>6</v>
      </c>
      <c r="B11">
        <v>12</v>
      </c>
      <c r="C11">
        <v>1.14286</v>
      </c>
      <c r="D11">
        <v>0.39</v>
      </c>
      <c r="E11">
        <v>7</v>
      </c>
      <c r="F11">
        <v>1.6666700000000001</v>
      </c>
      <c r="G11">
        <v>0.72</v>
      </c>
      <c r="H11">
        <v>3</v>
      </c>
      <c r="I11">
        <v>1.7692300000000001</v>
      </c>
      <c r="J11">
        <v>0.93</v>
      </c>
      <c r="K11">
        <v>8</v>
      </c>
      <c r="L11">
        <v>1.4117599999999999</v>
      </c>
      <c r="M11">
        <v>1.05</v>
      </c>
      <c r="N11">
        <v>3</v>
      </c>
      <c r="O11">
        <v>1</v>
      </c>
      <c r="P11">
        <v>1.73</v>
      </c>
    </row>
    <row r="12" spans="1:16">
      <c r="A12">
        <v>7</v>
      </c>
      <c r="B12">
        <v>14</v>
      </c>
      <c r="C12">
        <v>1.4736800000000001</v>
      </c>
      <c r="D12">
        <v>0.43</v>
      </c>
      <c r="E12">
        <v>8</v>
      </c>
      <c r="F12">
        <v>1.4117599999999999</v>
      </c>
      <c r="G12">
        <v>0.84</v>
      </c>
      <c r="H12">
        <v>5</v>
      </c>
      <c r="I12">
        <v>1.7142900000000001</v>
      </c>
      <c r="J12">
        <v>0.98</v>
      </c>
      <c r="K12">
        <v>10</v>
      </c>
      <c r="L12">
        <v>1.04762</v>
      </c>
      <c r="M12">
        <v>1.1200000000000001</v>
      </c>
      <c r="N12">
        <v>3</v>
      </c>
      <c r="O12">
        <v>1.11765</v>
      </c>
      <c r="P12">
        <v>1.55</v>
      </c>
    </row>
    <row r="13" spans="1:16">
      <c r="A13">
        <v>8</v>
      </c>
      <c r="B13">
        <v>11</v>
      </c>
      <c r="C13">
        <v>1.5882400000000001</v>
      </c>
      <c r="D13">
        <v>0.43</v>
      </c>
      <c r="E13">
        <v>6</v>
      </c>
      <c r="F13">
        <v>1.2941199999999999</v>
      </c>
      <c r="G13">
        <v>0.83</v>
      </c>
      <c r="H13">
        <v>3</v>
      </c>
      <c r="I13">
        <v>1</v>
      </c>
      <c r="J13">
        <v>0.97</v>
      </c>
      <c r="K13">
        <v>11</v>
      </c>
      <c r="L13">
        <v>1.09524</v>
      </c>
      <c r="M13">
        <v>0.96</v>
      </c>
      <c r="N13">
        <v>3</v>
      </c>
      <c r="O13">
        <v>1.25</v>
      </c>
      <c r="P13">
        <v>1.38</v>
      </c>
    </row>
    <row r="14" spans="1:16">
      <c r="A14">
        <v>9</v>
      </c>
      <c r="B14">
        <v>7</v>
      </c>
      <c r="C14">
        <v>1.1052599999999999</v>
      </c>
      <c r="D14">
        <v>0.42</v>
      </c>
      <c r="E14">
        <v>8</v>
      </c>
      <c r="F14">
        <v>1.5625</v>
      </c>
      <c r="G14">
        <v>0.78</v>
      </c>
      <c r="H14">
        <v>7</v>
      </c>
      <c r="I14">
        <v>1.6666700000000001</v>
      </c>
      <c r="J14">
        <v>0.87</v>
      </c>
      <c r="K14">
        <v>7</v>
      </c>
      <c r="L14">
        <v>1.1052599999999999</v>
      </c>
      <c r="M14">
        <v>0.59</v>
      </c>
      <c r="N14">
        <v>3</v>
      </c>
      <c r="O14">
        <v>1.11765</v>
      </c>
      <c r="P14">
        <v>1.37</v>
      </c>
    </row>
    <row r="15" spans="1:16">
      <c r="A15">
        <v>10</v>
      </c>
      <c r="B15">
        <v>7</v>
      </c>
      <c r="C15">
        <v>1.35294</v>
      </c>
      <c r="D15">
        <v>0.37</v>
      </c>
      <c r="E15">
        <v>4</v>
      </c>
      <c r="F15">
        <v>1.64286</v>
      </c>
      <c r="G15">
        <v>0.71</v>
      </c>
      <c r="H15">
        <v>4</v>
      </c>
      <c r="I15">
        <v>1.64286</v>
      </c>
      <c r="J15">
        <v>0.78</v>
      </c>
      <c r="K15">
        <v>7</v>
      </c>
      <c r="L15">
        <v>1.1052599999999999</v>
      </c>
      <c r="M15">
        <v>0.49</v>
      </c>
      <c r="N15">
        <v>3</v>
      </c>
      <c r="O15">
        <v>1.5714300000000001</v>
      </c>
      <c r="P15">
        <v>1.57</v>
      </c>
    </row>
    <row r="16" spans="1:16">
      <c r="A16">
        <v>11</v>
      </c>
      <c r="B16">
        <v>8</v>
      </c>
      <c r="C16">
        <v>1.2777799999999999</v>
      </c>
      <c r="D16">
        <v>0.41</v>
      </c>
      <c r="E16">
        <v>6</v>
      </c>
      <c r="F16">
        <v>1.1666700000000001</v>
      </c>
      <c r="G16">
        <v>0.76</v>
      </c>
      <c r="H16">
        <v>3</v>
      </c>
      <c r="I16">
        <v>1.4</v>
      </c>
      <c r="J16">
        <v>0.95</v>
      </c>
      <c r="K16">
        <v>8</v>
      </c>
      <c r="L16">
        <v>1.1052599999999999</v>
      </c>
      <c r="M16">
        <v>0.54</v>
      </c>
      <c r="N16">
        <v>3</v>
      </c>
      <c r="O16">
        <v>1.25</v>
      </c>
      <c r="P16">
        <v>2.62</v>
      </c>
    </row>
    <row r="17" spans="1:16">
      <c r="A17">
        <v>12</v>
      </c>
      <c r="B17">
        <v>14</v>
      </c>
      <c r="C17">
        <v>1.4736800000000001</v>
      </c>
      <c r="D17">
        <v>1</v>
      </c>
      <c r="E17">
        <v>8</v>
      </c>
      <c r="F17">
        <v>1.4117599999999999</v>
      </c>
      <c r="G17">
        <v>2.2000000000000002</v>
      </c>
      <c r="H17">
        <v>5</v>
      </c>
      <c r="I17">
        <v>1.7142900000000001</v>
      </c>
      <c r="J17">
        <v>0.87</v>
      </c>
      <c r="K17">
        <v>10</v>
      </c>
      <c r="L17">
        <v>1.04762</v>
      </c>
      <c r="M17">
        <v>0.93</v>
      </c>
      <c r="N17">
        <v>3</v>
      </c>
      <c r="O17">
        <v>1.11765</v>
      </c>
      <c r="P17">
        <v>2.48</v>
      </c>
    </row>
    <row r="18" spans="1:16">
      <c r="A18">
        <v>13</v>
      </c>
      <c r="B18">
        <v>7</v>
      </c>
      <c r="C18">
        <v>1.1052599999999999</v>
      </c>
      <c r="D18">
        <v>0.49</v>
      </c>
      <c r="E18">
        <v>8</v>
      </c>
      <c r="F18">
        <v>1.5625</v>
      </c>
      <c r="G18">
        <v>1.25</v>
      </c>
      <c r="H18">
        <v>7</v>
      </c>
      <c r="I18">
        <v>1.6666700000000001</v>
      </c>
      <c r="J18">
        <v>1.43</v>
      </c>
      <c r="K18">
        <v>7</v>
      </c>
      <c r="L18">
        <v>1.1052599999999999</v>
      </c>
      <c r="M18">
        <v>0.54</v>
      </c>
      <c r="N18">
        <v>3</v>
      </c>
      <c r="O18">
        <v>1.11765</v>
      </c>
      <c r="P18">
        <v>1.83</v>
      </c>
    </row>
    <row r="19" spans="1:16">
      <c r="A19">
        <v>14</v>
      </c>
      <c r="B19">
        <v>7</v>
      </c>
      <c r="C19">
        <v>1.35294</v>
      </c>
      <c r="D19">
        <v>0.5</v>
      </c>
      <c r="E19">
        <v>6</v>
      </c>
      <c r="F19">
        <v>1.1666700000000001</v>
      </c>
      <c r="G19">
        <v>0.7</v>
      </c>
      <c r="H19">
        <v>4</v>
      </c>
      <c r="I19">
        <v>1.64286</v>
      </c>
      <c r="J19">
        <v>0.93</v>
      </c>
      <c r="K19">
        <v>7</v>
      </c>
      <c r="L19">
        <v>1.1052599999999999</v>
      </c>
      <c r="M19">
        <v>0.51</v>
      </c>
      <c r="N19">
        <v>3</v>
      </c>
      <c r="O19">
        <v>1.25</v>
      </c>
      <c r="P19">
        <v>3.23</v>
      </c>
    </row>
    <row r="20" spans="1:16">
      <c r="A20">
        <v>15</v>
      </c>
      <c r="B20">
        <v>11</v>
      </c>
      <c r="C20">
        <v>1.2</v>
      </c>
      <c r="D20">
        <v>0.51</v>
      </c>
      <c r="E20">
        <v>3</v>
      </c>
      <c r="F20">
        <v>1.7692300000000001</v>
      </c>
      <c r="G20">
        <v>0.66</v>
      </c>
      <c r="H20">
        <v>3</v>
      </c>
      <c r="I20">
        <v>1.4</v>
      </c>
      <c r="J20">
        <v>0.87</v>
      </c>
      <c r="K20">
        <v>3</v>
      </c>
      <c r="L20">
        <v>1.7692300000000001</v>
      </c>
      <c r="M20">
        <v>0.86</v>
      </c>
      <c r="N20">
        <v>3</v>
      </c>
      <c r="O20">
        <v>1.5714300000000001</v>
      </c>
      <c r="P20">
        <v>2.91</v>
      </c>
    </row>
    <row r="21" spans="1:16">
      <c r="A21">
        <v>16</v>
      </c>
      <c r="B21">
        <v>7</v>
      </c>
      <c r="C21">
        <v>1.35294</v>
      </c>
      <c r="D21">
        <v>0.28999999999999998</v>
      </c>
      <c r="E21">
        <v>4</v>
      </c>
      <c r="F21">
        <v>1.64286</v>
      </c>
      <c r="G21">
        <v>0.48</v>
      </c>
      <c r="H21">
        <v>4</v>
      </c>
      <c r="I21">
        <v>1.64286</v>
      </c>
      <c r="J21">
        <v>0.76</v>
      </c>
      <c r="K21">
        <v>7</v>
      </c>
      <c r="L21">
        <v>1.1052599999999999</v>
      </c>
      <c r="M21">
        <v>0.39</v>
      </c>
      <c r="N21">
        <v>3</v>
      </c>
      <c r="O21">
        <v>1.5714300000000001</v>
      </c>
      <c r="P21">
        <v>0.95</v>
      </c>
    </row>
    <row r="22" spans="1:16">
      <c r="A22">
        <v>17</v>
      </c>
      <c r="B22">
        <v>11</v>
      </c>
      <c r="C22">
        <v>1.2</v>
      </c>
      <c r="D22">
        <v>0.31</v>
      </c>
      <c r="E22">
        <v>4</v>
      </c>
      <c r="F22">
        <v>1.64286</v>
      </c>
      <c r="G22">
        <v>0.56000000000000005</v>
      </c>
      <c r="H22">
        <v>3</v>
      </c>
      <c r="I22">
        <v>1.5714300000000001</v>
      </c>
      <c r="J22">
        <v>0.73</v>
      </c>
      <c r="K22">
        <v>5</v>
      </c>
      <c r="L22">
        <v>1.5333300000000001</v>
      </c>
      <c r="M22">
        <v>1.1399999999999999</v>
      </c>
      <c r="N22">
        <v>3</v>
      </c>
      <c r="O22">
        <v>1.5714300000000001</v>
      </c>
      <c r="P22">
        <v>1.42</v>
      </c>
    </row>
    <row r="23" spans="1:16">
      <c r="A23">
        <v>18</v>
      </c>
      <c r="B23">
        <v>7</v>
      </c>
      <c r="C23">
        <v>1.1052599999999999</v>
      </c>
      <c r="D23">
        <v>0.35</v>
      </c>
      <c r="E23">
        <v>8</v>
      </c>
      <c r="F23">
        <v>1.5625</v>
      </c>
      <c r="G23">
        <v>0.56000000000000005</v>
      </c>
      <c r="H23">
        <v>7</v>
      </c>
      <c r="I23">
        <v>1.6666700000000001</v>
      </c>
      <c r="J23">
        <v>0.7</v>
      </c>
      <c r="K23">
        <v>7</v>
      </c>
      <c r="L23">
        <v>1.1052599999999999</v>
      </c>
      <c r="M23">
        <v>0.38</v>
      </c>
      <c r="N23">
        <v>3</v>
      </c>
      <c r="O23">
        <v>1.11765</v>
      </c>
      <c r="P23">
        <v>1.38</v>
      </c>
    </row>
    <row r="24" spans="1:16">
      <c r="A24">
        <v>19</v>
      </c>
      <c r="B24">
        <v>7</v>
      </c>
      <c r="C24">
        <v>1.1052599999999999</v>
      </c>
      <c r="D24">
        <v>0.24</v>
      </c>
      <c r="E24">
        <v>5</v>
      </c>
      <c r="F24">
        <v>1.7142900000000001</v>
      </c>
      <c r="G24">
        <v>0.52</v>
      </c>
      <c r="H24">
        <v>3</v>
      </c>
      <c r="I24">
        <v>1</v>
      </c>
      <c r="J24">
        <v>0.9</v>
      </c>
      <c r="K24">
        <v>7</v>
      </c>
      <c r="L24">
        <v>1.1052599999999999</v>
      </c>
      <c r="M24">
        <v>0.39</v>
      </c>
      <c r="N24">
        <v>3</v>
      </c>
      <c r="O24">
        <v>1.5714300000000001</v>
      </c>
      <c r="P24">
        <v>1.1299999999999999</v>
      </c>
    </row>
    <row r="25" spans="1:16">
      <c r="A25">
        <v>20</v>
      </c>
      <c r="B25">
        <v>10</v>
      </c>
      <c r="C25">
        <v>1.04762</v>
      </c>
      <c r="D25">
        <v>0.26</v>
      </c>
      <c r="E25">
        <v>8</v>
      </c>
      <c r="F25">
        <v>1.2777799999999999</v>
      </c>
      <c r="G25">
        <v>0.49</v>
      </c>
      <c r="H25">
        <v>5</v>
      </c>
      <c r="I25">
        <v>1.5333300000000001</v>
      </c>
      <c r="J25">
        <v>6.02</v>
      </c>
      <c r="K25">
        <v>11</v>
      </c>
      <c r="L25">
        <v>1</v>
      </c>
      <c r="M25">
        <v>2.23</v>
      </c>
      <c r="N25">
        <v>3</v>
      </c>
      <c r="O25">
        <v>1.25</v>
      </c>
      <c r="P25">
        <v>1.07</v>
      </c>
    </row>
    <row r="26" spans="1:16">
      <c r="A26">
        <v>21</v>
      </c>
      <c r="B26">
        <v>15</v>
      </c>
      <c r="C26">
        <v>1.1818200000000001</v>
      </c>
      <c r="D26">
        <v>0.3</v>
      </c>
      <c r="E26">
        <v>6</v>
      </c>
      <c r="F26">
        <v>1.2941199999999999</v>
      </c>
      <c r="G26">
        <v>0.43</v>
      </c>
      <c r="H26">
        <v>3</v>
      </c>
      <c r="I26">
        <v>1.7692300000000001</v>
      </c>
      <c r="J26">
        <v>0.67</v>
      </c>
      <c r="K26">
        <v>9</v>
      </c>
      <c r="L26">
        <v>1</v>
      </c>
      <c r="M26">
        <v>2.2999999999999998</v>
      </c>
      <c r="N26">
        <v>3</v>
      </c>
      <c r="O26">
        <v>1.7692300000000001</v>
      </c>
      <c r="P26">
        <v>2.0699999999999998</v>
      </c>
    </row>
    <row r="27" spans="1:16">
      <c r="A27">
        <v>22</v>
      </c>
      <c r="B27">
        <v>7</v>
      </c>
      <c r="C27">
        <v>1.1052599999999999</v>
      </c>
      <c r="D27">
        <v>0.25</v>
      </c>
      <c r="E27">
        <v>8</v>
      </c>
      <c r="F27">
        <v>1.5625</v>
      </c>
      <c r="G27">
        <v>4.24</v>
      </c>
      <c r="H27">
        <v>7</v>
      </c>
      <c r="I27">
        <v>1.6666700000000001</v>
      </c>
      <c r="J27">
        <v>0.83</v>
      </c>
      <c r="K27">
        <v>7</v>
      </c>
      <c r="L27">
        <v>1.1052599999999999</v>
      </c>
      <c r="M27">
        <v>3.74</v>
      </c>
      <c r="N27">
        <v>3</v>
      </c>
      <c r="O27">
        <v>1.11765</v>
      </c>
      <c r="P27">
        <v>0.89</v>
      </c>
    </row>
    <row r="28" spans="1:16">
      <c r="A28">
        <v>23</v>
      </c>
      <c r="B28">
        <v>8</v>
      </c>
      <c r="C28">
        <v>1.4117599999999999</v>
      </c>
      <c r="D28">
        <v>0.17</v>
      </c>
      <c r="E28">
        <v>5</v>
      </c>
      <c r="F28">
        <v>1.7142900000000001</v>
      </c>
      <c r="G28">
        <v>0.39</v>
      </c>
      <c r="H28">
        <v>3</v>
      </c>
      <c r="I28">
        <v>1.25</v>
      </c>
      <c r="J28">
        <v>10.63</v>
      </c>
      <c r="K28">
        <v>8</v>
      </c>
      <c r="L28">
        <v>1.1052599999999999</v>
      </c>
      <c r="M28">
        <v>0.54</v>
      </c>
      <c r="N28">
        <v>3</v>
      </c>
      <c r="O28">
        <v>1.4</v>
      </c>
      <c r="P28">
        <v>2.87</v>
      </c>
    </row>
    <row r="29" spans="1:16">
      <c r="A29">
        <v>24</v>
      </c>
      <c r="B29">
        <v>7</v>
      </c>
      <c r="C29">
        <v>1.1052599999999999</v>
      </c>
      <c r="D29">
        <v>6.19</v>
      </c>
      <c r="E29">
        <v>8</v>
      </c>
      <c r="F29">
        <v>1.5625</v>
      </c>
      <c r="G29">
        <v>1.23</v>
      </c>
      <c r="H29">
        <v>7</v>
      </c>
      <c r="I29">
        <v>1.6666700000000001</v>
      </c>
      <c r="J29">
        <v>0.68</v>
      </c>
      <c r="K29">
        <v>7</v>
      </c>
      <c r="L29">
        <v>1.1052599999999999</v>
      </c>
      <c r="M29">
        <v>0.35</v>
      </c>
      <c r="N29">
        <v>3</v>
      </c>
      <c r="O29">
        <v>1.11765</v>
      </c>
      <c r="P29">
        <v>1.61</v>
      </c>
    </row>
    <row r="30" spans="1:16">
      <c r="A30">
        <v>25</v>
      </c>
      <c r="B30">
        <v>7</v>
      </c>
      <c r="C30">
        <v>1.35294</v>
      </c>
      <c r="D30">
        <v>0.21</v>
      </c>
      <c r="E30">
        <v>6</v>
      </c>
      <c r="F30">
        <v>1.1666700000000001</v>
      </c>
      <c r="G30">
        <v>1.53</v>
      </c>
      <c r="H30">
        <v>4</v>
      </c>
      <c r="I30">
        <v>1.64286</v>
      </c>
      <c r="J30">
        <v>0.61</v>
      </c>
      <c r="K30">
        <v>7</v>
      </c>
      <c r="L30">
        <v>1.1052599999999999</v>
      </c>
      <c r="M30">
        <v>0.32</v>
      </c>
      <c r="N30">
        <v>3</v>
      </c>
      <c r="O30">
        <v>1.25</v>
      </c>
      <c r="P30">
        <v>0.96</v>
      </c>
    </row>
    <row r="31" spans="1:16">
      <c r="A31">
        <v>26</v>
      </c>
      <c r="B31">
        <v>11</v>
      </c>
      <c r="C31">
        <v>1.2</v>
      </c>
      <c r="D31">
        <v>0.31</v>
      </c>
      <c r="E31">
        <v>3</v>
      </c>
      <c r="F31">
        <v>1.7692300000000001</v>
      </c>
      <c r="G31">
        <v>0.78</v>
      </c>
      <c r="H31">
        <v>3</v>
      </c>
      <c r="I31">
        <v>1.4</v>
      </c>
      <c r="J31">
        <v>0.82</v>
      </c>
      <c r="K31">
        <v>3</v>
      </c>
      <c r="L31">
        <v>1.7692300000000001</v>
      </c>
      <c r="M31">
        <v>0.68</v>
      </c>
      <c r="N31">
        <v>3</v>
      </c>
      <c r="O31">
        <v>1.5714300000000001</v>
      </c>
      <c r="P31">
        <v>1.02</v>
      </c>
    </row>
    <row r="32" spans="1:16">
      <c r="A32">
        <v>27</v>
      </c>
      <c r="B32">
        <v>11</v>
      </c>
      <c r="C32">
        <v>1.2</v>
      </c>
      <c r="D32">
        <v>0.26</v>
      </c>
      <c r="E32">
        <v>3</v>
      </c>
      <c r="F32">
        <v>1.7692300000000001</v>
      </c>
      <c r="G32">
        <v>0.65</v>
      </c>
      <c r="H32">
        <v>3</v>
      </c>
      <c r="I32">
        <v>1.4</v>
      </c>
      <c r="J32">
        <v>0.77</v>
      </c>
      <c r="K32">
        <v>3</v>
      </c>
      <c r="L32">
        <v>1.7692300000000001</v>
      </c>
      <c r="M32">
        <v>0.64</v>
      </c>
      <c r="N32">
        <v>3</v>
      </c>
      <c r="O32">
        <v>1.5714300000000001</v>
      </c>
      <c r="P32">
        <v>0.92</v>
      </c>
    </row>
    <row r="33" spans="1:16">
      <c r="A33">
        <v>28</v>
      </c>
      <c r="B33">
        <v>7</v>
      </c>
      <c r="C33">
        <v>1.1052599999999999</v>
      </c>
      <c r="D33">
        <v>0.28999999999999998</v>
      </c>
      <c r="E33">
        <v>8</v>
      </c>
      <c r="F33">
        <v>1.5625</v>
      </c>
      <c r="G33">
        <v>0.55000000000000004</v>
      </c>
      <c r="H33">
        <v>7</v>
      </c>
      <c r="I33">
        <v>1.6666700000000001</v>
      </c>
      <c r="J33">
        <v>0.69</v>
      </c>
      <c r="K33">
        <v>7</v>
      </c>
      <c r="L33">
        <v>1.1052599999999999</v>
      </c>
      <c r="M33">
        <v>0.38</v>
      </c>
      <c r="N33">
        <v>3</v>
      </c>
      <c r="O33">
        <v>1.11765</v>
      </c>
      <c r="P33">
        <v>1.54</v>
      </c>
    </row>
    <row r="34" spans="1:16">
      <c r="A34">
        <v>29</v>
      </c>
      <c r="B34">
        <v>7</v>
      </c>
      <c r="C34">
        <v>1.1052599999999999</v>
      </c>
      <c r="D34">
        <v>0.24</v>
      </c>
      <c r="E34">
        <v>8</v>
      </c>
      <c r="F34">
        <v>1.5625</v>
      </c>
      <c r="G34">
        <v>0.49</v>
      </c>
      <c r="H34">
        <v>7</v>
      </c>
      <c r="I34">
        <v>1.6666700000000001</v>
      </c>
      <c r="J34">
        <v>0.63</v>
      </c>
      <c r="K34">
        <v>7</v>
      </c>
      <c r="L34">
        <v>1.1052599999999999</v>
      </c>
      <c r="M34">
        <v>0.31</v>
      </c>
      <c r="N34">
        <v>3</v>
      </c>
      <c r="O34">
        <v>1.11765</v>
      </c>
      <c r="P34">
        <v>0.9</v>
      </c>
    </row>
    <row r="35" spans="1:16">
      <c r="A35">
        <v>30</v>
      </c>
      <c r="B35">
        <v>7</v>
      </c>
      <c r="C35">
        <v>1.35294</v>
      </c>
      <c r="D35">
        <v>0.23</v>
      </c>
      <c r="E35">
        <v>4</v>
      </c>
      <c r="F35">
        <v>1.64286</v>
      </c>
      <c r="G35">
        <v>0.39</v>
      </c>
      <c r="H35">
        <v>4</v>
      </c>
      <c r="I35">
        <v>1.64286</v>
      </c>
      <c r="J35">
        <v>0.6</v>
      </c>
      <c r="K35">
        <v>7</v>
      </c>
      <c r="L35">
        <v>1.1052599999999999</v>
      </c>
      <c r="M35">
        <v>0.38</v>
      </c>
      <c r="N35">
        <v>3</v>
      </c>
      <c r="O35">
        <v>1.5714300000000001</v>
      </c>
      <c r="P35">
        <v>1.1200000000000001</v>
      </c>
    </row>
    <row r="36" spans="1:16">
      <c r="A36">
        <v>31</v>
      </c>
      <c r="B36">
        <v>15</v>
      </c>
      <c r="C36">
        <v>1.1818200000000001</v>
      </c>
      <c r="D36">
        <v>0.27</v>
      </c>
      <c r="E36">
        <v>6</v>
      </c>
      <c r="F36">
        <v>1.2941199999999999</v>
      </c>
      <c r="G36">
        <v>0.42</v>
      </c>
      <c r="H36">
        <v>3</v>
      </c>
      <c r="I36">
        <v>1.7692300000000001</v>
      </c>
      <c r="J36">
        <v>0.67</v>
      </c>
      <c r="K36">
        <v>9</v>
      </c>
      <c r="L36">
        <v>1</v>
      </c>
      <c r="M36">
        <v>0.73</v>
      </c>
      <c r="N36">
        <v>3</v>
      </c>
      <c r="O36">
        <v>1.7692300000000001</v>
      </c>
      <c r="P36">
        <v>0.72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15</v>
      </c>
      <c r="C40" s="1">
        <f t="shared" ref="C40:J40" si="0">MAX(C5:C36)</f>
        <v>1.5882400000000001</v>
      </c>
      <c r="D40" s="1">
        <f t="shared" si="0"/>
        <v>11.65</v>
      </c>
      <c r="E40" s="1">
        <f t="shared" si="0"/>
        <v>8</v>
      </c>
      <c r="F40" s="1">
        <f t="shared" si="0"/>
        <v>1.7692300000000001</v>
      </c>
      <c r="G40" s="1">
        <f t="shared" si="0"/>
        <v>4.24</v>
      </c>
      <c r="H40" s="1">
        <f t="shared" si="0"/>
        <v>7</v>
      </c>
      <c r="I40" s="1">
        <f t="shared" si="0"/>
        <v>1.7692300000000001</v>
      </c>
      <c r="J40" s="1">
        <f t="shared" si="0"/>
        <v>10.63</v>
      </c>
      <c r="K40" s="1">
        <f t="shared" ref="K40:P40" si="1">MAX(K5:K36)</f>
        <v>11</v>
      </c>
      <c r="L40" s="1">
        <f t="shared" si="1"/>
        <v>1.7692300000000001</v>
      </c>
      <c r="M40" s="1">
        <f t="shared" si="1"/>
        <v>3.74</v>
      </c>
      <c r="N40" s="1">
        <f t="shared" si="1"/>
        <v>3</v>
      </c>
      <c r="O40" s="1">
        <f t="shared" si="1"/>
        <v>1.7692300000000001</v>
      </c>
      <c r="P40" s="1">
        <f t="shared" si="1"/>
        <v>6.49</v>
      </c>
    </row>
    <row r="41" spans="1:16">
      <c r="A41" t="s">
        <v>12</v>
      </c>
      <c r="B41" s="1">
        <f>MIN(B5:B36)</f>
        <v>7</v>
      </c>
      <c r="C41" s="1">
        <f t="shared" ref="C41:J41" si="2">MIN(C5:C36)</f>
        <v>1</v>
      </c>
      <c r="D41" s="1">
        <f t="shared" si="2"/>
        <v>0.17</v>
      </c>
      <c r="E41" s="1">
        <f t="shared" si="2"/>
        <v>3</v>
      </c>
      <c r="F41" s="1">
        <f t="shared" si="2"/>
        <v>1.1666700000000001</v>
      </c>
      <c r="G41" s="1">
        <f t="shared" si="2"/>
        <v>0.39</v>
      </c>
      <c r="H41" s="1">
        <f t="shared" si="2"/>
        <v>3</v>
      </c>
      <c r="I41" s="1">
        <f t="shared" si="2"/>
        <v>1</v>
      </c>
      <c r="J41" s="1">
        <f t="shared" si="2"/>
        <v>0.6</v>
      </c>
      <c r="K41" s="1">
        <f t="shared" ref="K41:P41" si="3">MIN(K5:K36)</f>
        <v>3</v>
      </c>
      <c r="L41" s="1">
        <f t="shared" si="3"/>
        <v>1</v>
      </c>
      <c r="M41" s="1">
        <f t="shared" si="3"/>
        <v>0.31</v>
      </c>
      <c r="N41" s="1">
        <f t="shared" si="3"/>
        <v>3</v>
      </c>
      <c r="O41" s="1">
        <f t="shared" si="3"/>
        <v>1</v>
      </c>
      <c r="P41" s="1">
        <f t="shared" si="3"/>
        <v>0.72</v>
      </c>
    </row>
    <row r="42" spans="1:16">
      <c r="A42" t="s">
        <v>13</v>
      </c>
      <c r="B42" s="1">
        <f>MEDIAN(B5:B36)</f>
        <v>8</v>
      </c>
      <c r="C42" s="1">
        <f t="shared" ref="C42:J42" si="4">MEDIAN(C5:C36)</f>
        <v>1.2</v>
      </c>
      <c r="D42" s="1">
        <f t="shared" si="4"/>
        <v>0.38</v>
      </c>
      <c r="E42" s="1">
        <f t="shared" si="4"/>
        <v>6</v>
      </c>
      <c r="F42" s="1">
        <f t="shared" si="4"/>
        <v>1.5625</v>
      </c>
      <c r="G42" s="1">
        <f t="shared" si="4"/>
        <v>0.74</v>
      </c>
      <c r="H42" s="1">
        <f t="shared" si="4"/>
        <v>4</v>
      </c>
      <c r="I42" s="1">
        <f t="shared" si="4"/>
        <v>1.64286</v>
      </c>
      <c r="J42" s="1">
        <f t="shared" si="4"/>
        <v>0.87</v>
      </c>
      <c r="K42" s="1">
        <f t="shared" ref="K42:P42" si="5">MEDIAN(K5:K36)</f>
        <v>7</v>
      </c>
      <c r="L42" s="1">
        <f t="shared" si="5"/>
        <v>1.1052599999999999</v>
      </c>
      <c r="M42" s="1">
        <f t="shared" si="5"/>
        <v>0.68500000000000005</v>
      </c>
      <c r="N42" s="1">
        <f t="shared" si="5"/>
        <v>3</v>
      </c>
      <c r="O42" s="1">
        <f t="shared" si="5"/>
        <v>1.25</v>
      </c>
      <c r="P42" s="1">
        <f t="shared" si="5"/>
        <v>1.51</v>
      </c>
    </row>
    <row r="43" spans="1:16">
      <c r="A43" t="s">
        <v>14</v>
      </c>
      <c r="B43" s="1">
        <f>AVERAGE(B5:B36)</f>
        <v>9.34375</v>
      </c>
      <c r="C43" s="1">
        <f t="shared" ref="C43:J43" si="6">AVERAGE(C5:C36)</f>
        <v>1.2469437500000002</v>
      </c>
      <c r="D43" s="1">
        <f t="shared" si="6"/>
        <v>0.92125000000000012</v>
      </c>
      <c r="E43" s="1">
        <f t="shared" si="6"/>
        <v>5.90625</v>
      </c>
      <c r="F43" s="1">
        <f t="shared" si="6"/>
        <v>1.5137706249999998</v>
      </c>
      <c r="G43" s="1">
        <f t="shared" si="6"/>
        <v>1.0778125000000001</v>
      </c>
      <c r="H43" s="1">
        <f t="shared" si="6"/>
        <v>4.3125</v>
      </c>
      <c r="I43" s="1">
        <f t="shared" si="6"/>
        <v>1.5359562500000001</v>
      </c>
      <c r="J43" s="1">
        <f t="shared" si="6"/>
        <v>1.6075000000000004</v>
      </c>
      <c r="K43" s="1">
        <f t="shared" ref="K43:P43" si="7">AVERAGE(K5:K36)</f>
        <v>7.375</v>
      </c>
      <c r="L43" s="1">
        <f t="shared" si="7"/>
        <v>1.1882546875000004</v>
      </c>
      <c r="M43" s="1">
        <f t="shared" si="7"/>
        <v>0.90187499999999998</v>
      </c>
      <c r="N43" s="1">
        <f t="shared" si="7"/>
        <v>3</v>
      </c>
      <c r="O43" s="1">
        <f t="shared" si="7"/>
        <v>1.3477893749999998</v>
      </c>
      <c r="P43" s="1">
        <f t="shared" si="7"/>
        <v>1.7590625000000002</v>
      </c>
    </row>
    <row r="44" spans="1:16">
      <c r="A44" t="s">
        <v>15</v>
      </c>
      <c r="B44" s="1">
        <f>STDEV(B5:B36)</f>
        <v>2.7662642212802964</v>
      </c>
      <c r="C44" s="1">
        <f t="shared" ref="C44:J44" si="8">STDEV(C5:C36)</f>
        <v>0.14875749335964464</v>
      </c>
      <c r="D44" s="1">
        <f t="shared" si="8"/>
        <v>2.2162984980047393</v>
      </c>
      <c r="E44" s="1">
        <f t="shared" si="8"/>
        <v>1.8203043878747667</v>
      </c>
      <c r="F44" s="1">
        <f t="shared" si="8"/>
        <v>0.19445292429619068</v>
      </c>
      <c r="G44" s="1">
        <f t="shared" si="8"/>
        <v>0.9514801181961613</v>
      </c>
      <c r="H44" s="1">
        <f t="shared" si="8"/>
        <v>1.5951033943634116</v>
      </c>
      <c r="I44" s="1">
        <f t="shared" si="8"/>
        <v>0.22483436256928344</v>
      </c>
      <c r="J44" s="1">
        <f t="shared" si="8"/>
        <v>2.1045496031830808</v>
      </c>
      <c r="K44" s="1">
        <f t="shared" ref="K44:P44" si="9">STDEV(K5:K36)</f>
        <v>2.0280293947096655</v>
      </c>
      <c r="L44" s="1">
        <f t="shared" si="9"/>
        <v>0.22760217936459118</v>
      </c>
      <c r="M44" s="1">
        <f t="shared" si="9"/>
        <v>0.71267527555479071</v>
      </c>
      <c r="N44" s="1">
        <f t="shared" si="9"/>
        <v>0</v>
      </c>
      <c r="O44" s="1">
        <f t="shared" si="9"/>
        <v>0.22515434707339854</v>
      </c>
      <c r="P44" s="1">
        <f t="shared" si="9"/>
        <v>1.0798098977702426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4"/>
  <sheetViews>
    <sheetView topLeftCell="A19" workbookViewId="0">
      <selection sqref="A1:P36"/>
    </sheetView>
  </sheetViews>
  <sheetFormatPr baseColWidth="10" defaultRowHeight="16"/>
  <sheetData>
    <row r="1" spans="1:16">
      <c r="A1" t="s">
        <v>0</v>
      </c>
      <c r="B1" t="s">
        <v>22</v>
      </c>
      <c r="C1" t="s">
        <v>1</v>
      </c>
      <c r="D1">
        <v>303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9</v>
      </c>
      <c r="C5">
        <v>1.03922</v>
      </c>
      <c r="D5">
        <v>1.84</v>
      </c>
      <c r="E5">
        <v>10</v>
      </c>
      <c r="F5">
        <v>1.79464</v>
      </c>
      <c r="G5">
        <v>2.5299999999999998</v>
      </c>
      <c r="H5">
        <v>3</v>
      </c>
      <c r="I5">
        <v>1.04</v>
      </c>
      <c r="J5">
        <v>16.3</v>
      </c>
      <c r="K5">
        <v>9</v>
      </c>
      <c r="L5">
        <v>1.03247</v>
      </c>
      <c r="M5">
        <v>2.23</v>
      </c>
      <c r="N5">
        <v>3</v>
      </c>
      <c r="O5">
        <v>1.7079599999999999</v>
      </c>
      <c r="P5">
        <v>7.23</v>
      </c>
    </row>
    <row r="6" spans="1:16">
      <c r="A6">
        <v>1</v>
      </c>
      <c r="B6">
        <v>10</v>
      </c>
      <c r="C6">
        <v>1.03247</v>
      </c>
      <c r="D6">
        <v>1.45</v>
      </c>
      <c r="E6">
        <v>4</v>
      </c>
      <c r="F6">
        <v>1.9519200000000001</v>
      </c>
      <c r="G6">
        <v>2.81</v>
      </c>
      <c r="H6">
        <v>9</v>
      </c>
      <c r="I6">
        <v>1.9434</v>
      </c>
      <c r="J6">
        <v>4.5999999999999996</v>
      </c>
      <c r="K6">
        <v>10</v>
      </c>
      <c r="L6">
        <v>1.03247</v>
      </c>
      <c r="M6">
        <v>1.52</v>
      </c>
      <c r="N6">
        <v>3</v>
      </c>
      <c r="O6">
        <v>1.94231</v>
      </c>
      <c r="P6">
        <v>5.83</v>
      </c>
    </row>
    <row r="7" spans="1:16">
      <c r="A7">
        <v>2</v>
      </c>
      <c r="B7">
        <v>10</v>
      </c>
      <c r="C7">
        <v>1.03247</v>
      </c>
      <c r="D7">
        <v>1.23</v>
      </c>
      <c r="E7">
        <v>4</v>
      </c>
      <c r="F7">
        <v>1.9519200000000001</v>
      </c>
      <c r="G7">
        <v>2.5</v>
      </c>
      <c r="H7">
        <v>9</v>
      </c>
      <c r="I7">
        <v>1.9434</v>
      </c>
      <c r="J7">
        <v>10.07</v>
      </c>
      <c r="K7">
        <v>10</v>
      </c>
      <c r="L7">
        <v>1.03247</v>
      </c>
      <c r="M7">
        <v>1.77</v>
      </c>
      <c r="N7">
        <v>3</v>
      </c>
      <c r="O7">
        <v>1.94231</v>
      </c>
      <c r="P7">
        <v>10.39</v>
      </c>
    </row>
    <row r="8" spans="1:16">
      <c r="A8">
        <v>3</v>
      </c>
      <c r="B8">
        <v>10</v>
      </c>
      <c r="C8">
        <v>1.03247</v>
      </c>
      <c r="D8">
        <v>1.38</v>
      </c>
      <c r="E8">
        <v>4</v>
      </c>
      <c r="F8">
        <v>1.9519200000000001</v>
      </c>
      <c r="G8">
        <v>8.0399999999999991</v>
      </c>
      <c r="H8">
        <v>9</v>
      </c>
      <c r="I8">
        <v>1.9434</v>
      </c>
      <c r="J8">
        <v>5.67</v>
      </c>
      <c r="K8">
        <v>10</v>
      </c>
      <c r="L8">
        <v>1.03247</v>
      </c>
      <c r="M8">
        <v>1.61</v>
      </c>
      <c r="N8">
        <v>3</v>
      </c>
      <c r="O8">
        <v>1.94231</v>
      </c>
      <c r="P8">
        <v>10.57</v>
      </c>
    </row>
    <row r="9" spans="1:16">
      <c r="A9">
        <v>4</v>
      </c>
      <c r="B9">
        <v>12</v>
      </c>
      <c r="C9">
        <v>1.04545</v>
      </c>
      <c r="D9">
        <v>5.38</v>
      </c>
      <c r="E9">
        <v>4</v>
      </c>
      <c r="F9">
        <v>1.9519200000000001</v>
      </c>
      <c r="G9">
        <v>6.69</v>
      </c>
      <c r="H9">
        <v>3</v>
      </c>
      <c r="I9">
        <v>1.4094500000000001</v>
      </c>
      <c r="J9">
        <v>3.62</v>
      </c>
      <c r="K9">
        <v>12</v>
      </c>
      <c r="L9">
        <v>1.03247</v>
      </c>
      <c r="M9">
        <v>3.54</v>
      </c>
      <c r="N9">
        <v>3</v>
      </c>
      <c r="O9">
        <v>1.94231</v>
      </c>
      <c r="P9">
        <v>7.4</v>
      </c>
    </row>
    <row r="10" spans="1:16">
      <c r="A10">
        <v>5</v>
      </c>
      <c r="B10">
        <v>10</v>
      </c>
      <c r="C10">
        <v>1.03247</v>
      </c>
      <c r="D10">
        <v>4.45</v>
      </c>
      <c r="E10">
        <v>4</v>
      </c>
      <c r="F10">
        <v>1.9519200000000001</v>
      </c>
      <c r="G10">
        <v>6.45</v>
      </c>
      <c r="H10">
        <v>4</v>
      </c>
      <c r="I10">
        <v>1.9519200000000001</v>
      </c>
      <c r="J10">
        <v>9.19</v>
      </c>
      <c r="K10">
        <v>10</v>
      </c>
      <c r="L10">
        <v>1.03247</v>
      </c>
      <c r="M10">
        <v>3.81</v>
      </c>
      <c r="N10">
        <v>3</v>
      </c>
      <c r="O10">
        <v>1.94231</v>
      </c>
      <c r="P10">
        <v>8.06</v>
      </c>
    </row>
    <row r="11" spans="1:16">
      <c r="A11">
        <v>6</v>
      </c>
      <c r="B11">
        <v>9</v>
      </c>
      <c r="C11">
        <v>1.03922</v>
      </c>
      <c r="D11">
        <v>1.74</v>
      </c>
      <c r="E11">
        <v>10</v>
      </c>
      <c r="F11">
        <v>1.79464</v>
      </c>
      <c r="G11">
        <v>4.6500000000000004</v>
      </c>
      <c r="H11">
        <v>10</v>
      </c>
      <c r="I11">
        <v>1.79464</v>
      </c>
      <c r="J11">
        <v>4.05</v>
      </c>
      <c r="K11">
        <v>9</v>
      </c>
      <c r="L11">
        <v>1.03247</v>
      </c>
      <c r="M11">
        <v>1.34</v>
      </c>
      <c r="N11">
        <v>3</v>
      </c>
      <c r="O11">
        <v>1.7079599999999999</v>
      </c>
      <c r="P11">
        <v>6.35</v>
      </c>
    </row>
    <row r="12" spans="1:16">
      <c r="A12">
        <v>7</v>
      </c>
      <c r="B12">
        <v>10</v>
      </c>
      <c r="C12">
        <v>1.03247</v>
      </c>
      <c r="D12">
        <v>1.1499999999999999</v>
      </c>
      <c r="E12">
        <v>4</v>
      </c>
      <c r="F12">
        <v>1.9519200000000001</v>
      </c>
      <c r="G12">
        <v>2.06</v>
      </c>
      <c r="H12">
        <v>9</v>
      </c>
      <c r="I12">
        <v>1.9434</v>
      </c>
      <c r="J12">
        <v>8.26</v>
      </c>
      <c r="K12">
        <v>10</v>
      </c>
      <c r="L12">
        <v>1.03247</v>
      </c>
      <c r="M12">
        <v>1.48</v>
      </c>
      <c r="N12">
        <v>3</v>
      </c>
      <c r="O12">
        <v>1.94231</v>
      </c>
      <c r="P12">
        <v>12.74</v>
      </c>
    </row>
    <row r="13" spans="1:16">
      <c r="A13">
        <v>8</v>
      </c>
      <c r="B13">
        <v>10</v>
      </c>
      <c r="C13">
        <v>1.04575</v>
      </c>
      <c r="D13">
        <v>3.97</v>
      </c>
      <c r="E13">
        <v>4</v>
      </c>
      <c r="F13">
        <v>1.9519200000000001</v>
      </c>
      <c r="G13">
        <v>5.15</v>
      </c>
      <c r="H13">
        <v>9</v>
      </c>
      <c r="I13">
        <v>1.9434</v>
      </c>
      <c r="J13">
        <v>16.420000000000002</v>
      </c>
      <c r="K13">
        <v>10</v>
      </c>
      <c r="L13">
        <v>1.03247</v>
      </c>
      <c r="M13">
        <v>6.71</v>
      </c>
      <c r="N13">
        <v>3</v>
      </c>
      <c r="O13">
        <v>1.94231</v>
      </c>
      <c r="P13">
        <v>11.51</v>
      </c>
    </row>
    <row r="14" spans="1:16">
      <c r="A14">
        <v>9</v>
      </c>
      <c r="B14">
        <v>10</v>
      </c>
      <c r="C14">
        <v>1.03247</v>
      </c>
      <c r="D14">
        <v>0.81</v>
      </c>
      <c r="E14">
        <v>4</v>
      </c>
      <c r="F14">
        <v>1.9519200000000001</v>
      </c>
      <c r="G14">
        <v>4.66</v>
      </c>
      <c r="H14">
        <v>9</v>
      </c>
      <c r="I14">
        <v>1.9434</v>
      </c>
      <c r="J14">
        <v>24.54</v>
      </c>
      <c r="K14">
        <v>10</v>
      </c>
      <c r="L14">
        <v>1.03247</v>
      </c>
      <c r="M14">
        <v>1.86</v>
      </c>
      <c r="N14">
        <v>3</v>
      </c>
      <c r="O14">
        <v>1.94231</v>
      </c>
      <c r="P14">
        <v>31.2</v>
      </c>
    </row>
    <row r="15" spans="1:16">
      <c r="A15">
        <v>10</v>
      </c>
      <c r="B15">
        <v>9</v>
      </c>
      <c r="C15">
        <v>1.03922</v>
      </c>
      <c r="D15">
        <v>0.84</v>
      </c>
      <c r="E15">
        <v>10</v>
      </c>
      <c r="F15">
        <v>1.79464</v>
      </c>
      <c r="G15">
        <v>1.97</v>
      </c>
      <c r="H15">
        <v>10</v>
      </c>
      <c r="I15">
        <v>1.79464</v>
      </c>
      <c r="J15">
        <v>13.54</v>
      </c>
      <c r="K15">
        <v>9</v>
      </c>
      <c r="L15">
        <v>1.03247</v>
      </c>
      <c r="M15">
        <v>1.25</v>
      </c>
      <c r="N15">
        <v>3</v>
      </c>
      <c r="O15">
        <v>1.7079599999999999</v>
      </c>
      <c r="P15">
        <v>4.75</v>
      </c>
    </row>
    <row r="16" spans="1:16">
      <c r="A16">
        <v>11</v>
      </c>
      <c r="B16">
        <v>10</v>
      </c>
      <c r="C16">
        <v>1.03247</v>
      </c>
      <c r="D16">
        <v>0.91</v>
      </c>
      <c r="E16">
        <v>4</v>
      </c>
      <c r="F16">
        <v>1.9519200000000001</v>
      </c>
      <c r="G16">
        <v>2.62</v>
      </c>
      <c r="H16">
        <v>9</v>
      </c>
      <c r="I16">
        <v>1.9434</v>
      </c>
      <c r="J16">
        <v>3.68</v>
      </c>
      <c r="K16">
        <v>10</v>
      </c>
      <c r="L16">
        <v>1.03247</v>
      </c>
      <c r="M16">
        <v>3.17</v>
      </c>
      <c r="N16">
        <v>3</v>
      </c>
      <c r="O16">
        <v>1.94231</v>
      </c>
      <c r="P16">
        <v>9.18</v>
      </c>
    </row>
    <row r="17" spans="1:16">
      <c r="A17">
        <v>12</v>
      </c>
      <c r="B17">
        <v>9</v>
      </c>
      <c r="C17">
        <v>1.03922</v>
      </c>
      <c r="D17">
        <v>3.53</v>
      </c>
      <c r="E17">
        <v>10</v>
      </c>
      <c r="F17">
        <v>1.79464</v>
      </c>
      <c r="G17">
        <v>6.62</v>
      </c>
      <c r="H17">
        <v>10</v>
      </c>
      <c r="I17">
        <v>1.79464</v>
      </c>
      <c r="J17">
        <v>3.65</v>
      </c>
      <c r="K17">
        <v>9</v>
      </c>
      <c r="L17">
        <v>1.03247</v>
      </c>
      <c r="M17">
        <v>3.72</v>
      </c>
      <c r="N17">
        <v>3</v>
      </c>
      <c r="O17">
        <v>1.7079599999999999</v>
      </c>
      <c r="P17">
        <v>10.61</v>
      </c>
    </row>
    <row r="18" spans="1:16">
      <c r="A18">
        <v>13</v>
      </c>
      <c r="B18">
        <v>12</v>
      </c>
      <c r="C18">
        <v>1.04545</v>
      </c>
      <c r="D18">
        <v>1.86</v>
      </c>
      <c r="E18">
        <v>4</v>
      </c>
      <c r="F18">
        <v>1.9519200000000001</v>
      </c>
      <c r="G18">
        <v>2.09</v>
      </c>
      <c r="H18">
        <v>3</v>
      </c>
      <c r="I18">
        <v>1.35385</v>
      </c>
      <c r="J18">
        <v>18.47</v>
      </c>
      <c r="K18">
        <v>12</v>
      </c>
      <c r="L18">
        <v>1.03247</v>
      </c>
      <c r="M18">
        <v>8.43</v>
      </c>
      <c r="N18">
        <v>3</v>
      </c>
      <c r="O18">
        <v>1.94231</v>
      </c>
      <c r="P18">
        <v>4.24</v>
      </c>
    </row>
    <row r="19" spans="1:16">
      <c r="A19">
        <v>14</v>
      </c>
      <c r="B19">
        <v>8</v>
      </c>
      <c r="C19">
        <v>1.03268</v>
      </c>
      <c r="D19">
        <v>0.74</v>
      </c>
      <c r="E19">
        <v>10</v>
      </c>
      <c r="F19">
        <v>1.79464</v>
      </c>
      <c r="G19">
        <v>7.05</v>
      </c>
      <c r="H19">
        <v>3</v>
      </c>
      <c r="I19">
        <v>1.46774</v>
      </c>
      <c r="J19">
        <v>5.95</v>
      </c>
      <c r="K19">
        <v>8</v>
      </c>
      <c r="L19">
        <v>1.03247</v>
      </c>
      <c r="M19">
        <v>1.96</v>
      </c>
      <c r="N19">
        <v>3</v>
      </c>
      <c r="O19">
        <v>1.7079599999999999</v>
      </c>
      <c r="P19">
        <v>12.22</v>
      </c>
    </row>
    <row r="20" spans="1:16">
      <c r="A20">
        <v>15</v>
      </c>
      <c r="B20">
        <v>12</v>
      </c>
      <c r="C20">
        <v>1.04545</v>
      </c>
      <c r="D20">
        <v>0.67</v>
      </c>
      <c r="E20">
        <v>4</v>
      </c>
      <c r="F20">
        <v>1.9519200000000001</v>
      </c>
      <c r="G20">
        <v>3.82</v>
      </c>
      <c r="H20">
        <v>3</v>
      </c>
      <c r="I20">
        <v>1.39063</v>
      </c>
      <c r="J20">
        <v>5.12</v>
      </c>
      <c r="K20">
        <v>12</v>
      </c>
      <c r="L20">
        <v>1.03247</v>
      </c>
      <c r="M20">
        <v>7.36</v>
      </c>
      <c r="N20">
        <v>3</v>
      </c>
      <c r="O20">
        <v>1.94231</v>
      </c>
      <c r="P20">
        <v>2.71</v>
      </c>
    </row>
    <row r="21" spans="1:16">
      <c r="A21">
        <v>16</v>
      </c>
      <c r="B21">
        <v>11</v>
      </c>
      <c r="C21">
        <v>1.06579</v>
      </c>
      <c r="D21">
        <v>0.77</v>
      </c>
      <c r="E21">
        <v>4</v>
      </c>
      <c r="F21">
        <v>1.9519200000000001</v>
      </c>
      <c r="G21">
        <v>1.63</v>
      </c>
      <c r="H21">
        <v>3</v>
      </c>
      <c r="I21">
        <v>1.6608700000000001</v>
      </c>
      <c r="J21">
        <v>3.42</v>
      </c>
      <c r="K21">
        <v>11</v>
      </c>
      <c r="L21">
        <v>1.03247</v>
      </c>
      <c r="M21">
        <v>2.58</v>
      </c>
      <c r="N21">
        <v>3</v>
      </c>
      <c r="O21">
        <v>1.94231</v>
      </c>
      <c r="P21">
        <v>4.32</v>
      </c>
    </row>
    <row r="22" spans="1:16">
      <c r="A22">
        <v>17</v>
      </c>
      <c r="B22">
        <v>7</v>
      </c>
      <c r="C22">
        <v>1.0129900000000001</v>
      </c>
      <c r="D22">
        <v>0.62</v>
      </c>
      <c r="E22">
        <v>4</v>
      </c>
      <c r="F22">
        <v>1.9519200000000001</v>
      </c>
      <c r="G22">
        <v>4.0199999999999996</v>
      </c>
      <c r="H22">
        <v>3</v>
      </c>
      <c r="I22">
        <v>1.4878</v>
      </c>
      <c r="J22">
        <v>3.58</v>
      </c>
      <c r="K22">
        <v>7</v>
      </c>
      <c r="L22">
        <v>1.03247</v>
      </c>
      <c r="M22">
        <v>1.36</v>
      </c>
      <c r="N22">
        <v>3</v>
      </c>
      <c r="O22">
        <v>1.94231</v>
      </c>
      <c r="P22">
        <v>12.14</v>
      </c>
    </row>
    <row r="23" spans="1:16">
      <c r="A23">
        <v>18</v>
      </c>
      <c r="B23">
        <v>8</v>
      </c>
      <c r="C23">
        <v>1.03268</v>
      </c>
      <c r="D23">
        <v>2.1800000000000002</v>
      </c>
      <c r="E23">
        <v>6</v>
      </c>
      <c r="F23">
        <v>1.94286</v>
      </c>
      <c r="G23">
        <v>2.29</v>
      </c>
      <c r="H23">
        <v>6</v>
      </c>
      <c r="I23">
        <v>1.86111</v>
      </c>
      <c r="J23">
        <v>3.94</v>
      </c>
      <c r="K23">
        <v>8</v>
      </c>
      <c r="L23">
        <v>1.03247</v>
      </c>
      <c r="M23">
        <v>0.83</v>
      </c>
      <c r="N23">
        <v>3</v>
      </c>
      <c r="O23">
        <v>1.88679</v>
      </c>
      <c r="P23">
        <v>3.97</v>
      </c>
    </row>
    <row r="24" spans="1:16">
      <c r="A24">
        <v>19</v>
      </c>
      <c r="B24">
        <v>12</v>
      </c>
      <c r="C24">
        <v>1.0192300000000001</v>
      </c>
      <c r="D24">
        <v>1.24</v>
      </c>
      <c r="E24">
        <v>4</v>
      </c>
      <c r="F24">
        <v>1.9519200000000001</v>
      </c>
      <c r="G24">
        <v>1.81</v>
      </c>
      <c r="H24">
        <v>3</v>
      </c>
      <c r="I24">
        <v>1.1103400000000001</v>
      </c>
      <c r="J24">
        <v>2.98</v>
      </c>
      <c r="K24">
        <v>12</v>
      </c>
      <c r="L24">
        <v>1.03247</v>
      </c>
      <c r="M24">
        <v>0.99</v>
      </c>
      <c r="N24">
        <v>3</v>
      </c>
      <c r="O24">
        <v>1.94231</v>
      </c>
      <c r="P24">
        <v>15.86</v>
      </c>
    </row>
    <row r="25" spans="1:16">
      <c r="A25">
        <v>20</v>
      </c>
      <c r="B25">
        <v>7</v>
      </c>
      <c r="C25">
        <v>1</v>
      </c>
      <c r="D25">
        <v>0.71</v>
      </c>
      <c r="E25">
        <v>4</v>
      </c>
      <c r="F25">
        <v>1.9519200000000001</v>
      </c>
      <c r="G25">
        <v>5.3</v>
      </c>
      <c r="H25">
        <v>3</v>
      </c>
      <c r="I25">
        <v>1.55</v>
      </c>
      <c r="J25">
        <v>79.09</v>
      </c>
      <c r="K25">
        <v>7</v>
      </c>
      <c r="L25">
        <v>1.03247</v>
      </c>
      <c r="M25">
        <v>0.82</v>
      </c>
      <c r="N25">
        <v>3</v>
      </c>
      <c r="O25">
        <v>1.94231</v>
      </c>
      <c r="P25">
        <v>9.01</v>
      </c>
    </row>
    <row r="26" spans="1:16">
      <c r="A26">
        <v>21</v>
      </c>
      <c r="B26">
        <v>9</v>
      </c>
      <c r="C26">
        <v>1.03922</v>
      </c>
      <c r="D26">
        <v>4.95</v>
      </c>
      <c r="E26">
        <v>10</v>
      </c>
      <c r="F26">
        <v>1.79464</v>
      </c>
      <c r="G26">
        <v>1.99</v>
      </c>
      <c r="H26">
        <v>10</v>
      </c>
      <c r="I26">
        <v>1.79464</v>
      </c>
      <c r="J26">
        <v>4.03</v>
      </c>
      <c r="K26">
        <v>9</v>
      </c>
      <c r="L26">
        <v>1.03247</v>
      </c>
      <c r="M26">
        <v>2.78</v>
      </c>
      <c r="N26">
        <v>3</v>
      </c>
      <c r="O26">
        <v>1.7079599999999999</v>
      </c>
      <c r="P26">
        <v>5.62</v>
      </c>
    </row>
    <row r="27" spans="1:16">
      <c r="A27">
        <v>22</v>
      </c>
      <c r="B27">
        <v>10</v>
      </c>
      <c r="C27">
        <v>1.03247</v>
      </c>
      <c r="D27">
        <v>1.72</v>
      </c>
      <c r="E27">
        <v>4</v>
      </c>
      <c r="F27">
        <v>1.9519200000000001</v>
      </c>
      <c r="G27">
        <v>12.68</v>
      </c>
      <c r="H27">
        <v>9</v>
      </c>
      <c r="I27">
        <v>1.9434</v>
      </c>
      <c r="J27">
        <v>4.5</v>
      </c>
      <c r="K27">
        <v>10</v>
      </c>
      <c r="L27">
        <v>1.03247</v>
      </c>
      <c r="M27">
        <v>2.37</v>
      </c>
      <c r="N27">
        <v>3</v>
      </c>
      <c r="O27">
        <v>1.94231</v>
      </c>
      <c r="P27">
        <v>4.05</v>
      </c>
    </row>
    <row r="28" spans="1:16">
      <c r="A28">
        <v>23</v>
      </c>
      <c r="B28">
        <v>7</v>
      </c>
      <c r="C28">
        <v>1.0394699999999999</v>
      </c>
      <c r="D28">
        <v>0.9</v>
      </c>
      <c r="E28">
        <v>4</v>
      </c>
      <c r="F28">
        <v>1.9519200000000001</v>
      </c>
      <c r="G28">
        <v>2.96</v>
      </c>
      <c r="H28">
        <v>3</v>
      </c>
      <c r="I28">
        <v>1.5289299999999999</v>
      </c>
      <c r="J28">
        <v>3.46</v>
      </c>
      <c r="K28">
        <v>7</v>
      </c>
      <c r="L28">
        <v>1.03247</v>
      </c>
      <c r="M28">
        <v>1.33</v>
      </c>
      <c r="N28">
        <v>3</v>
      </c>
      <c r="O28">
        <v>1.94231</v>
      </c>
      <c r="P28">
        <v>4.16</v>
      </c>
    </row>
    <row r="29" spans="1:16">
      <c r="A29">
        <v>24</v>
      </c>
      <c r="B29">
        <v>10</v>
      </c>
      <c r="C29">
        <v>1.03247</v>
      </c>
      <c r="D29">
        <v>0.76</v>
      </c>
      <c r="E29">
        <v>4</v>
      </c>
      <c r="F29">
        <v>1.9519200000000001</v>
      </c>
      <c r="G29">
        <v>1.67</v>
      </c>
      <c r="H29">
        <v>9</v>
      </c>
      <c r="I29">
        <v>1.9434</v>
      </c>
      <c r="J29">
        <v>3.33</v>
      </c>
      <c r="K29">
        <v>10</v>
      </c>
      <c r="L29">
        <v>1.03247</v>
      </c>
      <c r="M29">
        <v>2.52</v>
      </c>
      <c r="N29">
        <v>3</v>
      </c>
      <c r="O29">
        <v>1.94231</v>
      </c>
      <c r="P29">
        <v>3.68</v>
      </c>
    </row>
    <row r="30" spans="1:16">
      <c r="A30">
        <v>25</v>
      </c>
      <c r="B30">
        <v>10</v>
      </c>
      <c r="C30">
        <v>1.03247</v>
      </c>
      <c r="D30">
        <v>0.86</v>
      </c>
      <c r="E30">
        <v>4</v>
      </c>
      <c r="F30">
        <v>1.9519200000000001</v>
      </c>
      <c r="G30">
        <v>1.1299999999999999</v>
      </c>
      <c r="H30">
        <v>9</v>
      </c>
      <c r="I30">
        <v>1.9434</v>
      </c>
      <c r="J30">
        <v>2.41</v>
      </c>
      <c r="K30">
        <v>10</v>
      </c>
      <c r="L30">
        <v>1.03247</v>
      </c>
      <c r="M30">
        <v>0.76</v>
      </c>
      <c r="N30">
        <v>3</v>
      </c>
      <c r="O30">
        <v>1.94231</v>
      </c>
      <c r="P30">
        <v>3.53</v>
      </c>
    </row>
    <row r="31" spans="1:16">
      <c r="A31">
        <v>26</v>
      </c>
      <c r="B31">
        <v>9</v>
      </c>
      <c r="C31">
        <v>1.03922</v>
      </c>
      <c r="D31">
        <v>0.5</v>
      </c>
      <c r="E31">
        <v>10</v>
      </c>
      <c r="F31">
        <v>1.79464</v>
      </c>
      <c r="G31">
        <v>3.01</v>
      </c>
      <c r="H31">
        <v>6</v>
      </c>
      <c r="I31">
        <v>1.86111</v>
      </c>
      <c r="J31">
        <v>3.29</v>
      </c>
      <c r="K31">
        <v>9</v>
      </c>
      <c r="L31">
        <v>1.03247</v>
      </c>
      <c r="M31">
        <v>0.66</v>
      </c>
      <c r="N31">
        <v>3</v>
      </c>
      <c r="O31">
        <v>1.7079599999999999</v>
      </c>
      <c r="P31">
        <v>3.16</v>
      </c>
    </row>
    <row r="32" spans="1:16">
      <c r="A32">
        <v>27</v>
      </c>
      <c r="B32">
        <v>15</v>
      </c>
      <c r="C32">
        <v>1.07843</v>
      </c>
      <c r="D32">
        <v>0.75</v>
      </c>
      <c r="E32">
        <v>4</v>
      </c>
      <c r="F32">
        <v>1.9519200000000001</v>
      </c>
      <c r="G32">
        <v>1.27</v>
      </c>
      <c r="H32">
        <v>3</v>
      </c>
      <c r="I32">
        <v>1.2014400000000001</v>
      </c>
      <c r="J32">
        <v>2.96</v>
      </c>
      <c r="K32">
        <v>15</v>
      </c>
      <c r="L32">
        <v>1.03247</v>
      </c>
      <c r="M32">
        <v>5.59</v>
      </c>
      <c r="N32">
        <v>3</v>
      </c>
      <c r="O32">
        <v>1.94231</v>
      </c>
      <c r="P32">
        <v>7.21</v>
      </c>
    </row>
    <row r="33" spans="1:16">
      <c r="A33">
        <v>28</v>
      </c>
      <c r="B33">
        <v>9</v>
      </c>
      <c r="C33">
        <v>1.03922</v>
      </c>
      <c r="D33">
        <v>2.06</v>
      </c>
      <c r="E33">
        <v>10</v>
      </c>
      <c r="F33">
        <v>1.79464</v>
      </c>
      <c r="G33">
        <v>1.42</v>
      </c>
      <c r="H33">
        <v>10</v>
      </c>
      <c r="I33">
        <v>1.79464</v>
      </c>
      <c r="J33">
        <v>7.47</v>
      </c>
      <c r="K33">
        <v>9</v>
      </c>
      <c r="L33">
        <v>1.03247</v>
      </c>
      <c r="M33">
        <v>0.89</v>
      </c>
      <c r="N33">
        <v>3</v>
      </c>
      <c r="O33">
        <v>1.7079599999999999</v>
      </c>
      <c r="P33">
        <v>11.05</v>
      </c>
    </row>
    <row r="34" spans="1:16">
      <c r="A34">
        <v>29</v>
      </c>
      <c r="B34">
        <v>15</v>
      </c>
      <c r="C34">
        <v>1.0516099999999999</v>
      </c>
      <c r="D34">
        <v>0.49</v>
      </c>
      <c r="E34">
        <v>10</v>
      </c>
      <c r="F34">
        <v>1.79464</v>
      </c>
      <c r="G34">
        <v>1.26</v>
      </c>
      <c r="H34">
        <v>3</v>
      </c>
      <c r="I34">
        <v>1.2835799999999999</v>
      </c>
      <c r="J34">
        <v>11.57</v>
      </c>
      <c r="K34">
        <v>15</v>
      </c>
      <c r="L34">
        <v>1.03247</v>
      </c>
      <c r="M34">
        <v>0.68</v>
      </c>
      <c r="N34">
        <v>3</v>
      </c>
      <c r="O34">
        <v>1.7079599999999999</v>
      </c>
      <c r="P34">
        <v>10.33</v>
      </c>
    </row>
    <row r="35" spans="1:16">
      <c r="A35">
        <v>30</v>
      </c>
      <c r="B35">
        <v>14</v>
      </c>
      <c r="C35">
        <v>1.0063299999999999</v>
      </c>
      <c r="D35">
        <v>0.51</v>
      </c>
      <c r="E35">
        <v>4</v>
      </c>
      <c r="F35">
        <v>1.9519200000000001</v>
      </c>
      <c r="G35">
        <v>1.91</v>
      </c>
      <c r="H35">
        <v>9</v>
      </c>
      <c r="I35">
        <v>1.9434</v>
      </c>
      <c r="J35">
        <v>5.83</v>
      </c>
      <c r="K35">
        <v>14</v>
      </c>
      <c r="L35">
        <v>1.03247</v>
      </c>
      <c r="M35">
        <v>0.83</v>
      </c>
      <c r="N35">
        <v>3</v>
      </c>
      <c r="O35">
        <v>1.94231</v>
      </c>
      <c r="P35">
        <v>11.69</v>
      </c>
    </row>
    <row r="36" spans="1:16">
      <c r="A36">
        <v>31</v>
      </c>
      <c r="B36">
        <v>7</v>
      </c>
      <c r="C36">
        <v>1.0129900000000001</v>
      </c>
      <c r="D36">
        <v>0.52</v>
      </c>
      <c r="E36">
        <v>10</v>
      </c>
      <c r="F36">
        <v>1.79464</v>
      </c>
      <c r="G36">
        <v>3.06</v>
      </c>
      <c r="H36">
        <v>3</v>
      </c>
      <c r="I36">
        <v>1.5082</v>
      </c>
      <c r="J36">
        <v>1.83</v>
      </c>
      <c r="K36">
        <v>7</v>
      </c>
      <c r="L36">
        <v>1.03247</v>
      </c>
      <c r="M36">
        <v>3.04</v>
      </c>
      <c r="N36">
        <v>3</v>
      </c>
      <c r="O36">
        <v>1.7079599999999999</v>
      </c>
      <c r="P36">
        <v>9.2100000000000009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15</v>
      </c>
      <c r="C40" s="1">
        <f t="shared" ref="C40:P40" si="0">MAX(C5:C36)</f>
        <v>1.07843</v>
      </c>
      <c r="D40" s="1">
        <f t="shared" si="0"/>
        <v>5.38</v>
      </c>
      <c r="E40" s="1">
        <f t="shared" si="0"/>
        <v>10</v>
      </c>
      <c r="F40" s="1">
        <f t="shared" si="0"/>
        <v>1.9519200000000001</v>
      </c>
      <c r="G40" s="1">
        <f t="shared" si="0"/>
        <v>12.68</v>
      </c>
      <c r="H40" s="1">
        <f t="shared" si="0"/>
        <v>10</v>
      </c>
      <c r="I40" s="1">
        <f t="shared" si="0"/>
        <v>1.9519200000000001</v>
      </c>
      <c r="J40" s="1">
        <f t="shared" si="0"/>
        <v>79.09</v>
      </c>
      <c r="K40" s="1">
        <f t="shared" si="0"/>
        <v>15</v>
      </c>
      <c r="L40" s="1">
        <f t="shared" si="0"/>
        <v>1.03247</v>
      </c>
      <c r="M40" s="1">
        <f t="shared" si="0"/>
        <v>8.43</v>
      </c>
      <c r="N40" s="1">
        <f t="shared" si="0"/>
        <v>3</v>
      </c>
      <c r="O40" s="1">
        <f t="shared" si="0"/>
        <v>1.94231</v>
      </c>
      <c r="P40" s="1">
        <f t="shared" si="0"/>
        <v>31.2</v>
      </c>
    </row>
    <row r="41" spans="1:16">
      <c r="A41" t="s">
        <v>12</v>
      </c>
      <c r="B41" s="1">
        <f>MIN(B5:B36)</f>
        <v>7</v>
      </c>
      <c r="C41" s="1">
        <f t="shared" ref="C41:P41" si="1">MIN(C5:C36)</f>
        <v>1</v>
      </c>
      <c r="D41" s="1">
        <f t="shared" si="1"/>
        <v>0.49</v>
      </c>
      <c r="E41" s="1">
        <f t="shared" si="1"/>
        <v>4</v>
      </c>
      <c r="F41" s="1">
        <f t="shared" si="1"/>
        <v>1.79464</v>
      </c>
      <c r="G41" s="1">
        <f t="shared" si="1"/>
        <v>1.1299999999999999</v>
      </c>
      <c r="H41" s="1">
        <f t="shared" si="1"/>
        <v>3</v>
      </c>
      <c r="I41" s="1">
        <f t="shared" si="1"/>
        <v>1.04</v>
      </c>
      <c r="J41" s="1">
        <f t="shared" si="1"/>
        <v>1.83</v>
      </c>
      <c r="K41" s="1">
        <f t="shared" si="1"/>
        <v>7</v>
      </c>
      <c r="L41" s="1">
        <f t="shared" si="1"/>
        <v>1.03247</v>
      </c>
      <c r="M41" s="1">
        <f t="shared" si="1"/>
        <v>0.66</v>
      </c>
      <c r="N41" s="1">
        <f t="shared" si="1"/>
        <v>3</v>
      </c>
      <c r="O41" s="1">
        <f t="shared" si="1"/>
        <v>1.7079599999999999</v>
      </c>
      <c r="P41" s="1">
        <f t="shared" si="1"/>
        <v>2.71</v>
      </c>
    </row>
    <row r="42" spans="1:16">
      <c r="A42" t="s">
        <v>13</v>
      </c>
      <c r="B42" s="1">
        <f>MEDIAN(B5:B36)</f>
        <v>10</v>
      </c>
      <c r="C42" s="1">
        <f t="shared" ref="C42:P42" si="2">MEDIAN(C5:C36)</f>
        <v>1.03268</v>
      </c>
      <c r="D42" s="1">
        <f t="shared" si="2"/>
        <v>1.03</v>
      </c>
      <c r="E42" s="1">
        <f t="shared" si="2"/>
        <v>4</v>
      </c>
      <c r="F42" s="1">
        <f t="shared" si="2"/>
        <v>1.9519200000000001</v>
      </c>
      <c r="G42" s="1">
        <f t="shared" si="2"/>
        <v>2.7149999999999999</v>
      </c>
      <c r="H42" s="1">
        <f t="shared" si="2"/>
        <v>7.5</v>
      </c>
      <c r="I42" s="1">
        <f t="shared" si="2"/>
        <v>1.79464</v>
      </c>
      <c r="J42" s="1">
        <f t="shared" si="2"/>
        <v>4.55</v>
      </c>
      <c r="K42" s="1">
        <f t="shared" si="2"/>
        <v>10</v>
      </c>
      <c r="L42" s="1">
        <f t="shared" si="2"/>
        <v>1.03247</v>
      </c>
      <c r="M42" s="1">
        <f t="shared" si="2"/>
        <v>1.8149999999999999</v>
      </c>
      <c r="N42" s="1">
        <f t="shared" si="2"/>
        <v>3</v>
      </c>
      <c r="O42" s="1">
        <f t="shared" si="2"/>
        <v>1.94231</v>
      </c>
      <c r="P42" s="1">
        <f t="shared" si="2"/>
        <v>7.73</v>
      </c>
    </row>
    <row r="43" spans="1:16">
      <c r="A43" t="s">
        <v>14</v>
      </c>
      <c r="B43" s="1">
        <f>AVERAGE(B5:B36)</f>
        <v>10</v>
      </c>
      <c r="C43" s="1">
        <f t="shared" ref="C43:P43" si="3">AVERAGE(C5:C36)</f>
        <v>1.0354231250000001</v>
      </c>
      <c r="D43" s="1">
        <f t="shared" si="3"/>
        <v>1.6090625000000001</v>
      </c>
      <c r="E43" s="1">
        <f t="shared" si="3"/>
        <v>5.9375</v>
      </c>
      <c r="F43" s="1">
        <f t="shared" si="3"/>
        <v>1.9024868750000008</v>
      </c>
      <c r="G43" s="1">
        <f t="shared" si="3"/>
        <v>3.6599999999999993</v>
      </c>
      <c r="H43" s="1">
        <f t="shared" si="3"/>
        <v>6.375</v>
      </c>
      <c r="I43" s="1">
        <f t="shared" si="3"/>
        <v>1.6880490625</v>
      </c>
      <c r="J43" s="1">
        <f t="shared" si="3"/>
        <v>9.2756249999999998</v>
      </c>
      <c r="K43" s="1">
        <f t="shared" si="3"/>
        <v>10</v>
      </c>
      <c r="L43" s="1">
        <f t="shared" si="3"/>
        <v>1.03247</v>
      </c>
      <c r="M43" s="1">
        <f t="shared" si="3"/>
        <v>2.4934375000000002</v>
      </c>
      <c r="N43" s="1">
        <f t="shared" si="3"/>
        <v>3</v>
      </c>
      <c r="O43" s="1">
        <f t="shared" si="3"/>
        <v>1.8673406249999995</v>
      </c>
      <c r="P43" s="1">
        <f t="shared" si="3"/>
        <v>8.5618750000000006</v>
      </c>
    </row>
    <row r="44" spans="1:16">
      <c r="A44" t="s">
        <v>15</v>
      </c>
      <c r="B44" s="1">
        <f>STDEV(B5:B36)</f>
        <v>2.079081683138325</v>
      </c>
      <c r="C44" s="1">
        <f t="shared" ref="C44:P44" si="4">STDEV(C5:C36)</f>
        <v>1.5060606044760737E-2</v>
      </c>
      <c r="D44" s="1">
        <f t="shared" si="4"/>
        <v>1.3584344864704581</v>
      </c>
      <c r="E44" s="1">
        <f t="shared" si="4"/>
        <v>2.8048057836276237</v>
      </c>
      <c r="F44" s="1">
        <f t="shared" si="4"/>
        <v>7.3890892643991055E-2</v>
      </c>
      <c r="G44" s="1">
        <f t="shared" si="4"/>
        <v>2.5432453232422452</v>
      </c>
      <c r="H44" s="1">
        <f t="shared" si="4"/>
        <v>3.0874355158474369</v>
      </c>
      <c r="I44" s="1">
        <f t="shared" si="4"/>
        <v>0.28406844804819992</v>
      </c>
      <c r="J44" s="1">
        <f t="shared" si="4"/>
        <v>13.854403501088305</v>
      </c>
      <c r="K44" s="1">
        <f t="shared" si="4"/>
        <v>2.079081683138325</v>
      </c>
      <c r="L44" s="1">
        <f t="shared" si="4"/>
        <v>0</v>
      </c>
      <c r="M44" s="1">
        <f t="shared" si="4"/>
        <v>1.9988587217500213</v>
      </c>
      <c r="N44" s="1">
        <f t="shared" si="4"/>
        <v>0</v>
      </c>
      <c r="O44" s="1">
        <f t="shared" si="4"/>
        <v>0.10960760884047153</v>
      </c>
      <c r="P44" s="1">
        <f t="shared" si="4"/>
        <v>5.3898557270176104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4"/>
  <sheetViews>
    <sheetView topLeftCell="A20" workbookViewId="0">
      <selection sqref="A1:P36"/>
    </sheetView>
  </sheetViews>
  <sheetFormatPr baseColWidth="10" defaultRowHeight="16"/>
  <sheetData>
    <row r="1" spans="1:16">
      <c r="A1" t="s">
        <v>0</v>
      </c>
      <c r="B1" t="s">
        <v>23</v>
      </c>
      <c r="C1" t="s">
        <v>1</v>
      </c>
      <c r="D1">
        <v>3003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13</v>
      </c>
      <c r="C5">
        <v>1.0039899999999999</v>
      </c>
      <c r="D5">
        <v>19.78</v>
      </c>
      <c r="E5">
        <v>3</v>
      </c>
      <c r="F5">
        <v>1.99701</v>
      </c>
      <c r="G5">
        <v>32.25</v>
      </c>
      <c r="H5">
        <v>3</v>
      </c>
      <c r="I5">
        <v>1.0716699999999999</v>
      </c>
      <c r="J5">
        <v>64.38</v>
      </c>
      <c r="K5">
        <v>13</v>
      </c>
      <c r="L5">
        <v>1.0046600000000001</v>
      </c>
      <c r="M5">
        <v>22.88</v>
      </c>
      <c r="N5">
        <v>3</v>
      </c>
      <c r="O5">
        <v>1.9940199999999999</v>
      </c>
      <c r="P5">
        <v>54.97</v>
      </c>
    </row>
    <row r="6" spans="1:16">
      <c r="A6">
        <v>1</v>
      </c>
      <c r="B6">
        <v>9</v>
      </c>
      <c r="C6">
        <v>1.0039899999999999</v>
      </c>
      <c r="D6">
        <v>56.56</v>
      </c>
      <c r="E6">
        <v>3</v>
      </c>
      <c r="F6">
        <v>1.99701</v>
      </c>
      <c r="G6">
        <v>45.37</v>
      </c>
      <c r="H6">
        <v>3</v>
      </c>
      <c r="I6">
        <v>1.97624</v>
      </c>
      <c r="J6">
        <v>45.78</v>
      </c>
      <c r="K6">
        <v>9</v>
      </c>
      <c r="L6">
        <v>1.0046600000000001</v>
      </c>
      <c r="M6">
        <v>14.15</v>
      </c>
      <c r="N6">
        <v>3</v>
      </c>
      <c r="O6">
        <v>1.9940199999999999</v>
      </c>
      <c r="P6">
        <v>154.76</v>
      </c>
    </row>
    <row r="7" spans="1:16">
      <c r="A7">
        <v>2</v>
      </c>
      <c r="B7">
        <v>19</v>
      </c>
      <c r="C7">
        <v>1.0039800000000001</v>
      </c>
      <c r="D7">
        <v>7.19</v>
      </c>
      <c r="E7">
        <v>3</v>
      </c>
      <c r="F7">
        <v>1.99701</v>
      </c>
      <c r="G7">
        <v>26.86</v>
      </c>
      <c r="H7">
        <v>3</v>
      </c>
      <c r="I7">
        <v>1.11392</v>
      </c>
      <c r="J7">
        <v>45.63</v>
      </c>
      <c r="K7">
        <v>19</v>
      </c>
      <c r="L7">
        <v>1.0046600000000001</v>
      </c>
      <c r="M7">
        <v>9.9600000000000009</v>
      </c>
      <c r="N7">
        <v>3</v>
      </c>
      <c r="O7">
        <v>1.9940199999999999</v>
      </c>
      <c r="P7">
        <v>28.34</v>
      </c>
    </row>
    <row r="8" spans="1:16">
      <c r="A8">
        <v>3</v>
      </c>
      <c r="B8">
        <v>8</v>
      </c>
      <c r="C8">
        <v>1.0019899999999999</v>
      </c>
      <c r="D8">
        <v>6.19</v>
      </c>
      <c r="E8">
        <v>3</v>
      </c>
      <c r="F8">
        <v>1.99701</v>
      </c>
      <c r="G8">
        <v>13.88</v>
      </c>
      <c r="H8">
        <v>3</v>
      </c>
      <c r="I8">
        <v>1.49875</v>
      </c>
      <c r="J8">
        <v>38.26</v>
      </c>
      <c r="K8">
        <v>8</v>
      </c>
      <c r="L8">
        <v>1.0046600000000001</v>
      </c>
      <c r="M8">
        <v>16.18</v>
      </c>
      <c r="N8">
        <v>3</v>
      </c>
      <c r="O8">
        <v>1.9940199999999999</v>
      </c>
      <c r="P8">
        <v>121.42</v>
      </c>
    </row>
    <row r="9" spans="1:16">
      <c r="A9">
        <v>4</v>
      </c>
      <c r="B9">
        <v>10</v>
      </c>
      <c r="C9">
        <v>1.0046600000000001</v>
      </c>
      <c r="D9">
        <v>7.37</v>
      </c>
      <c r="E9">
        <v>3</v>
      </c>
      <c r="F9">
        <v>1.99701</v>
      </c>
      <c r="G9">
        <v>13.89</v>
      </c>
      <c r="H9">
        <v>3</v>
      </c>
      <c r="I9">
        <v>1.99701</v>
      </c>
      <c r="J9">
        <v>17.399999999999999</v>
      </c>
      <c r="K9">
        <v>10</v>
      </c>
      <c r="L9">
        <v>1.0046600000000001</v>
      </c>
      <c r="M9">
        <v>10.52</v>
      </c>
      <c r="N9">
        <v>3</v>
      </c>
      <c r="O9">
        <v>1.9940199999999999</v>
      </c>
      <c r="P9">
        <v>37.19</v>
      </c>
    </row>
    <row r="10" spans="1:16">
      <c r="A10">
        <v>5</v>
      </c>
      <c r="B10">
        <v>12</v>
      </c>
      <c r="C10">
        <v>1.0006600000000001</v>
      </c>
      <c r="D10">
        <v>14.2</v>
      </c>
      <c r="E10">
        <v>3</v>
      </c>
      <c r="F10">
        <v>1.99701</v>
      </c>
      <c r="G10">
        <v>34.76</v>
      </c>
      <c r="H10">
        <v>3</v>
      </c>
      <c r="I10">
        <v>1.22502</v>
      </c>
      <c r="J10">
        <v>44.53</v>
      </c>
      <c r="K10">
        <v>12</v>
      </c>
      <c r="L10">
        <v>1.0046600000000001</v>
      </c>
      <c r="M10">
        <v>15.26</v>
      </c>
      <c r="N10">
        <v>3</v>
      </c>
      <c r="O10">
        <v>1.9940199999999999</v>
      </c>
      <c r="P10">
        <v>29.68</v>
      </c>
    </row>
    <row r="11" spans="1:16">
      <c r="A11">
        <v>6</v>
      </c>
      <c r="B11">
        <v>6</v>
      </c>
      <c r="C11">
        <v>1.0033300000000001</v>
      </c>
      <c r="D11">
        <v>4.74</v>
      </c>
      <c r="E11">
        <v>3</v>
      </c>
      <c r="F11">
        <v>1.99701</v>
      </c>
      <c r="G11">
        <v>14.54</v>
      </c>
      <c r="H11">
        <v>3</v>
      </c>
      <c r="I11">
        <v>1.9586600000000001</v>
      </c>
      <c r="J11">
        <v>16.77</v>
      </c>
      <c r="K11">
        <v>6</v>
      </c>
      <c r="L11">
        <v>1.0046600000000001</v>
      </c>
      <c r="M11">
        <v>9.6199999999999992</v>
      </c>
      <c r="N11">
        <v>3</v>
      </c>
      <c r="O11">
        <v>1.9940199999999999</v>
      </c>
      <c r="P11">
        <v>93.18</v>
      </c>
    </row>
    <row r="12" spans="1:16">
      <c r="A12">
        <v>7</v>
      </c>
      <c r="B12">
        <v>10</v>
      </c>
      <c r="C12">
        <v>1.0059899999999999</v>
      </c>
      <c r="D12">
        <v>13.84</v>
      </c>
      <c r="E12">
        <v>3</v>
      </c>
      <c r="F12">
        <v>1.99701</v>
      </c>
      <c r="G12">
        <v>14.57</v>
      </c>
      <c r="H12">
        <v>3</v>
      </c>
      <c r="I12">
        <v>1.99701</v>
      </c>
      <c r="J12">
        <v>20.55</v>
      </c>
      <c r="K12">
        <v>10</v>
      </c>
      <c r="L12">
        <v>1.0046600000000001</v>
      </c>
      <c r="M12">
        <v>9.43</v>
      </c>
      <c r="N12">
        <v>3</v>
      </c>
      <c r="O12">
        <v>1.9940199999999999</v>
      </c>
      <c r="P12">
        <v>18.37</v>
      </c>
    </row>
    <row r="13" spans="1:16">
      <c r="A13">
        <v>8</v>
      </c>
      <c r="B13">
        <v>10</v>
      </c>
      <c r="C13">
        <v>1.00332</v>
      </c>
      <c r="D13">
        <v>4.16</v>
      </c>
      <c r="E13">
        <v>3</v>
      </c>
      <c r="F13">
        <v>1.99701</v>
      </c>
      <c r="G13">
        <v>9.51</v>
      </c>
      <c r="H13">
        <v>3</v>
      </c>
      <c r="I13">
        <v>1.9499500000000001</v>
      </c>
      <c r="J13">
        <v>14.93</v>
      </c>
      <c r="K13">
        <v>10</v>
      </c>
      <c r="L13">
        <v>1.0046600000000001</v>
      </c>
      <c r="M13">
        <v>20.71</v>
      </c>
      <c r="N13">
        <v>3</v>
      </c>
      <c r="O13">
        <v>1.9940199999999999</v>
      </c>
      <c r="P13">
        <v>58.61</v>
      </c>
    </row>
    <row r="14" spans="1:16">
      <c r="A14">
        <v>9</v>
      </c>
      <c r="B14">
        <v>13</v>
      </c>
      <c r="C14">
        <v>1.0039899999999999</v>
      </c>
      <c r="D14">
        <v>7.79</v>
      </c>
      <c r="E14">
        <v>3</v>
      </c>
      <c r="F14">
        <v>1.99701</v>
      </c>
      <c r="G14">
        <v>12.35</v>
      </c>
      <c r="H14">
        <v>3</v>
      </c>
      <c r="I14">
        <v>1.1273899999999999</v>
      </c>
      <c r="J14">
        <v>17.28</v>
      </c>
      <c r="K14">
        <v>13</v>
      </c>
      <c r="L14">
        <v>1.0046600000000001</v>
      </c>
      <c r="M14">
        <v>10.75</v>
      </c>
      <c r="N14">
        <v>3</v>
      </c>
      <c r="O14">
        <v>1.9940199999999999</v>
      </c>
      <c r="P14">
        <v>27.35</v>
      </c>
    </row>
    <row r="15" spans="1:16">
      <c r="A15">
        <v>10</v>
      </c>
      <c r="B15">
        <v>9</v>
      </c>
      <c r="C15">
        <v>1.0039899999999999</v>
      </c>
      <c r="D15">
        <v>3.59</v>
      </c>
      <c r="E15">
        <v>3</v>
      </c>
      <c r="F15">
        <v>1.99701</v>
      </c>
      <c r="G15">
        <v>14.54</v>
      </c>
      <c r="H15">
        <v>3</v>
      </c>
      <c r="I15">
        <v>1.9586600000000001</v>
      </c>
      <c r="J15">
        <v>17.399999999999999</v>
      </c>
      <c r="K15">
        <v>9</v>
      </c>
      <c r="L15">
        <v>1.0046600000000001</v>
      </c>
      <c r="M15">
        <v>5.98</v>
      </c>
      <c r="N15">
        <v>3</v>
      </c>
      <c r="O15">
        <v>1.9940199999999999</v>
      </c>
      <c r="P15">
        <v>43.79</v>
      </c>
    </row>
    <row r="16" spans="1:16">
      <c r="A16">
        <v>11</v>
      </c>
      <c r="B16">
        <v>9</v>
      </c>
      <c r="C16">
        <v>1.0013300000000001</v>
      </c>
      <c r="D16">
        <v>11.48</v>
      </c>
      <c r="E16">
        <v>3</v>
      </c>
      <c r="F16">
        <v>1.99701</v>
      </c>
      <c r="G16">
        <v>13.27</v>
      </c>
      <c r="H16">
        <v>3</v>
      </c>
      <c r="I16">
        <v>1.99701</v>
      </c>
      <c r="J16">
        <v>12.76</v>
      </c>
      <c r="K16">
        <v>9</v>
      </c>
      <c r="L16">
        <v>1.0046600000000001</v>
      </c>
      <c r="M16">
        <v>5.61</v>
      </c>
      <c r="N16">
        <v>3</v>
      </c>
      <c r="O16">
        <v>1.9940199999999999</v>
      </c>
      <c r="P16">
        <v>18.89</v>
      </c>
    </row>
    <row r="17" spans="1:16">
      <c r="A17">
        <v>12</v>
      </c>
      <c r="B17">
        <v>6</v>
      </c>
      <c r="C17">
        <v>1.0033300000000001</v>
      </c>
      <c r="D17">
        <v>3.48</v>
      </c>
      <c r="E17">
        <v>3</v>
      </c>
      <c r="F17">
        <v>1.99701</v>
      </c>
      <c r="G17">
        <v>8.31</v>
      </c>
      <c r="H17">
        <v>3</v>
      </c>
      <c r="I17">
        <v>1.9586600000000001</v>
      </c>
      <c r="J17">
        <v>11.01</v>
      </c>
      <c r="K17">
        <v>6</v>
      </c>
      <c r="L17">
        <v>1.0046600000000001</v>
      </c>
      <c r="M17">
        <v>6.26</v>
      </c>
      <c r="N17">
        <v>3</v>
      </c>
      <c r="O17">
        <v>1.9940199999999999</v>
      </c>
      <c r="P17">
        <v>31.17</v>
      </c>
    </row>
    <row r="18" spans="1:16">
      <c r="A18">
        <v>13</v>
      </c>
      <c r="B18">
        <v>13</v>
      </c>
      <c r="C18">
        <v>1</v>
      </c>
      <c r="D18">
        <v>5.25</v>
      </c>
      <c r="E18">
        <v>3</v>
      </c>
      <c r="F18">
        <v>1.99701</v>
      </c>
      <c r="G18">
        <v>14.58</v>
      </c>
      <c r="H18">
        <v>3</v>
      </c>
      <c r="I18">
        <v>1.0759700000000001</v>
      </c>
      <c r="J18">
        <v>25.35</v>
      </c>
      <c r="K18">
        <v>13</v>
      </c>
      <c r="L18">
        <v>1.0046600000000001</v>
      </c>
      <c r="M18">
        <v>23.78</v>
      </c>
      <c r="N18">
        <v>3</v>
      </c>
      <c r="O18">
        <v>1.9940199999999999</v>
      </c>
      <c r="P18">
        <v>24.69</v>
      </c>
    </row>
    <row r="19" spans="1:16">
      <c r="A19">
        <v>14</v>
      </c>
      <c r="B19">
        <v>12</v>
      </c>
      <c r="C19">
        <v>1.0059899999999999</v>
      </c>
      <c r="D19">
        <v>3.91</v>
      </c>
      <c r="E19">
        <v>3</v>
      </c>
      <c r="F19">
        <v>1.99701</v>
      </c>
      <c r="G19">
        <v>9.01</v>
      </c>
      <c r="H19">
        <v>3</v>
      </c>
      <c r="I19">
        <v>1.2168099999999999</v>
      </c>
      <c r="J19">
        <v>11.63</v>
      </c>
      <c r="K19">
        <v>12</v>
      </c>
      <c r="L19">
        <v>1.0046600000000001</v>
      </c>
      <c r="M19">
        <v>9.23</v>
      </c>
      <c r="N19">
        <v>3</v>
      </c>
      <c r="O19">
        <v>1.9940199999999999</v>
      </c>
      <c r="P19">
        <v>19.39</v>
      </c>
    </row>
    <row r="20" spans="1:16">
      <c r="A20">
        <v>15</v>
      </c>
      <c r="B20">
        <v>3</v>
      </c>
      <c r="C20">
        <v>1</v>
      </c>
      <c r="D20">
        <v>5.63</v>
      </c>
      <c r="E20">
        <v>3</v>
      </c>
      <c r="F20">
        <v>1.99701</v>
      </c>
      <c r="G20">
        <v>9.2899999999999991</v>
      </c>
      <c r="H20">
        <v>3</v>
      </c>
      <c r="I20">
        <v>1.99701</v>
      </c>
      <c r="J20">
        <v>12.85</v>
      </c>
      <c r="K20">
        <v>3</v>
      </c>
      <c r="L20">
        <v>1.0046600000000001</v>
      </c>
      <c r="M20">
        <v>6.77</v>
      </c>
      <c r="N20">
        <v>3</v>
      </c>
      <c r="O20">
        <v>1.9940199999999999</v>
      </c>
      <c r="P20">
        <v>36.270000000000003</v>
      </c>
    </row>
    <row r="21" spans="1:16">
      <c r="A21">
        <v>16</v>
      </c>
      <c r="B21">
        <v>3</v>
      </c>
      <c r="C21">
        <v>1</v>
      </c>
      <c r="D21">
        <v>8.77</v>
      </c>
      <c r="E21">
        <v>3</v>
      </c>
      <c r="F21">
        <v>1.99701</v>
      </c>
      <c r="G21">
        <v>15.44</v>
      </c>
      <c r="H21">
        <v>3</v>
      </c>
      <c r="I21">
        <v>1.99701</v>
      </c>
      <c r="J21">
        <v>25.83</v>
      </c>
      <c r="K21">
        <v>3</v>
      </c>
      <c r="L21">
        <v>1.0046600000000001</v>
      </c>
      <c r="M21">
        <v>8.24</v>
      </c>
      <c r="N21">
        <v>3</v>
      </c>
      <c r="O21">
        <v>1.9940199999999999</v>
      </c>
      <c r="P21">
        <v>17.739999999999998</v>
      </c>
    </row>
    <row r="22" spans="1:16">
      <c r="A22">
        <v>17</v>
      </c>
      <c r="B22">
        <v>9</v>
      </c>
      <c r="C22">
        <v>1.0039899999999999</v>
      </c>
      <c r="D22">
        <v>3.67</v>
      </c>
      <c r="E22">
        <v>3</v>
      </c>
      <c r="F22">
        <v>1.99701</v>
      </c>
      <c r="G22">
        <v>12.33</v>
      </c>
      <c r="H22">
        <v>3</v>
      </c>
      <c r="I22">
        <v>1.99701</v>
      </c>
      <c r="J22">
        <v>24.71</v>
      </c>
      <c r="K22">
        <v>9</v>
      </c>
      <c r="L22">
        <v>1.0046600000000001</v>
      </c>
      <c r="M22">
        <v>9.1999999999999993</v>
      </c>
      <c r="N22">
        <v>3</v>
      </c>
      <c r="O22">
        <v>1.9940199999999999</v>
      </c>
      <c r="P22">
        <v>52.79</v>
      </c>
    </row>
    <row r="23" spans="1:16">
      <c r="A23">
        <v>18</v>
      </c>
      <c r="B23">
        <v>6</v>
      </c>
      <c r="C23">
        <v>1.0033300000000001</v>
      </c>
      <c r="D23">
        <v>11.23</v>
      </c>
      <c r="E23">
        <v>3</v>
      </c>
      <c r="F23">
        <v>1.99701</v>
      </c>
      <c r="G23">
        <v>26.73</v>
      </c>
      <c r="H23">
        <v>3</v>
      </c>
      <c r="I23">
        <v>1.9586600000000001</v>
      </c>
      <c r="J23">
        <v>35.68</v>
      </c>
      <c r="K23">
        <v>6</v>
      </c>
      <c r="L23">
        <v>1.0046600000000001</v>
      </c>
      <c r="M23">
        <v>10.26</v>
      </c>
      <c r="N23">
        <v>3</v>
      </c>
      <c r="O23">
        <v>1.9940199999999999</v>
      </c>
      <c r="P23">
        <v>25.93</v>
      </c>
    </row>
    <row r="24" spans="1:16">
      <c r="A24">
        <v>19</v>
      </c>
      <c r="B24">
        <v>11</v>
      </c>
      <c r="C24">
        <v>1.0026600000000001</v>
      </c>
      <c r="D24">
        <v>5.95</v>
      </c>
      <c r="E24">
        <v>3</v>
      </c>
      <c r="F24">
        <v>1.99701</v>
      </c>
      <c r="G24">
        <v>12.76</v>
      </c>
      <c r="H24">
        <v>3</v>
      </c>
      <c r="I24">
        <v>1.9940199999999999</v>
      </c>
      <c r="J24">
        <v>18.97</v>
      </c>
      <c r="K24">
        <v>11</v>
      </c>
      <c r="L24">
        <v>1.0046600000000001</v>
      </c>
      <c r="M24">
        <v>14.35</v>
      </c>
      <c r="N24">
        <v>3</v>
      </c>
      <c r="O24">
        <v>1.9940199999999999</v>
      </c>
      <c r="P24">
        <v>32.49</v>
      </c>
    </row>
    <row r="25" spans="1:16">
      <c r="A25">
        <v>20</v>
      </c>
      <c r="B25">
        <v>9</v>
      </c>
      <c r="C25">
        <v>1.0013300000000001</v>
      </c>
      <c r="D25">
        <v>8.65</v>
      </c>
      <c r="E25">
        <v>3</v>
      </c>
      <c r="F25">
        <v>1.99701</v>
      </c>
      <c r="G25">
        <v>16.149999999999999</v>
      </c>
      <c r="H25">
        <v>3</v>
      </c>
      <c r="I25">
        <v>1.99701</v>
      </c>
      <c r="J25">
        <v>17.96</v>
      </c>
      <c r="K25">
        <v>9</v>
      </c>
      <c r="L25">
        <v>1.0046600000000001</v>
      </c>
      <c r="M25">
        <v>10.42</v>
      </c>
      <c r="N25">
        <v>3</v>
      </c>
      <c r="O25">
        <v>1.9940199999999999</v>
      </c>
      <c r="P25">
        <v>15.76</v>
      </c>
    </row>
    <row r="26" spans="1:16">
      <c r="A26">
        <v>21</v>
      </c>
      <c r="B26">
        <v>12</v>
      </c>
      <c r="C26">
        <v>1.0019899999999999</v>
      </c>
      <c r="D26">
        <v>3.36</v>
      </c>
      <c r="E26">
        <v>3</v>
      </c>
      <c r="F26">
        <v>1.99701</v>
      </c>
      <c r="G26">
        <v>7.63</v>
      </c>
      <c r="H26">
        <v>3</v>
      </c>
      <c r="I26">
        <v>1.0256099999999999</v>
      </c>
      <c r="J26">
        <v>10.36</v>
      </c>
      <c r="K26">
        <v>12</v>
      </c>
      <c r="L26">
        <v>1.0046600000000001</v>
      </c>
      <c r="M26">
        <v>4.79</v>
      </c>
      <c r="N26">
        <v>3</v>
      </c>
      <c r="O26">
        <v>1.9940199999999999</v>
      </c>
      <c r="P26">
        <v>15.14</v>
      </c>
    </row>
    <row r="27" spans="1:16">
      <c r="A27">
        <v>22</v>
      </c>
      <c r="B27">
        <v>6</v>
      </c>
      <c r="C27">
        <v>1.0033300000000001</v>
      </c>
      <c r="D27">
        <v>3.18</v>
      </c>
      <c r="E27">
        <v>3</v>
      </c>
      <c r="F27">
        <v>1.99701</v>
      </c>
      <c r="G27">
        <v>6.82</v>
      </c>
      <c r="H27">
        <v>4</v>
      </c>
      <c r="I27">
        <v>1.94804</v>
      </c>
      <c r="J27">
        <v>9.74</v>
      </c>
      <c r="K27">
        <v>6</v>
      </c>
      <c r="L27">
        <v>1.0046600000000001</v>
      </c>
      <c r="M27">
        <v>6.32</v>
      </c>
      <c r="N27">
        <v>3</v>
      </c>
      <c r="O27">
        <v>1.9940199999999999</v>
      </c>
      <c r="P27">
        <v>35.979999999999997</v>
      </c>
    </row>
    <row r="28" spans="1:16">
      <c r="A28">
        <v>23</v>
      </c>
      <c r="B28">
        <v>3</v>
      </c>
      <c r="C28">
        <v>1</v>
      </c>
      <c r="D28">
        <v>13.87</v>
      </c>
      <c r="E28">
        <v>3</v>
      </c>
      <c r="F28">
        <v>1.99701</v>
      </c>
      <c r="G28">
        <v>17.75</v>
      </c>
      <c r="H28">
        <v>3</v>
      </c>
      <c r="I28">
        <v>1.99701</v>
      </c>
      <c r="J28">
        <v>22.7</v>
      </c>
      <c r="K28">
        <v>3</v>
      </c>
      <c r="L28">
        <v>1.0046600000000001</v>
      </c>
      <c r="M28">
        <v>13.3</v>
      </c>
      <c r="N28">
        <v>3</v>
      </c>
      <c r="O28">
        <v>1.9940199999999999</v>
      </c>
      <c r="P28">
        <v>14.29</v>
      </c>
    </row>
    <row r="29" spans="1:16">
      <c r="A29">
        <v>24</v>
      </c>
      <c r="B29">
        <v>10</v>
      </c>
      <c r="C29">
        <v>1.00332</v>
      </c>
      <c r="D29">
        <v>3.29</v>
      </c>
      <c r="E29">
        <v>3</v>
      </c>
      <c r="F29">
        <v>1.99701</v>
      </c>
      <c r="G29">
        <v>7.26</v>
      </c>
      <c r="H29">
        <v>3</v>
      </c>
      <c r="I29">
        <v>1.9586600000000001</v>
      </c>
      <c r="J29">
        <v>10.95</v>
      </c>
      <c r="K29">
        <v>10</v>
      </c>
      <c r="L29">
        <v>1.0046600000000001</v>
      </c>
      <c r="M29">
        <v>4.95</v>
      </c>
      <c r="N29">
        <v>3</v>
      </c>
      <c r="O29">
        <v>1.9940199999999999</v>
      </c>
      <c r="P29">
        <v>15.71</v>
      </c>
    </row>
    <row r="30" spans="1:16">
      <c r="A30">
        <v>25</v>
      </c>
      <c r="B30">
        <v>6</v>
      </c>
      <c r="C30">
        <v>1.0033300000000001</v>
      </c>
      <c r="D30">
        <v>3.38</v>
      </c>
      <c r="E30">
        <v>3</v>
      </c>
      <c r="F30">
        <v>1.99701</v>
      </c>
      <c r="G30">
        <v>7.07</v>
      </c>
      <c r="H30">
        <v>3</v>
      </c>
      <c r="I30">
        <v>1.9586600000000001</v>
      </c>
      <c r="J30">
        <v>11.77</v>
      </c>
      <c r="K30">
        <v>6</v>
      </c>
      <c r="L30">
        <v>1.0046600000000001</v>
      </c>
      <c r="M30">
        <v>9.2100000000000009</v>
      </c>
      <c r="N30">
        <v>3</v>
      </c>
      <c r="O30">
        <v>1.9940199999999999</v>
      </c>
      <c r="P30">
        <v>34.61</v>
      </c>
    </row>
    <row r="31" spans="1:16">
      <c r="A31">
        <v>26</v>
      </c>
      <c r="B31">
        <v>7</v>
      </c>
      <c r="C31">
        <v>1.0026600000000001</v>
      </c>
      <c r="D31">
        <v>9.58</v>
      </c>
      <c r="E31">
        <v>3</v>
      </c>
      <c r="F31">
        <v>1.99701</v>
      </c>
      <c r="G31">
        <v>10.029999999999999</v>
      </c>
      <c r="H31">
        <v>3</v>
      </c>
      <c r="I31">
        <v>1.7730600000000001</v>
      </c>
      <c r="J31">
        <v>17.05</v>
      </c>
      <c r="K31">
        <v>7</v>
      </c>
      <c r="L31">
        <v>1.0046600000000001</v>
      </c>
      <c r="M31">
        <v>13.12</v>
      </c>
      <c r="N31">
        <v>3</v>
      </c>
      <c r="O31">
        <v>1.9940199999999999</v>
      </c>
      <c r="P31">
        <v>16.28</v>
      </c>
    </row>
    <row r="32" spans="1:16">
      <c r="A32">
        <v>27</v>
      </c>
      <c r="B32">
        <v>3</v>
      </c>
      <c r="C32">
        <v>1</v>
      </c>
      <c r="D32">
        <v>3.07</v>
      </c>
      <c r="E32">
        <v>3</v>
      </c>
      <c r="F32">
        <v>1.99701</v>
      </c>
      <c r="G32">
        <v>6.54</v>
      </c>
      <c r="H32">
        <v>3</v>
      </c>
      <c r="I32">
        <v>1.99701</v>
      </c>
      <c r="J32">
        <v>9.68</v>
      </c>
      <c r="K32">
        <v>3</v>
      </c>
      <c r="L32">
        <v>1.0046600000000001</v>
      </c>
      <c r="M32">
        <v>4.32</v>
      </c>
      <c r="N32">
        <v>3</v>
      </c>
      <c r="O32">
        <v>1.9940199999999999</v>
      </c>
      <c r="P32">
        <v>15.13</v>
      </c>
    </row>
    <row r="33" spans="1:16">
      <c r="A33">
        <v>28</v>
      </c>
      <c r="B33">
        <v>10</v>
      </c>
      <c r="C33">
        <v>1.0019899999999999</v>
      </c>
      <c r="D33">
        <v>3.23</v>
      </c>
      <c r="E33">
        <v>3</v>
      </c>
      <c r="F33">
        <v>1.99701</v>
      </c>
      <c r="G33">
        <v>6.63</v>
      </c>
      <c r="H33">
        <v>3</v>
      </c>
      <c r="I33">
        <v>1.99701</v>
      </c>
      <c r="J33">
        <v>9.32</v>
      </c>
      <c r="K33">
        <v>10</v>
      </c>
      <c r="L33">
        <v>1.0046600000000001</v>
      </c>
      <c r="M33">
        <v>4.1399999999999997</v>
      </c>
      <c r="N33">
        <v>3</v>
      </c>
      <c r="O33">
        <v>1.9940199999999999</v>
      </c>
      <c r="P33">
        <v>34.03</v>
      </c>
    </row>
    <row r="34" spans="1:16">
      <c r="A34">
        <v>29</v>
      </c>
      <c r="B34">
        <v>13</v>
      </c>
      <c r="C34">
        <v>1.0079899999999999</v>
      </c>
      <c r="D34">
        <v>6.41</v>
      </c>
      <c r="E34">
        <v>3</v>
      </c>
      <c r="F34">
        <v>1.99701</v>
      </c>
      <c r="G34">
        <v>18.8</v>
      </c>
      <c r="H34">
        <v>3</v>
      </c>
      <c r="I34">
        <v>1.9586600000000001</v>
      </c>
      <c r="J34">
        <v>20.99</v>
      </c>
      <c r="K34">
        <v>13</v>
      </c>
      <c r="L34">
        <v>1.0046600000000001</v>
      </c>
      <c r="M34">
        <v>10.210000000000001</v>
      </c>
      <c r="N34">
        <v>3</v>
      </c>
      <c r="O34">
        <v>1.9940199999999999</v>
      </c>
      <c r="P34">
        <v>21.35</v>
      </c>
    </row>
    <row r="35" spans="1:16">
      <c r="A35">
        <v>30</v>
      </c>
      <c r="B35">
        <v>13</v>
      </c>
      <c r="C35">
        <v>1.0079899999999999</v>
      </c>
      <c r="D35">
        <v>3.66</v>
      </c>
      <c r="E35">
        <v>3</v>
      </c>
      <c r="F35">
        <v>1.99701</v>
      </c>
      <c r="G35">
        <v>11.66</v>
      </c>
      <c r="H35">
        <v>3</v>
      </c>
      <c r="I35">
        <v>1.99701</v>
      </c>
      <c r="J35">
        <v>18.43</v>
      </c>
      <c r="K35">
        <v>13</v>
      </c>
      <c r="L35">
        <v>1.0046600000000001</v>
      </c>
      <c r="M35">
        <v>7.52</v>
      </c>
      <c r="N35">
        <v>3</v>
      </c>
      <c r="O35">
        <v>1.9940199999999999</v>
      </c>
      <c r="P35">
        <v>23.07</v>
      </c>
    </row>
    <row r="36" spans="1:16">
      <c r="A36">
        <v>31</v>
      </c>
      <c r="B36">
        <v>9</v>
      </c>
      <c r="C36">
        <v>1.0039899999999999</v>
      </c>
      <c r="D36">
        <v>9.08</v>
      </c>
      <c r="E36">
        <v>3</v>
      </c>
      <c r="F36">
        <v>1.99701</v>
      </c>
      <c r="G36">
        <v>15.23</v>
      </c>
      <c r="H36">
        <v>3</v>
      </c>
      <c r="I36">
        <v>1.4518800000000001</v>
      </c>
      <c r="J36">
        <v>28.59</v>
      </c>
      <c r="K36">
        <v>9</v>
      </c>
      <c r="L36">
        <v>1.0046600000000001</v>
      </c>
      <c r="M36">
        <v>12.9</v>
      </c>
      <c r="N36">
        <v>3</v>
      </c>
      <c r="O36">
        <v>1.9940199999999999</v>
      </c>
      <c r="P36">
        <v>24.61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19</v>
      </c>
      <c r="C40" s="1">
        <f t="shared" ref="C40:P40" si="0">MAX(C5:C36)</f>
        <v>1.0079899999999999</v>
      </c>
      <c r="D40" s="1">
        <f t="shared" si="0"/>
        <v>56.56</v>
      </c>
      <c r="E40" s="1">
        <f t="shared" si="0"/>
        <v>3</v>
      </c>
      <c r="F40" s="1">
        <f t="shared" si="0"/>
        <v>1.99701</v>
      </c>
      <c r="G40" s="1">
        <f t="shared" si="0"/>
        <v>45.37</v>
      </c>
      <c r="H40" s="1">
        <f t="shared" si="0"/>
        <v>4</v>
      </c>
      <c r="I40" s="1">
        <f t="shared" si="0"/>
        <v>1.99701</v>
      </c>
      <c r="J40" s="1">
        <f t="shared" si="0"/>
        <v>64.38</v>
      </c>
      <c r="K40" s="1">
        <f t="shared" si="0"/>
        <v>19</v>
      </c>
      <c r="L40" s="1">
        <f t="shared" si="0"/>
        <v>1.0046600000000001</v>
      </c>
      <c r="M40" s="1">
        <f t="shared" si="0"/>
        <v>23.78</v>
      </c>
      <c r="N40" s="1">
        <f t="shared" si="0"/>
        <v>3</v>
      </c>
      <c r="O40" s="1">
        <f t="shared" si="0"/>
        <v>1.9940199999999999</v>
      </c>
      <c r="P40" s="1">
        <f t="shared" si="0"/>
        <v>154.76</v>
      </c>
    </row>
    <row r="41" spans="1:16">
      <c r="A41" t="s">
        <v>12</v>
      </c>
      <c r="B41" s="1">
        <f>MIN(B5:B36)</f>
        <v>3</v>
      </c>
      <c r="C41" s="1">
        <f t="shared" ref="C41:P41" si="1">MIN(C5:C36)</f>
        <v>1</v>
      </c>
      <c r="D41" s="1">
        <f t="shared" si="1"/>
        <v>3.07</v>
      </c>
      <c r="E41" s="1">
        <f t="shared" si="1"/>
        <v>3</v>
      </c>
      <c r="F41" s="1">
        <f t="shared" si="1"/>
        <v>1.99701</v>
      </c>
      <c r="G41" s="1">
        <f t="shared" si="1"/>
        <v>6.54</v>
      </c>
      <c r="H41" s="1">
        <f t="shared" si="1"/>
        <v>3</v>
      </c>
      <c r="I41" s="1">
        <f t="shared" si="1"/>
        <v>1.0256099999999999</v>
      </c>
      <c r="J41" s="1">
        <f t="shared" si="1"/>
        <v>9.32</v>
      </c>
      <c r="K41" s="1">
        <f t="shared" si="1"/>
        <v>3</v>
      </c>
      <c r="L41" s="1">
        <f t="shared" si="1"/>
        <v>1.0046600000000001</v>
      </c>
      <c r="M41" s="1">
        <f t="shared" si="1"/>
        <v>4.1399999999999997</v>
      </c>
      <c r="N41" s="1">
        <f t="shared" si="1"/>
        <v>3</v>
      </c>
      <c r="O41" s="1">
        <f t="shared" si="1"/>
        <v>1.9940199999999999</v>
      </c>
      <c r="P41" s="1">
        <f t="shared" si="1"/>
        <v>14.29</v>
      </c>
    </row>
    <row r="42" spans="1:16">
      <c r="A42" t="s">
        <v>13</v>
      </c>
      <c r="B42" s="1">
        <f>MEDIAN(B5:B36)</f>
        <v>9</v>
      </c>
      <c r="C42" s="1">
        <f t="shared" ref="C42:P42" si="2">MEDIAN(C5:C36)</f>
        <v>1.0033300000000001</v>
      </c>
      <c r="D42" s="1">
        <f t="shared" si="2"/>
        <v>6.07</v>
      </c>
      <c r="E42" s="1">
        <f t="shared" si="2"/>
        <v>3</v>
      </c>
      <c r="F42" s="1">
        <f t="shared" si="2"/>
        <v>1.99701</v>
      </c>
      <c r="G42" s="1">
        <f t="shared" si="2"/>
        <v>13.574999999999999</v>
      </c>
      <c r="H42" s="1">
        <f t="shared" si="2"/>
        <v>3</v>
      </c>
      <c r="I42" s="1">
        <f t="shared" si="2"/>
        <v>1.9586600000000001</v>
      </c>
      <c r="J42" s="1">
        <f t="shared" si="2"/>
        <v>17.68</v>
      </c>
      <c r="K42" s="1">
        <f t="shared" si="2"/>
        <v>9</v>
      </c>
      <c r="L42" s="1">
        <f t="shared" si="2"/>
        <v>1.0046600000000001</v>
      </c>
      <c r="M42" s="1">
        <f t="shared" si="2"/>
        <v>9.7899999999999991</v>
      </c>
      <c r="N42" s="1">
        <f t="shared" si="2"/>
        <v>3</v>
      </c>
      <c r="O42" s="1">
        <f t="shared" si="2"/>
        <v>1.9940199999999999</v>
      </c>
      <c r="P42" s="1">
        <f t="shared" si="2"/>
        <v>27.844999999999999</v>
      </c>
    </row>
    <row r="43" spans="1:16">
      <c r="A43" t="s">
        <v>14</v>
      </c>
      <c r="B43" s="1">
        <f>AVERAGE(B5:B36)</f>
        <v>9.125</v>
      </c>
      <c r="C43" s="1">
        <f t="shared" ref="C43:P43" si="3">AVERAGE(C5:C36)</f>
        <v>1.0030762499999999</v>
      </c>
      <c r="D43" s="1">
        <f t="shared" si="3"/>
        <v>8.6106250000000006</v>
      </c>
      <c r="E43" s="1">
        <f t="shared" si="3"/>
        <v>3</v>
      </c>
      <c r="F43" s="1">
        <f t="shared" si="3"/>
        <v>1.9970100000000013</v>
      </c>
      <c r="G43" s="1">
        <f t="shared" si="3"/>
        <v>15.181562499999998</v>
      </c>
      <c r="H43" s="1">
        <f t="shared" si="3"/>
        <v>3.03125</v>
      </c>
      <c r="I43" s="1">
        <f t="shared" si="3"/>
        <v>1.7539393750000005</v>
      </c>
      <c r="J43" s="1">
        <f t="shared" si="3"/>
        <v>22.16375</v>
      </c>
      <c r="K43" s="1">
        <f t="shared" si="3"/>
        <v>9.125</v>
      </c>
      <c r="L43" s="1">
        <f t="shared" si="3"/>
        <v>1.0046600000000006</v>
      </c>
      <c r="M43" s="1">
        <f t="shared" si="3"/>
        <v>10.635624999999996</v>
      </c>
      <c r="N43" s="1">
        <f t="shared" si="3"/>
        <v>3</v>
      </c>
      <c r="O43" s="1">
        <f t="shared" si="3"/>
        <v>1.9940199999999992</v>
      </c>
      <c r="P43" s="1">
        <f t="shared" si="3"/>
        <v>37.280624999999986</v>
      </c>
    </row>
    <row r="44" spans="1:16">
      <c r="A44" t="s">
        <v>15</v>
      </c>
      <c r="B44" s="1">
        <f>STDEV(B5:B36)</f>
        <v>3.6345119919123721</v>
      </c>
      <c r="C44" s="1">
        <f t="shared" ref="C44:P44" si="4">STDEV(C5:C36)</f>
        <v>2.1036462201032653E-3</v>
      </c>
      <c r="D44" s="1">
        <f t="shared" si="4"/>
        <v>9.6692565472956247</v>
      </c>
      <c r="E44" s="1">
        <f t="shared" si="4"/>
        <v>0</v>
      </c>
      <c r="F44" s="1">
        <f t="shared" si="4"/>
        <v>1.3535852652089328E-15</v>
      </c>
      <c r="G44" s="1">
        <f t="shared" si="4"/>
        <v>8.9828622169590755</v>
      </c>
      <c r="H44" s="1">
        <f t="shared" si="4"/>
        <v>0.17677669529663689</v>
      </c>
      <c r="I44" s="1">
        <f t="shared" si="4"/>
        <v>0.36408166277270487</v>
      </c>
      <c r="J44" s="1">
        <f t="shared" si="4"/>
        <v>13.18075252391813</v>
      </c>
      <c r="K44" s="1">
        <f t="shared" si="4"/>
        <v>3.6345119919123721</v>
      </c>
      <c r="L44" s="1">
        <f t="shared" si="4"/>
        <v>4.5119508840297763E-16</v>
      </c>
      <c r="M44" s="1">
        <f t="shared" si="4"/>
        <v>5.0607234835959423</v>
      </c>
      <c r="N44" s="1">
        <f t="shared" si="4"/>
        <v>0</v>
      </c>
      <c r="O44" s="1">
        <f t="shared" si="4"/>
        <v>6.767926326044664E-16</v>
      </c>
      <c r="P44" s="1">
        <f t="shared" si="4"/>
        <v>31.39428209059529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4"/>
  <sheetViews>
    <sheetView topLeftCell="A15" workbookViewId="0">
      <selection sqref="A1:P36"/>
    </sheetView>
  </sheetViews>
  <sheetFormatPr baseColWidth="10" defaultRowHeight="16"/>
  <sheetData>
    <row r="1" spans="1:16">
      <c r="A1" t="s">
        <v>0</v>
      </c>
      <c r="B1" t="s">
        <v>24</v>
      </c>
      <c r="C1" t="s">
        <v>1</v>
      </c>
      <c r="D1">
        <v>30003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</v>
      </c>
      <c r="C5">
        <v>1</v>
      </c>
      <c r="D5">
        <v>75.63</v>
      </c>
      <c r="E5">
        <v>3</v>
      </c>
      <c r="F5">
        <v>1.9997</v>
      </c>
      <c r="G5">
        <v>174.26</v>
      </c>
      <c r="H5">
        <v>6</v>
      </c>
      <c r="I5">
        <v>1.9984999999999999</v>
      </c>
      <c r="J5">
        <v>218.3</v>
      </c>
      <c r="K5">
        <v>3</v>
      </c>
      <c r="L5">
        <v>1</v>
      </c>
      <c r="M5">
        <v>122.97</v>
      </c>
      <c r="N5">
        <v>3</v>
      </c>
      <c r="O5">
        <v>1.9994000000000001</v>
      </c>
      <c r="P5">
        <v>297.81</v>
      </c>
    </row>
    <row r="6" spans="1:16">
      <c r="A6">
        <v>1</v>
      </c>
      <c r="B6">
        <v>10</v>
      </c>
      <c r="C6">
        <v>1.00007</v>
      </c>
      <c r="D6">
        <v>61.1</v>
      </c>
      <c r="E6">
        <v>11</v>
      </c>
      <c r="F6">
        <v>1.9981</v>
      </c>
      <c r="G6">
        <v>129.97999999999999</v>
      </c>
      <c r="H6">
        <v>3</v>
      </c>
      <c r="I6">
        <v>1.1602600000000001</v>
      </c>
      <c r="J6">
        <v>220.73</v>
      </c>
      <c r="K6">
        <v>10</v>
      </c>
      <c r="L6">
        <v>1</v>
      </c>
      <c r="M6">
        <v>92.07</v>
      </c>
      <c r="N6">
        <v>3</v>
      </c>
      <c r="O6">
        <v>1.9958100000000001</v>
      </c>
      <c r="P6">
        <v>315.93</v>
      </c>
    </row>
    <row r="7" spans="1:16">
      <c r="A7">
        <v>2</v>
      </c>
      <c r="B7">
        <v>4</v>
      </c>
      <c r="C7">
        <v>1.00007</v>
      </c>
      <c r="D7">
        <v>62.27</v>
      </c>
      <c r="E7">
        <v>11</v>
      </c>
      <c r="F7">
        <v>1.9981</v>
      </c>
      <c r="G7">
        <v>137.91999999999999</v>
      </c>
      <c r="H7">
        <v>3</v>
      </c>
      <c r="I7">
        <v>1.9997</v>
      </c>
      <c r="J7">
        <v>210.17</v>
      </c>
      <c r="K7">
        <v>4</v>
      </c>
      <c r="L7">
        <v>1</v>
      </c>
      <c r="M7">
        <v>113.96</v>
      </c>
      <c r="N7">
        <v>3</v>
      </c>
      <c r="O7">
        <v>1.9958100000000001</v>
      </c>
      <c r="P7">
        <v>364.86</v>
      </c>
    </row>
    <row r="8" spans="1:16">
      <c r="A8">
        <v>3</v>
      </c>
      <c r="B8">
        <v>4</v>
      </c>
      <c r="C8">
        <v>1.00007</v>
      </c>
      <c r="D8">
        <v>88.84</v>
      </c>
      <c r="E8">
        <v>11</v>
      </c>
      <c r="F8">
        <v>1.9981</v>
      </c>
      <c r="G8">
        <v>173.42</v>
      </c>
      <c r="H8">
        <v>11</v>
      </c>
      <c r="I8">
        <v>1.9981</v>
      </c>
      <c r="J8">
        <v>170.47</v>
      </c>
      <c r="K8">
        <v>4</v>
      </c>
      <c r="L8">
        <v>1</v>
      </c>
      <c r="M8">
        <v>127.97</v>
      </c>
      <c r="N8">
        <v>3</v>
      </c>
      <c r="O8">
        <v>1.9958100000000001</v>
      </c>
      <c r="P8">
        <v>261.39</v>
      </c>
    </row>
    <row r="9" spans="1:16">
      <c r="A9">
        <v>4</v>
      </c>
      <c r="B9">
        <v>4</v>
      </c>
      <c r="C9">
        <v>1.00007</v>
      </c>
      <c r="D9">
        <v>71.680000000000007</v>
      </c>
      <c r="E9">
        <v>11</v>
      </c>
      <c r="F9">
        <v>1.9981</v>
      </c>
      <c r="G9">
        <v>145.29</v>
      </c>
      <c r="H9">
        <v>3</v>
      </c>
      <c r="I9">
        <v>1.9997</v>
      </c>
      <c r="J9">
        <v>206.37</v>
      </c>
      <c r="K9">
        <v>4</v>
      </c>
      <c r="L9">
        <v>1</v>
      </c>
      <c r="M9">
        <v>103.13</v>
      </c>
      <c r="N9">
        <v>3</v>
      </c>
      <c r="O9">
        <v>1.9958100000000001</v>
      </c>
      <c r="P9">
        <v>282.18</v>
      </c>
    </row>
    <row r="10" spans="1:16">
      <c r="A10">
        <v>5</v>
      </c>
      <c r="B10">
        <v>13</v>
      </c>
      <c r="C10">
        <v>1.0007999999999999</v>
      </c>
      <c r="D10">
        <v>62.7</v>
      </c>
      <c r="E10">
        <v>11</v>
      </c>
      <c r="F10">
        <v>1.9981</v>
      </c>
      <c r="G10">
        <v>152.84</v>
      </c>
      <c r="H10">
        <v>3</v>
      </c>
      <c r="I10">
        <v>1.9997</v>
      </c>
      <c r="J10">
        <v>205.28</v>
      </c>
      <c r="K10">
        <v>13</v>
      </c>
      <c r="L10">
        <v>1</v>
      </c>
      <c r="M10">
        <v>104.46</v>
      </c>
      <c r="N10">
        <v>3</v>
      </c>
      <c r="O10">
        <v>1.9958100000000001</v>
      </c>
      <c r="P10">
        <v>296.14999999999998</v>
      </c>
    </row>
    <row r="11" spans="1:16">
      <c r="A11">
        <v>6</v>
      </c>
      <c r="B11">
        <v>3</v>
      </c>
      <c r="C11">
        <v>1</v>
      </c>
      <c r="D11">
        <v>60.79</v>
      </c>
      <c r="E11">
        <v>3</v>
      </c>
      <c r="F11">
        <v>1.9997</v>
      </c>
      <c r="G11">
        <v>249.77</v>
      </c>
      <c r="H11">
        <v>6</v>
      </c>
      <c r="I11">
        <v>1.9994000000000001</v>
      </c>
      <c r="J11">
        <v>289.47000000000003</v>
      </c>
      <c r="K11">
        <v>3</v>
      </c>
      <c r="L11">
        <v>1</v>
      </c>
      <c r="M11">
        <v>127.33</v>
      </c>
      <c r="N11">
        <v>3</v>
      </c>
      <c r="O11">
        <v>1.9994000000000001</v>
      </c>
      <c r="P11">
        <v>280.8</v>
      </c>
    </row>
    <row r="12" spans="1:16">
      <c r="A12">
        <v>7</v>
      </c>
      <c r="B12">
        <v>3</v>
      </c>
      <c r="C12">
        <v>1</v>
      </c>
      <c r="D12">
        <v>76.900000000000006</v>
      </c>
      <c r="E12">
        <v>3</v>
      </c>
      <c r="F12">
        <v>1.9997</v>
      </c>
      <c r="G12">
        <v>162.88</v>
      </c>
      <c r="H12">
        <v>6</v>
      </c>
      <c r="I12">
        <v>1.9994000000000001</v>
      </c>
      <c r="J12">
        <v>205.65</v>
      </c>
      <c r="K12">
        <v>3</v>
      </c>
      <c r="L12">
        <v>1</v>
      </c>
      <c r="M12">
        <v>101.68</v>
      </c>
      <c r="N12">
        <v>3</v>
      </c>
      <c r="O12">
        <v>1.9994000000000001</v>
      </c>
      <c r="P12">
        <v>298.23</v>
      </c>
    </row>
    <row r="13" spans="1:16">
      <c r="A13">
        <v>8</v>
      </c>
      <c r="B13">
        <v>9</v>
      </c>
      <c r="C13">
        <v>1.00013</v>
      </c>
      <c r="D13">
        <v>63.09</v>
      </c>
      <c r="E13">
        <v>3</v>
      </c>
      <c r="F13">
        <v>1.9997</v>
      </c>
      <c r="G13">
        <v>164.7</v>
      </c>
      <c r="H13">
        <v>3</v>
      </c>
      <c r="I13">
        <v>1.89354</v>
      </c>
      <c r="J13">
        <v>177.55</v>
      </c>
      <c r="K13">
        <v>9</v>
      </c>
      <c r="L13">
        <v>1</v>
      </c>
      <c r="M13">
        <v>113.15</v>
      </c>
      <c r="N13">
        <v>3</v>
      </c>
      <c r="O13">
        <v>1.9994000000000001</v>
      </c>
      <c r="P13">
        <v>273.67</v>
      </c>
    </row>
    <row r="14" spans="1:16">
      <c r="A14">
        <v>9</v>
      </c>
      <c r="B14">
        <v>3</v>
      </c>
      <c r="C14">
        <v>1</v>
      </c>
      <c r="D14">
        <v>60.83</v>
      </c>
      <c r="E14">
        <v>3</v>
      </c>
      <c r="F14">
        <v>1.9997</v>
      </c>
      <c r="G14">
        <v>129.87</v>
      </c>
      <c r="H14">
        <v>6</v>
      </c>
      <c r="I14">
        <v>1.9984999999999999</v>
      </c>
      <c r="J14">
        <v>212.25</v>
      </c>
      <c r="K14">
        <v>3</v>
      </c>
      <c r="L14">
        <v>1</v>
      </c>
      <c r="M14">
        <v>88.24</v>
      </c>
      <c r="N14">
        <v>3</v>
      </c>
      <c r="O14">
        <v>1.9994000000000001</v>
      </c>
      <c r="P14">
        <v>295.89999999999998</v>
      </c>
    </row>
    <row r="15" spans="1:16">
      <c r="A15">
        <v>10</v>
      </c>
      <c r="B15">
        <v>4</v>
      </c>
      <c r="C15">
        <v>1.00007</v>
      </c>
      <c r="D15">
        <v>60.56</v>
      </c>
      <c r="E15">
        <v>11</v>
      </c>
      <c r="F15">
        <v>1.9981</v>
      </c>
      <c r="G15">
        <v>128.9</v>
      </c>
      <c r="H15">
        <v>3</v>
      </c>
      <c r="I15">
        <v>1.9997</v>
      </c>
      <c r="J15">
        <v>232.39</v>
      </c>
      <c r="K15">
        <v>4</v>
      </c>
      <c r="L15">
        <v>1</v>
      </c>
      <c r="M15">
        <v>90.25</v>
      </c>
      <c r="N15">
        <v>3</v>
      </c>
      <c r="O15">
        <v>1.9958100000000001</v>
      </c>
      <c r="P15">
        <v>373.2</v>
      </c>
    </row>
    <row r="16" spans="1:16">
      <c r="A16">
        <v>11</v>
      </c>
      <c r="B16">
        <v>4</v>
      </c>
      <c r="C16">
        <v>1.00007</v>
      </c>
      <c r="D16">
        <v>94.8</v>
      </c>
      <c r="E16">
        <v>11</v>
      </c>
      <c r="F16">
        <v>1.9981</v>
      </c>
      <c r="G16">
        <v>211.74</v>
      </c>
      <c r="H16">
        <v>11</v>
      </c>
      <c r="I16">
        <v>1.9981</v>
      </c>
      <c r="J16">
        <v>251.98</v>
      </c>
      <c r="K16">
        <v>4</v>
      </c>
      <c r="L16">
        <v>1</v>
      </c>
      <c r="M16">
        <v>102.72</v>
      </c>
      <c r="N16">
        <v>3</v>
      </c>
      <c r="O16">
        <v>1.9958100000000001</v>
      </c>
      <c r="P16">
        <v>306.08999999999997</v>
      </c>
    </row>
    <row r="17" spans="1:16">
      <c r="A17">
        <v>12</v>
      </c>
      <c r="B17">
        <v>4</v>
      </c>
      <c r="C17">
        <v>1.00007</v>
      </c>
      <c r="D17">
        <v>63.97</v>
      </c>
      <c r="E17">
        <v>11</v>
      </c>
      <c r="F17">
        <v>1.9981</v>
      </c>
      <c r="G17">
        <v>140.25</v>
      </c>
      <c r="H17">
        <v>3</v>
      </c>
      <c r="I17">
        <v>1.9997</v>
      </c>
      <c r="J17">
        <v>241.41</v>
      </c>
      <c r="K17">
        <v>4</v>
      </c>
      <c r="L17">
        <v>1</v>
      </c>
      <c r="M17">
        <v>98.71</v>
      </c>
      <c r="N17">
        <v>3</v>
      </c>
      <c r="O17">
        <v>1.9958100000000001</v>
      </c>
      <c r="P17">
        <v>303.87</v>
      </c>
    </row>
    <row r="18" spans="1:16">
      <c r="A18">
        <v>13</v>
      </c>
      <c r="B18">
        <v>18</v>
      </c>
      <c r="C18">
        <v>1.0002</v>
      </c>
      <c r="D18">
        <v>64.98</v>
      </c>
      <c r="E18">
        <v>11</v>
      </c>
      <c r="F18">
        <v>1.9981</v>
      </c>
      <c r="G18">
        <v>136.9</v>
      </c>
      <c r="H18">
        <v>3</v>
      </c>
      <c r="I18">
        <v>1.58405</v>
      </c>
      <c r="J18">
        <v>244.16</v>
      </c>
      <c r="K18">
        <v>18</v>
      </c>
      <c r="L18">
        <v>1</v>
      </c>
      <c r="M18">
        <v>95.81</v>
      </c>
      <c r="N18">
        <v>3</v>
      </c>
      <c r="O18">
        <v>1.9958100000000001</v>
      </c>
      <c r="P18">
        <v>301.10000000000002</v>
      </c>
    </row>
    <row r="19" spans="1:16">
      <c r="A19">
        <v>14</v>
      </c>
      <c r="B19">
        <v>13</v>
      </c>
      <c r="C19">
        <v>1.0004</v>
      </c>
      <c r="D19">
        <v>68.73</v>
      </c>
      <c r="E19">
        <v>3</v>
      </c>
      <c r="F19">
        <v>1.9997</v>
      </c>
      <c r="G19">
        <v>139.51</v>
      </c>
      <c r="H19">
        <v>3</v>
      </c>
      <c r="I19">
        <v>1.8444400000000001</v>
      </c>
      <c r="J19">
        <v>216.32</v>
      </c>
      <c r="K19">
        <v>13</v>
      </c>
      <c r="L19">
        <v>1</v>
      </c>
      <c r="M19">
        <v>123.26</v>
      </c>
      <c r="N19">
        <v>3</v>
      </c>
      <c r="O19">
        <v>1.9994000000000001</v>
      </c>
      <c r="P19">
        <v>298</v>
      </c>
    </row>
    <row r="20" spans="1:16">
      <c r="A20">
        <v>15</v>
      </c>
      <c r="B20">
        <v>17</v>
      </c>
      <c r="C20">
        <v>1.00013</v>
      </c>
      <c r="D20">
        <v>67.540000000000006</v>
      </c>
      <c r="E20">
        <v>3</v>
      </c>
      <c r="F20">
        <v>1.9997</v>
      </c>
      <c r="G20">
        <v>132.54</v>
      </c>
      <c r="H20">
        <v>3</v>
      </c>
      <c r="I20">
        <v>1.9979</v>
      </c>
      <c r="J20">
        <v>187.62</v>
      </c>
      <c r="K20">
        <v>17</v>
      </c>
      <c r="L20">
        <v>1</v>
      </c>
      <c r="M20">
        <v>132.83000000000001</v>
      </c>
      <c r="N20">
        <v>3</v>
      </c>
      <c r="O20">
        <v>1.9994000000000001</v>
      </c>
      <c r="P20">
        <v>275.86</v>
      </c>
    </row>
    <row r="21" spans="1:16">
      <c r="A21">
        <v>16</v>
      </c>
      <c r="B21">
        <v>4</v>
      </c>
      <c r="C21">
        <v>1.00007</v>
      </c>
      <c r="D21">
        <v>62.66</v>
      </c>
      <c r="E21">
        <v>11</v>
      </c>
      <c r="F21">
        <v>1.9981</v>
      </c>
      <c r="G21">
        <v>153.54</v>
      </c>
      <c r="H21">
        <v>3</v>
      </c>
      <c r="I21">
        <v>1.9997</v>
      </c>
      <c r="J21">
        <v>201.55</v>
      </c>
      <c r="K21">
        <v>4</v>
      </c>
      <c r="L21">
        <v>1</v>
      </c>
      <c r="M21">
        <v>109.1</v>
      </c>
      <c r="N21">
        <v>3</v>
      </c>
      <c r="O21">
        <v>1.9958100000000001</v>
      </c>
      <c r="P21">
        <v>278.07</v>
      </c>
    </row>
    <row r="22" spans="1:16">
      <c r="A22">
        <v>17</v>
      </c>
      <c r="B22">
        <v>4</v>
      </c>
      <c r="C22">
        <v>1.00007</v>
      </c>
      <c r="D22">
        <v>61.47</v>
      </c>
      <c r="E22">
        <v>11</v>
      </c>
      <c r="F22">
        <v>1.9981</v>
      </c>
      <c r="G22">
        <v>134.61000000000001</v>
      </c>
      <c r="H22">
        <v>3</v>
      </c>
      <c r="I22">
        <v>1.9997</v>
      </c>
      <c r="J22">
        <v>220.41</v>
      </c>
      <c r="K22">
        <v>4</v>
      </c>
      <c r="L22">
        <v>1</v>
      </c>
      <c r="M22">
        <v>88.22</v>
      </c>
      <c r="N22">
        <v>3</v>
      </c>
      <c r="O22">
        <v>1.9958100000000001</v>
      </c>
      <c r="P22">
        <v>303.99</v>
      </c>
    </row>
    <row r="23" spans="1:16">
      <c r="A23">
        <v>18</v>
      </c>
      <c r="B23">
        <v>12</v>
      </c>
      <c r="C23">
        <v>1.0002</v>
      </c>
      <c r="D23">
        <v>61.37</v>
      </c>
      <c r="E23">
        <v>3</v>
      </c>
      <c r="F23">
        <v>1.9997</v>
      </c>
      <c r="G23">
        <v>126.77</v>
      </c>
      <c r="H23">
        <v>3</v>
      </c>
      <c r="I23">
        <v>1.47963</v>
      </c>
      <c r="J23">
        <v>210.38</v>
      </c>
      <c r="K23">
        <v>12</v>
      </c>
      <c r="L23">
        <v>1</v>
      </c>
      <c r="M23">
        <v>88.64</v>
      </c>
      <c r="N23">
        <v>3</v>
      </c>
      <c r="O23">
        <v>1.9994000000000001</v>
      </c>
      <c r="P23">
        <v>294.11</v>
      </c>
    </row>
    <row r="24" spans="1:16">
      <c r="A24">
        <v>19</v>
      </c>
      <c r="B24">
        <v>4</v>
      </c>
      <c r="C24">
        <v>1.00007</v>
      </c>
      <c r="D24">
        <v>62.08</v>
      </c>
      <c r="E24">
        <v>11</v>
      </c>
      <c r="F24">
        <v>1.9981</v>
      </c>
      <c r="G24">
        <v>126.3</v>
      </c>
      <c r="H24">
        <v>3</v>
      </c>
      <c r="I24">
        <v>1.9997</v>
      </c>
      <c r="J24">
        <v>215.07</v>
      </c>
      <c r="K24">
        <v>4</v>
      </c>
      <c r="L24">
        <v>1</v>
      </c>
      <c r="M24">
        <v>104.26</v>
      </c>
      <c r="N24">
        <v>3</v>
      </c>
      <c r="O24">
        <v>1.9958100000000001</v>
      </c>
      <c r="P24">
        <v>276.86</v>
      </c>
    </row>
    <row r="25" spans="1:16">
      <c r="A25">
        <v>20</v>
      </c>
      <c r="B25">
        <v>3</v>
      </c>
      <c r="C25">
        <v>1</v>
      </c>
      <c r="D25">
        <v>77.72</v>
      </c>
      <c r="E25">
        <v>3</v>
      </c>
      <c r="F25">
        <v>1.9997</v>
      </c>
      <c r="G25">
        <v>149.87</v>
      </c>
      <c r="H25">
        <v>6</v>
      </c>
      <c r="I25">
        <v>1.9994000000000001</v>
      </c>
      <c r="J25">
        <v>233.37</v>
      </c>
      <c r="K25">
        <v>3</v>
      </c>
      <c r="L25">
        <v>1</v>
      </c>
      <c r="M25">
        <v>102.06</v>
      </c>
      <c r="N25">
        <v>3</v>
      </c>
      <c r="O25">
        <v>1.9994000000000001</v>
      </c>
      <c r="P25">
        <v>287.17</v>
      </c>
    </row>
    <row r="26" spans="1:16">
      <c r="A26">
        <v>21</v>
      </c>
      <c r="B26">
        <v>4</v>
      </c>
      <c r="C26">
        <v>1.00007</v>
      </c>
      <c r="D26">
        <v>63.2</v>
      </c>
      <c r="E26">
        <v>11</v>
      </c>
      <c r="F26">
        <v>1.9981</v>
      </c>
      <c r="G26">
        <v>156.33000000000001</v>
      </c>
      <c r="H26">
        <v>11</v>
      </c>
      <c r="I26">
        <v>1.9981</v>
      </c>
      <c r="J26">
        <v>185.14</v>
      </c>
      <c r="K26">
        <v>4</v>
      </c>
      <c r="L26">
        <v>1</v>
      </c>
      <c r="M26">
        <v>117.47</v>
      </c>
      <c r="N26">
        <v>3</v>
      </c>
      <c r="O26">
        <v>1.9958100000000001</v>
      </c>
      <c r="P26">
        <v>273.27999999999997</v>
      </c>
    </row>
    <row r="27" spans="1:16">
      <c r="A27">
        <v>22</v>
      </c>
      <c r="B27">
        <v>18</v>
      </c>
      <c r="C27">
        <v>1.0005999999999999</v>
      </c>
      <c r="D27">
        <v>61.72</v>
      </c>
      <c r="E27">
        <v>3</v>
      </c>
      <c r="F27">
        <v>1.9997</v>
      </c>
      <c r="G27">
        <v>129.59</v>
      </c>
      <c r="H27">
        <v>6</v>
      </c>
      <c r="I27">
        <v>1.9994000000000001</v>
      </c>
      <c r="J27">
        <v>236.71</v>
      </c>
      <c r="K27">
        <v>18</v>
      </c>
      <c r="L27">
        <v>1</v>
      </c>
      <c r="M27">
        <v>88.22</v>
      </c>
      <c r="N27">
        <v>3</v>
      </c>
      <c r="O27">
        <v>1.9994000000000001</v>
      </c>
      <c r="P27">
        <v>287.11</v>
      </c>
    </row>
    <row r="28" spans="1:16">
      <c r="A28">
        <v>23</v>
      </c>
      <c r="B28">
        <v>6</v>
      </c>
      <c r="C28">
        <v>1.0003299999999999</v>
      </c>
      <c r="D28">
        <v>60.03</v>
      </c>
      <c r="E28">
        <v>11</v>
      </c>
      <c r="F28">
        <v>1.9981</v>
      </c>
      <c r="G28">
        <v>125.48</v>
      </c>
      <c r="H28">
        <v>3</v>
      </c>
      <c r="I28">
        <v>1.0064200000000001</v>
      </c>
      <c r="J28">
        <v>221.97</v>
      </c>
      <c r="K28">
        <v>6</v>
      </c>
      <c r="L28">
        <v>1</v>
      </c>
      <c r="M28">
        <v>96.1</v>
      </c>
      <c r="N28">
        <v>3</v>
      </c>
      <c r="O28">
        <v>1.9958100000000001</v>
      </c>
      <c r="P28">
        <v>288.22000000000003</v>
      </c>
    </row>
    <row r="29" spans="1:16">
      <c r="A29">
        <v>24</v>
      </c>
      <c r="B29">
        <v>17</v>
      </c>
      <c r="C29">
        <v>1.0010699999999999</v>
      </c>
      <c r="D29">
        <v>62.6</v>
      </c>
      <c r="E29">
        <v>3</v>
      </c>
      <c r="F29">
        <v>1.9997</v>
      </c>
      <c r="G29">
        <v>130.26</v>
      </c>
      <c r="H29">
        <v>6</v>
      </c>
      <c r="I29">
        <v>1.9994000000000001</v>
      </c>
      <c r="J29">
        <v>217.65</v>
      </c>
      <c r="K29">
        <v>17</v>
      </c>
      <c r="L29">
        <v>1</v>
      </c>
      <c r="M29">
        <v>105.93</v>
      </c>
      <c r="N29">
        <v>3</v>
      </c>
      <c r="O29">
        <v>1.9994000000000001</v>
      </c>
      <c r="P29">
        <v>286.92</v>
      </c>
    </row>
    <row r="30" spans="1:16">
      <c r="A30">
        <v>25</v>
      </c>
      <c r="B30">
        <v>12</v>
      </c>
      <c r="C30">
        <v>1.0002</v>
      </c>
      <c r="D30">
        <v>67.34</v>
      </c>
      <c r="E30">
        <v>11</v>
      </c>
      <c r="F30">
        <v>1.9981</v>
      </c>
      <c r="G30">
        <v>136.31</v>
      </c>
      <c r="H30">
        <v>3</v>
      </c>
      <c r="I30">
        <v>1.9984999999999999</v>
      </c>
      <c r="J30">
        <v>209.46</v>
      </c>
      <c r="K30">
        <v>12</v>
      </c>
      <c r="L30">
        <v>1</v>
      </c>
      <c r="M30">
        <v>105.23</v>
      </c>
      <c r="N30">
        <v>3</v>
      </c>
      <c r="O30">
        <v>1.9958100000000001</v>
      </c>
      <c r="P30">
        <v>274.81</v>
      </c>
    </row>
    <row r="31" spans="1:16">
      <c r="A31">
        <v>26</v>
      </c>
      <c r="B31">
        <v>3</v>
      </c>
      <c r="C31">
        <v>1</v>
      </c>
      <c r="D31">
        <v>61.18</v>
      </c>
      <c r="E31">
        <v>3</v>
      </c>
      <c r="F31">
        <v>1.9997</v>
      </c>
      <c r="G31">
        <v>142.65</v>
      </c>
      <c r="H31">
        <v>6</v>
      </c>
      <c r="I31">
        <v>1.9994000000000001</v>
      </c>
      <c r="J31">
        <v>214.75</v>
      </c>
      <c r="K31">
        <v>3</v>
      </c>
      <c r="L31">
        <v>1</v>
      </c>
      <c r="M31">
        <v>89.74</v>
      </c>
      <c r="N31">
        <v>3</v>
      </c>
      <c r="O31">
        <v>1.9994000000000001</v>
      </c>
      <c r="P31">
        <v>286.58999999999997</v>
      </c>
    </row>
    <row r="32" spans="1:16">
      <c r="A32">
        <v>27</v>
      </c>
      <c r="B32">
        <v>14</v>
      </c>
      <c r="C32">
        <v>1.0003299999999999</v>
      </c>
      <c r="D32">
        <v>59.86</v>
      </c>
      <c r="E32">
        <v>3</v>
      </c>
      <c r="F32">
        <v>1.9997</v>
      </c>
      <c r="G32">
        <v>125.78</v>
      </c>
      <c r="H32">
        <v>3</v>
      </c>
      <c r="I32">
        <v>1.5111699999999999</v>
      </c>
      <c r="J32">
        <v>204.78</v>
      </c>
      <c r="K32">
        <v>14</v>
      </c>
      <c r="L32">
        <v>1</v>
      </c>
      <c r="M32">
        <v>89.2</v>
      </c>
      <c r="N32">
        <v>3</v>
      </c>
      <c r="O32">
        <v>1.9994000000000001</v>
      </c>
      <c r="P32">
        <v>288.51</v>
      </c>
    </row>
    <row r="33" spans="1:16">
      <c r="A33">
        <v>28</v>
      </c>
      <c r="B33">
        <v>4</v>
      </c>
      <c r="C33">
        <v>1.00007</v>
      </c>
      <c r="D33">
        <v>63</v>
      </c>
      <c r="E33">
        <v>11</v>
      </c>
      <c r="F33">
        <v>1.9981</v>
      </c>
      <c r="G33">
        <v>127.63</v>
      </c>
      <c r="H33">
        <v>11</v>
      </c>
      <c r="I33">
        <v>1.9981</v>
      </c>
      <c r="J33">
        <v>202.73</v>
      </c>
      <c r="K33">
        <v>4</v>
      </c>
      <c r="L33">
        <v>1</v>
      </c>
      <c r="M33">
        <v>103.77</v>
      </c>
      <c r="N33">
        <v>3</v>
      </c>
      <c r="O33">
        <v>1.9958100000000001</v>
      </c>
      <c r="P33">
        <v>273.97000000000003</v>
      </c>
    </row>
    <row r="34" spans="1:16">
      <c r="A34">
        <v>29</v>
      </c>
      <c r="B34">
        <v>11</v>
      </c>
      <c r="C34">
        <v>1.00013</v>
      </c>
      <c r="D34">
        <v>68.09</v>
      </c>
      <c r="E34">
        <v>3</v>
      </c>
      <c r="F34">
        <v>1.9997</v>
      </c>
      <c r="G34">
        <v>151.86000000000001</v>
      </c>
      <c r="H34">
        <v>6</v>
      </c>
      <c r="I34">
        <v>1.9994000000000001</v>
      </c>
      <c r="J34">
        <v>199.51</v>
      </c>
      <c r="K34">
        <v>11</v>
      </c>
      <c r="L34">
        <v>1</v>
      </c>
      <c r="M34">
        <v>100.5</v>
      </c>
      <c r="N34">
        <v>3</v>
      </c>
      <c r="O34">
        <v>1.9994000000000001</v>
      </c>
      <c r="P34">
        <v>285.3</v>
      </c>
    </row>
    <row r="35" spans="1:16">
      <c r="A35">
        <v>30</v>
      </c>
      <c r="B35">
        <v>17</v>
      </c>
      <c r="C35">
        <v>1.0010699999999999</v>
      </c>
      <c r="D35">
        <v>60.96</v>
      </c>
      <c r="E35">
        <v>11</v>
      </c>
      <c r="F35">
        <v>1.9981</v>
      </c>
      <c r="G35">
        <v>147.72</v>
      </c>
      <c r="H35">
        <v>3</v>
      </c>
      <c r="I35">
        <v>1.36063</v>
      </c>
      <c r="J35">
        <v>196.02</v>
      </c>
      <c r="K35">
        <v>17</v>
      </c>
      <c r="L35">
        <v>1</v>
      </c>
      <c r="M35">
        <v>121.07</v>
      </c>
      <c r="N35">
        <v>3</v>
      </c>
      <c r="O35">
        <v>1.9958100000000001</v>
      </c>
      <c r="P35">
        <v>274.37</v>
      </c>
    </row>
    <row r="36" spans="1:16">
      <c r="A36">
        <v>31</v>
      </c>
      <c r="B36">
        <v>4</v>
      </c>
      <c r="C36">
        <v>1.00007</v>
      </c>
      <c r="D36">
        <v>61.39</v>
      </c>
      <c r="E36">
        <v>11</v>
      </c>
      <c r="F36">
        <v>1.9981</v>
      </c>
      <c r="G36">
        <v>138.74</v>
      </c>
      <c r="H36">
        <v>3</v>
      </c>
      <c r="I36">
        <v>1.9997</v>
      </c>
      <c r="J36">
        <v>234.83</v>
      </c>
      <c r="K36">
        <v>4</v>
      </c>
      <c r="L36">
        <v>1</v>
      </c>
      <c r="M36">
        <v>90.85</v>
      </c>
      <c r="N36">
        <v>3</v>
      </c>
      <c r="O36">
        <v>1.9958100000000001</v>
      </c>
      <c r="P36">
        <v>297.48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18</v>
      </c>
      <c r="C40" s="1">
        <f t="shared" ref="C40:I40" si="0">MAX(C5:C36)</f>
        <v>1.0010699999999999</v>
      </c>
      <c r="D40" s="1">
        <f t="shared" si="0"/>
        <v>94.8</v>
      </c>
      <c r="E40" s="1">
        <f t="shared" si="0"/>
        <v>11</v>
      </c>
      <c r="F40" s="1">
        <f t="shared" si="0"/>
        <v>1.9997</v>
      </c>
      <c r="G40" s="1">
        <f t="shared" si="0"/>
        <v>249.77</v>
      </c>
      <c r="H40" s="1">
        <f t="shared" si="0"/>
        <v>11</v>
      </c>
      <c r="I40" s="1">
        <f t="shared" si="0"/>
        <v>1.9997</v>
      </c>
      <c r="J40" s="1">
        <f t="shared" ref="J40:P40" si="1">MAX(J5:J36)</f>
        <v>289.47000000000003</v>
      </c>
      <c r="K40" s="1">
        <f t="shared" si="1"/>
        <v>18</v>
      </c>
      <c r="L40" s="1">
        <f t="shared" si="1"/>
        <v>1</v>
      </c>
      <c r="M40" s="1">
        <f t="shared" si="1"/>
        <v>132.83000000000001</v>
      </c>
      <c r="N40" s="1">
        <f t="shared" si="1"/>
        <v>3</v>
      </c>
      <c r="O40" s="1">
        <f t="shared" si="1"/>
        <v>1.9994000000000001</v>
      </c>
      <c r="P40" s="1">
        <f t="shared" si="1"/>
        <v>373.2</v>
      </c>
    </row>
    <row r="41" spans="1:16">
      <c r="A41" t="s">
        <v>12</v>
      </c>
      <c r="B41" s="1">
        <f>MIN(B5:B36)</f>
        <v>3</v>
      </c>
      <c r="C41" s="1">
        <f t="shared" ref="C41:I41" si="2">MIN(C5:C36)</f>
        <v>1</v>
      </c>
      <c r="D41" s="1">
        <f t="shared" si="2"/>
        <v>59.86</v>
      </c>
      <c r="E41" s="1">
        <f t="shared" si="2"/>
        <v>3</v>
      </c>
      <c r="F41" s="1">
        <f t="shared" si="2"/>
        <v>1.9981</v>
      </c>
      <c r="G41" s="1">
        <f t="shared" si="2"/>
        <v>125.48</v>
      </c>
      <c r="H41" s="1">
        <f t="shared" si="2"/>
        <v>3</v>
      </c>
      <c r="I41" s="1">
        <f t="shared" si="2"/>
        <v>1.0064200000000001</v>
      </c>
      <c r="J41" s="1">
        <f t="shared" ref="J41:P41" si="3">MIN(J5:J36)</f>
        <v>170.47</v>
      </c>
      <c r="K41" s="1">
        <f t="shared" si="3"/>
        <v>3</v>
      </c>
      <c r="L41" s="1">
        <f t="shared" si="3"/>
        <v>1</v>
      </c>
      <c r="M41" s="1">
        <f t="shared" si="3"/>
        <v>88.22</v>
      </c>
      <c r="N41" s="1">
        <f t="shared" si="3"/>
        <v>3</v>
      </c>
      <c r="O41" s="1">
        <f t="shared" si="3"/>
        <v>1.9958100000000001</v>
      </c>
      <c r="P41" s="1">
        <f t="shared" si="3"/>
        <v>261.39</v>
      </c>
    </row>
    <row r="42" spans="1:16">
      <c r="A42" t="s">
        <v>13</v>
      </c>
      <c r="B42" s="1">
        <f>MEDIAN(B5:B36)</f>
        <v>4</v>
      </c>
      <c r="C42" s="1">
        <f t="shared" ref="C42:I42" si="4">MEDIAN(C5:C36)</f>
        <v>1.00007</v>
      </c>
      <c r="D42" s="1">
        <f t="shared" si="4"/>
        <v>62.68</v>
      </c>
      <c r="E42" s="1">
        <f t="shared" si="4"/>
        <v>11</v>
      </c>
      <c r="F42" s="1">
        <f t="shared" si="4"/>
        <v>1.9981</v>
      </c>
      <c r="G42" s="1">
        <f t="shared" si="4"/>
        <v>139.125</v>
      </c>
      <c r="H42" s="1">
        <f t="shared" si="4"/>
        <v>3</v>
      </c>
      <c r="I42" s="1">
        <f t="shared" si="4"/>
        <v>1.99895</v>
      </c>
      <c r="J42" s="1">
        <f t="shared" ref="J42:P42" si="5">MEDIAN(J5:J36)</f>
        <v>213.5</v>
      </c>
      <c r="K42" s="1">
        <f t="shared" si="5"/>
        <v>4</v>
      </c>
      <c r="L42" s="1">
        <f t="shared" si="5"/>
        <v>1</v>
      </c>
      <c r="M42" s="1">
        <f t="shared" si="5"/>
        <v>102.925</v>
      </c>
      <c r="N42" s="1">
        <f t="shared" si="5"/>
        <v>3</v>
      </c>
      <c r="O42" s="1">
        <f t="shared" si="5"/>
        <v>1.9958100000000001</v>
      </c>
      <c r="P42" s="1">
        <f t="shared" si="5"/>
        <v>287.69500000000005</v>
      </c>
    </row>
    <row r="43" spans="1:16">
      <c r="A43" t="s">
        <v>14</v>
      </c>
      <c r="B43" s="1">
        <f>AVERAGE(B5:B36)</f>
        <v>7.90625</v>
      </c>
      <c r="C43" s="1">
        <f t="shared" ref="C43:I43" si="6">AVERAGE(C5:C36)</f>
        <v>1.0002031249999999</v>
      </c>
      <c r="D43" s="1">
        <f t="shared" si="6"/>
        <v>66.221249999999984</v>
      </c>
      <c r="E43" s="1">
        <f t="shared" si="6"/>
        <v>7.5</v>
      </c>
      <c r="F43" s="1">
        <f t="shared" si="6"/>
        <v>1.9987999999999999</v>
      </c>
      <c r="G43" s="1">
        <f t="shared" si="6"/>
        <v>147.3190625</v>
      </c>
      <c r="H43" s="1">
        <f t="shared" si="6"/>
        <v>4.84375</v>
      </c>
      <c r="I43" s="1">
        <f t="shared" si="6"/>
        <v>1.869345</v>
      </c>
      <c r="J43" s="1">
        <f t="shared" ref="J43:P43" si="7">AVERAGE(J5:J36)</f>
        <v>215.45156249999997</v>
      </c>
      <c r="K43" s="1">
        <f t="shared" si="7"/>
        <v>7.90625</v>
      </c>
      <c r="L43" s="1">
        <f t="shared" si="7"/>
        <v>1</v>
      </c>
      <c r="M43" s="1">
        <f t="shared" si="7"/>
        <v>104.34062499999997</v>
      </c>
      <c r="N43" s="1">
        <f t="shared" si="7"/>
        <v>3</v>
      </c>
      <c r="O43" s="1">
        <f t="shared" si="7"/>
        <v>1.9973806250000001</v>
      </c>
      <c r="P43" s="1">
        <f t="shared" si="7"/>
        <v>293.18124999999992</v>
      </c>
    </row>
    <row r="44" spans="1:16">
      <c r="A44" t="s">
        <v>15</v>
      </c>
      <c r="B44" s="1">
        <f>STDEV(B5:B36)</f>
        <v>5.4498261292182226</v>
      </c>
      <c r="C44" s="1">
        <f t="shared" ref="C44:I44" si="8">STDEV(C5:C36)</f>
        <v>2.885831629452167E-4</v>
      </c>
      <c r="D44" s="1">
        <f t="shared" si="8"/>
        <v>8.3299474304194217</v>
      </c>
      <c r="E44" s="1">
        <f t="shared" si="8"/>
        <v>4.0321290301934827</v>
      </c>
      <c r="F44" s="1">
        <f t="shared" si="8"/>
        <v>8.0642580603871954E-4</v>
      </c>
      <c r="G44" s="1">
        <f t="shared" si="8"/>
        <v>26.289975319854342</v>
      </c>
      <c r="H44" s="1">
        <f t="shared" si="8"/>
        <v>2.7132812536282196</v>
      </c>
      <c r="I44" s="1">
        <f t="shared" si="8"/>
        <v>0.27079398404238908</v>
      </c>
      <c r="J44" s="1">
        <f t="shared" ref="J44:P44" si="9">STDEV(J5:J36)</f>
        <v>23.064770665821673</v>
      </c>
      <c r="K44" s="1">
        <f t="shared" si="9"/>
        <v>5.4498261292182226</v>
      </c>
      <c r="L44" s="1">
        <f t="shared" si="9"/>
        <v>0</v>
      </c>
      <c r="M44" s="1">
        <f t="shared" si="9"/>
        <v>13.264951621934449</v>
      </c>
      <c r="N44" s="1">
        <f t="shared" si="9"/>
        <v>0</v>
      </c>
      <c r="O44" s="1">
        <f t="shared" si="9"/>
        <v>1.8094179022993158E-3</v>
      </c>
      <c r="P44" s="1">
        <f t="shared" si="9"/>
        <v>23.283384737591518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topLeftCell="A21" workbookViewId="0">
      <selection activeCell="A38" sqref="A38:XFD44"/>
    </sheetView>
  </sheetViews>
  <sheetFormatPr baseColWidth="10" defaultRowHeight="16"/>
  <sheetData>
    <row r="1" spans="1:16">
      <c r="A1" t="s">
        <v>0</v>
      </c>
      <c r="B1" t="s">
        <v>25</v>
      </c>
      <c r="C1" t="s">
        <v>1</v>
      </c>
      <c r="D1">
        <v>300003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4</v>
      </c>
      <c r="C5">
        <v>1.0000199999999999</v>
      </c>
      <c r="D5">
        <v>1013.84</v>
      </c>
      <c r="E5">
        <v>5</v>
      </c>
      <c r="F5">
        <v>1.9998100000000001</v>
      </c>
      <c r="G5">
        <v>3938.82</v>
      </c>
      <c r="H5">
        <v>7</v>
      </c>
      <c r="I5">
        <v>1.9999199999999999</v>
      </c>
      <c r="J5">
        <v>2730.32</v>
      </c>
      <c r="K5">
        <v>4</v>
      </c>
      <c r="L5">
        <v>1.0000100000000001</v>
      </c>
      <c r="M5">
        <v>1114.73</v>
      </c>
      <c r="N5">
        <v>3</v>
      </c>
      <c r="O5">
        <v>1.9998199999999999</v>
      </c>
      <c r="P5">
        <v>3504.01</v>
      </c>
    </row>
    <row r="6" spans="1:16">
      <c r="A6">
        <v>1</v>
      </c>
      <c r="B6">
        <v>6</v>
      </c>
      <c r="C6">
        <v>1.0000199999999999</v>
      </c>
      <c r="D6">
        <v>1012.77</v>
      </c>
      <c r="E6">
        <v>9</v>
      </c>
      <c r="F6">
        <v>1.9999400000000001</v>
      </c>
      <c r="G6">
        <v>1785.3</v>
      </c>
      <c r="H6">
        <v>9</v>
      </c>
      <c r="I6">
        <v>1.9999400000000001</v>
      </c>
      <c r="J6">
        <v>2165.75</v>
      </c>
      <c r="K6">
        <v>6</v>
      </c>
      <c r="L6">
        <v>1.0000100000000001</v>
      </c>
      <c r="M6">
        <v>1786.02</v>
      </c>
      <c r="N6">
        <v>3</v>
      </c>
      <c r="O6">
        <v>1.99976</v>
      </c>
      <c r="P6">
        <v>3604.64</v>
      </c>
    </row>
    <row r="7" spans="1:16">
      <c r="A7">
        <v>2</v>
      </c>
      <c r="B7">
        <v>6</v>
      </c>
      <c r="C7">
        <v>1.0000199999999999</v>
      </c>
      <c r="D7">
        <v>978.45</v>
      </c>
      <c r="E7">
        <v>9</v>
      </c>
      <c r="F7">
        <v>1.9999400000000001</v>
      </c>
      <c r="G7">
        <v>1761.59</v>
      </c>
      <c r="H7">
        <v>3</v>
      </c>
      <c r="I7">
        <v>1.99997</v>
      </c>
      <c r="J7">
        <v>2600.13</v>
      </c>
      <c r="K7">
        <v>6</v>
      </c>
      <c r="L7">
        <v>1.0000100000000001</v>
      </c>
      <c r="M7">
        <v>1212.6400000000001</v>
      </c>
      <c r="N7">
        <v>3</v>
      </c>
      <c r="O7">
        <v>1.99976</v>
      </c>
      <c r="P7">
        <v>3937.76</v>
      </c>
    </row>
    <row r="8" spans="1:16">
      <c r="A8">
        <v>3</v>
      </c>
      <c r="B8">
        <v>17</v>
      </c>
      <c r="C8">
        <v>1.0001100000000001</v>
      </c>
      <c r="D8">
        <v>1126.48</v>
      </c>
      <c r="E8">
        <v>5</v>
      </c>
      <c r="F8">
        <v>1.9998100000000001</v>
      </c>
      <c r="G8">
        <v>1771.73</v>
      </c>
      <c r="H8">
        <v>7</v>
      </c>
      <c r="I8">
        <v>1.9999199999999999</v>
      </c>
      <c r="J8">
        <v>2633.78</v>
      </c>
      <c r="K8">
        <v>17</v>
      </c>
      <c r="L8">
        <v>1.0000100000000001</v>
      </c>
      <c r="M8">
        <v>1263.6500000000001</v>
      </c>
      <c r="N8">
        <v>3</v>
      </c>
      <c r="O8">
        <v>1.9998199999999999</v>
      </c>
      <c r="P8">
        <v>3670.11</v>
      </c>
    </row>
    <row r="9" spans="1:16">
      <c r="A9">
        <v>4</v>
      </c>
      <c r="B9">
        <v>4</v>
      </c>
      <c r="C9">
        <v>1.0000199999999999</v>
      </c>
      <c r="D9">
        <v>929.47</v>
      </c>
      <c r="E9">
        <v>5</v>
      </c>
      <c r="F9">
        <v>1.9998100000000001</v>
      </c>
      <c r="G9">
        <v>1720.73</v>
      </c>
      <c r="H9">
        <v>7</v>
      </c>
      <c r="I9">
        <v>1.9999199999999999</v>
      </c>
      <c r="J9">
        <v>2387.0100000000002</v>
      </c>
      <c r="K9">
        <v>4</v>
      </c>
      <c r="L9">
        <v>1.0000100000000001</v>
      </c>
      <c r="M9">
        <v>1317.73</v>
      </c>
      <c r="N9">
        <v>3</v>
      </c>
      <c r="O9">
        <v>1.9998199999999999</v>
      </c>
      <c r="P9">
        <v>3443.08</v>
      </c>
    </row>
    <row r="10" spans="1:16">
      <c r="A10">
        <v>5</v>
      </c>
      <c r="B10">
        <v>6</v>
      </c>
      <c r="C10">
        <v>1.0000199999999999</v>
      </c>
      <c r="D10">
        <v>727.54</v>
      </c>
      <c r="E10">
        <v>9</v>
      </c>
      <c r="F10">
        <v>1.9999400000000001</v>
      </c>
      <c r="G10">
        <v>1892.35</v>
      </c>
      <c r="H10">
        <v>3</v>
      </c>
      <c r="I10">
        <v>1.99997</v>
      </c>
      <c r="J10">
        <v>2591.2399999999998</v>
      </c>
      <c r="K10">
        <v>6</v>
      </c>
      <c r="L10">
        <v>1.0000100000000001</v>
      </c>
      <c r="M10">
        <v>1152.71</v>
      </c>
      <c r="N10">
        <v>3</v>
      </c>
      <c r="O10">
        <v>1.99976</v>
      </c>
      <c r="P10">
        <v>3534.68</v>
      </c>
    </row>
    <row r="11" spans="1:16">
      <c r="A11">
        <v>6</v>
      </c>
      <c r="B11">
        <v>13</v>
      </c>
      <c r="C11">
        <v>1.0000800000000001</v>
      </c>
      <c r="D11">
        <v>724.07</v>
      </c>
      <c r="E11">
        <v>9</v>
      </c>
      <c r="F11">
        <v>1.9999400000000001</v>
      </c>
      <c r="G11">
        <v>1772.78</v>
      </c>
      <c r="H11">
        <v>3</v>
      </c>
      <c r="I11">
        <v>1.99997</v>
      </c>
      <c r="J11">
        <v>2870.53</v>
      </c>
      <c r="K11">
        <v>13</v>
      </c>
      <c r="L11">
        <v>1.0000100000000001</v>
      </c>
      <c r="M11">
        <v>1108.1300000000001</v>
      </c>
      <c r="N11">
        <v>3</v>
      </c>
      <c r="O11">
        <v>1.99976</v>
      </c>
      <c r="P11">
        <v>3795.78</v>
      </c>
    </row>
    <row r="12" spans="1:16">
      <c r="A12">
        <v>7</v>
      </c>
      <c r="B12">
        <v>12</v>
      </c>
      <c r="C12">
        <v>1.00007</v>
      </c>
      <c r="D12">
        <v>797.09</v>
      </c>
      <c r="E12">
        <v>5</v>
      </c>
      <c r="F12">
        <v>1.9998100000000001</v>
      </c>
      <c r="G12">
        <v>1973.21</v>
      </c>
      <c r="H12">
        <v>7</v>
      </c>
      <c r="I12">
        <v>1.9999199999999999</v>
      </c>
      <c r="J12">
        <v>2403.06</v>
      </c>
      <c r="K12">
        <v>12</v>
      </c>
      <c r="L12">
        <v>1.0000100000000001</v>
      </c>
      <c r="M12">
        <v>1024.97</v>
      </c>
      <c r="N12">
        <v>3</v>
      </c>
      <c r="O12">
        <v>1.9998199999999999</v>
      </c>
      <c r="P12">
        <v>3294.05</v>
      </c>
    </row>
    <row r="13" spans="1:16">
      <c r="A13">
        <v>8</v>
      </c>
      <c r="B13">
        <v>6</v>
      </c>
      <c r="C13">
        <v>1.0000199999999999</v>
      </c>
      <c r="D13">
        <v>704.53</v>
      </c>
      <c r="E13">
        <v>9</v>
      </c>
      <c r="F13">
        <v>1.9999400000000001</v>
      </c>
      <c r="G13">
        <v>1633.52</v>
      </c>
      <c r="H13">
        <v>3</v>
      </c>
      <c r="I13">
        <v>1.99997</v>
      </c>
      <c r="J13">
        <v>2354.4699999999998</v>
      </c>
      <c r="K13">
        <v>6</v>
      </c>
      <c r="L13">
        <v>1.0000100000000001</v>
      </c>
      <c r="M13">
        <v>1023.05</v>
      </c>
      <c r="N13">
        <v>3</v>
      </c>
      <c r="O13">
        <v>1.99976</v>
      </c>
      <c r="P13">
        <v>3327.46</v>
      </c>
    </row>
    <row r="14" spans="1:16">
      <c r="A14">
        <v>9</v>
      </c>
      <c r="B14">
        <v>6</v>
      </c>
      <c r="C14">
        <v>1.0000100000000001</v>
      </c>
      <c r="D14">
        <v>708.13</v>
      </c>
      <c r="E14">
        <v>9</v>
      </c>
      <c r="F14">
        <v>1.9999400000000001</v>
      </c>
      <c r="G14">
        <v>1672.93</v>
      </c>
      <c r="H14">
        <v>3</v>
      </c>
      <c r="I14">
        <v>1.3749899999999999</v>
      </c>
      <c r="J14">
        <v>2279.52</v>
      </c>
      <c r="K14">
        <v>6</v>
      </c>
      <c r="L14">
        <v>1.0000100000000001</v>
      </c>
      <c r="M14">
        <v>1070.8499999999999</v>
      </c>
      <c r="N14">
        <v>3</v>
      </c>
      <c r="O14">
        <v>1.99976</v>
      </c>
      <c r="P14">
        <v>3401.52</v>
      </c>
    </row>
    <row r="15" spans="1:16">
      <c r="A15">
        <v>10</v>
      </c>
      <c r="B15">
        <v>4</v>
      </c>
      <c r="C15">
        <v>1.0000199999999999</v>
      </c>
      <c r="D15">
        <v>714.44</v>
      </c>
      <c r="E15">
        <v>5</v>
      </c>
      <c r="F15">
        <v>1.9998100000000001</v>
      </c>
      <c r="G15">
        <v>1621.76</v>
      </c>
      <c r="H15">
        <v>7</v>
      </c>
      <c r="I15">
        <v>1.9999199999999999</v>
      </c>
      <c r="J15">
        <v>2461.67</v>
      </c>
      <c r="K15">
        <v>4</v>
      </c>
      <c r="L15">
        <v>1.0000100000000001</v>
      </c>
      <c r="M15">
        <v>1027.92</v>
      </c>
      <c r="N15">
        <v>3</v>
      </c>
      <c r="O15">
        <v>1.9998199999999999</v>
      </c>
      <c r="P15">
        <v>3425.95</v>
      </c>
    </row>
    <row r="16" spans="1:16">
      <c r="A16">
        <v>11</v>
      </c>
      <c r="B16">
        <v>12</v>
      </c>
      <c r="C16">
        <v>1.00003</v>
      </c>
      <c r="D16">
        <v>709</v>
      </c>
      <c r="E16">
        <v>5</v>
      </c>
      <c r="F16">
        <v>1.9998100000000001</v>
      </c>
      <c r="G16">
        <v>1617.04</v>
      </c>
      <c r="H16">
        <v>7</v>
      </c>
      <c r="I16">
        <v>1.9999199999999999</v>
      </c>
      <c r="J16">
        <v>3272.23</v>
      </c>
      <c r="K16">
        <v>12</v>
      </c>
      <c r="L16">
        <v>1.0000100000000001</v>
      </c>
      <c r="M16">
        <v>1028.52</v>
      </c>
      <c r="N16">
        <v>3</v>
      </c>
      <c r="O16">
        <v>1.9998199999999999</v>
      </c>
      <c r="P16">
        <v>3328.89</v>
      </c>
    </row>
    <row r="17" spans="1:16">
      <c r="A17">
        <v>12</v>
      </c>
      <c r="B17">
        <v>10</v>
      </c>
      <c r="C17">
        <v>1.0000500000000001</v>
      </c>
      <c r="D17">
        <v>857.09</v>
      </c>
      <c r="E17">
        <v>9</v>
      </c>
      <c r="F17">
        <v>1.9999400000000001</v>
      </c>
      <c r="G17">
        <v>1915.45</v>
      </c>
      <c r="H17">
        <v>3</v>
      </c>
      <c r="I17">
        <v>1.99997</v>
      </c>
      <c r="J17">
        <v>2835.26</v>
      </c>
      <c r="K17">
        <v>10</v>
      </c>
      <c r="L17">
        <v>1.0000100000000001</v>
      </c>
      <c r="M17">
        <v>1275</v>
      </c>
      <c r="N17">
        <v>3</v>
      </c>
      <c r="O17">
        <v>1.99976</v>
      </c>
      <c r="P17">
        <v>4611.3</v>
      </c>
    </row>
    <row r="18" spans="1:16">
      <c r="A18">
        <v>13</v>
      </c>
      <c r="B18">
        <v>4</v>
      </c>
      <c r="C18">
        <v>1.0000199999999999</v>
      </c>
      <c r="D18">
        <v>1313.61</v>
      </c>
      <c r="E18">
        <v>5</v>
      </c>
      <c r="F18">
        <v>1.9998100000000001</v>
      </c>
      <c r="G18">
        <v>2191.33</v>
      </c>
      <c r="H18">
        <v>7</v>
      </c>
      <c r="I18">
        <v>1.9999199999999999</v>
      </c>
      <c r="J18">
        <v>2809.73</v>
      </c>
      <c r="K18">
        <v>4</v>
      </c>
      <c r="L18">
        <v>1.0000100000000001</v>
      </c>
      <c r="M18">
        <v>1177.29</v>
      </c>
      <c r="N18">
        <v>3</v>
      </c>
      <c r="O18">
        <v>1.9998199999999999</v>
      </c>
      <c r="P18">
        <v>3412.03</v>
      </c>
    </row>
    <row r="19" spans="1:16">
      <c r="A19">
        <v>14</v>
      </c>
      <c r="B19">
        <v>4</v>
      </c>
      <c r="C19">
        <v>1.0000199999999999</v>
      </c>
      <c r="D19">
        <v>715.81</v>
      </c>
      <c r="E19">
        <v>5</v>
      </c>
      <c r="F19">
        <v>1.9998100000000001</v>
      </c>
      <c r="G19">
        <v>1687.79</v>
      </c>
      <c r="H19">
        <v>7</v>
      </c>
      <c r="I19">
        <v>1.9999199999999999</v>
      </c>
      <c r="J19">
        <v>2313.73</v>
      </c>
      <c r="K19">
        <v>4</v>
      </c>
      <c r="L19">
        <v>1.0000100000000001</v>
      </c>
      <c r="M19">
        <v>1031.57</v>
      </c>
      <c r="N19">
        <v>3</v>
      </c>
      <c r="O19">
        <v>1.9998199999999999</v>
      </c>
      <c r="P19">
        <v>3230.72</v>
      </c>
    </row>
    <row r="20" spans="1:16">
      <c r="A20">
        <v>15</v>
      </c>
      <c r="B20">
        <v>14</v>
      </c>
      <c r="C20">
        <v>1.0000199999999999</v>
      </c>
      <c r="D20">
        <v>803.25</v>
      </c>
      <c r="E20">
        <v>5</v>
      </c>
      <c r="F20">
        <v>1.9998100000000001</v>
      </c>
      <c r="G20">
        <v>1619.39</v>
      </c>
      <c r="H20">
        <v>3</v>
      </c>
      <c r="I20">
        <v>1.76779</v>
      </c>
      <c r="J20">
        <v>2008.37</v>
      </c>
      <c r="K20">
        <v>14</v>
      </c>
      <c r="L20">
        <v>1.0000100000000001</v>
      </c>
      <c r="M20">
        <v>1080.25</v>
      </c>
      <c r="N20">
        <v>3</v>
      </c>
      <c r="O20">
        <v>1.9998199999999999</v>
      </c>
      <c r="P20">
        <v>3306.62</v>
      </c>
    </row>
    <row r="21" spans="1:16">
      <c r="A21">
        <v>16</v>
      </c>
      <c r="B21">
        <v>4</v>
      </c>
      <c r="C21">
        <v>1.0000199999999999</v>
      </c>
      <c r="D21">
        <v>761.98</v>
      </c>
      <c r="E21">
        <v>5</v>
      </c>
      <c r="F21">
        <v>1.9998100000000001</v>
      </c>
      <c r="G21">
        <v>1612.46</v>
      </c>
      <c r="H21">
        <v>7</v>
      </c>
      <c r="I21">
        <v>1.9999199999999999</v>
      </c>
      <c r="J21">
        <v>2327.23</v>
      </c>
      <c r="K21">
        <v>4</v>
      </c>
      <c r="L21">
        <v>1.0000100000000001</v>
      </c>
      <c r="M21">
        <v>1055.21</v>
      </c>
      <c r="N21">
        <v>3</v>
      </c>
      <c r="O21">
        <v>1.9998199999999999</v>
      </c>
      <c r="P21">
        <v>3428.16</v>
      </c>
    </row>
    <row r="22" spans="1:16">
      <c r="A22">
        <v>17</v>
      </c>
      <c r="B22">
        <v>4</v>
      </c>
      <c r="C22">
        <v>1.0000199999999999</v>
      </c>
      <c r="D22">
        <v>1164.8599999999999</v>
      </c>
      <c r="E22">
        <v>5</v>
      </c>
      <c r="F22">
        <v>1.9998100000000001</v>
      </c>
      <c r="G22">
        <v>1938.66</v>
      </c>
      <c r="H22">
        <v>7</v>
      </c>
      <c r="I22">
        <v>1.9999199999999999</v>
      </c>
      <c r="J22">
        <v>2849.7</v>
      </c>
      <c r="K22">
        <v>4</v>
      </c>
      <c r="L22">
        <v>1.0000100000000001</v>
      </c>
      <c r="M22">
        <v>1269.3399999999999</v>
      </c>
      <c r="N22">
        <v>3</v>
      </c>
      <c r="O22">
        <v>1.9998199999999999</v>
      </c>
      <c r="P22">
        <v>3852.14</v>
      </c>
    </row>
    <row r="23" spans="1:16">
      <c r="A23">
        <v>18</v>
      </c>
      <c r="B23">
        <v>13</v>
      </c>
      <c r="C23">
        <v>1.00007</v>
      </c>
      <c r="D23">
        <v>757.53</v>
      </c>
      <c r="E23">
        <v>5</v>
      </c>
      <c r="F23">
        <v>1.9998100000000001</v>
      </c>
      <c r="G23">
        <v>1693.83</v>
      </c>
      <c r="H23">
        <v>7</v>
      </c>
      <c r="I23">
        <v>1.9999199999999999</v>
      </c>
      <c r="J23">
        <v>2427.0300000000002</v>
      </c>
      <c r="K23">
        <v>13</v>
      </c>
      <c r="L23">
        <v>1.0000100000000001</v>
      </c>
      <c r="M23">
        <v>1164.01</v>
      </c>
      <c r="N23">
        <v>3</v>
      </c>
      <c r="O23">
        <v>1.9998199999999999</v>
      </c>
      <c r="P23">
        <v>3458.23</v>
      </c>
    </row>
    <row r="24" spans="1:16">
      <c r="A24">
        <v>19</v>
      </c>
      <c r="B24">
        <v>4</v>
      </c>
      <c r="C24">
        <v>1.0000199999999999</v>
      </c>
      <c r="D24">
        <v>776.83</v>
      </c>
      <c r="E24">
        <v>5</v>
      </c>
      <c r="F24">
        <v>1.9998100000000001</v>
      </c>
      <c r="G24">
        <v>1729.39</v>
      </c>
      <c r="H24">
        <v>7</v>
      </c>
      <c r="I24">
        <v>1.9999199999999999</v>
      </c>
      <c r="J24">
        <v>2850.58</v>
      </c>
      <c r="K24">
        <v>4</v>
      </c>
      <c r="L24">
        <v>1.0000100000000001</v>
      </c>
      <c r="M24">
        <v>1181.23</v>
      </c>
      <c r="N24">
        <v>3</v>
      </c>
      <c r="O24">
        <v>1.9998199999999999</v>
      </c>
      <c r="P24">
        <v>3542.4</v>
      </c>
    </row>
    <row r="25" spans="1:16">
      <c r="A25">
        <v>20</v>
      </c>
      <c r="B25">
        <v>7</v>
      </c>
      <c r="C25">
        <v>1.0000100000000001</v>
      </c>
      <c r="D25">
        <v>778.34</v>
      </c>
      <c r="E25">
        <v>9</v>
      </c>
      <c r="F25">
        <v>1.9999400000000001</v>
      </c>
      <c r="G25">
        <v>1775.74</v>
      </c>
      <c r="H25">
        <v>3</v>
      </c>
      <c r="I25">
        <v>1.99997</v>
      </c>
      <c r="J25">
        <v>2561.16</v>
      </c>
      <c r="K25">
        <v>7</v>
      </c>
      <c r="L25">
        <v>1.0000100000000001</v>
      </c>
      <c r="M25">
        <v>1127.1199999999999</v>
      </c>
      <c r="N25">
        <v>3</v>
      </c>
      <c r="O25">
        <v>1.99976</v>
      </c>
      <c r="P25">
        <v>3525.71</v>
      </c>
    </row>
    <row r="26" spans="1:16">
      <c r="A26">
        <v>21</v>
      </c>
      <c r="B26">
        <v>6</v>
      </c>
      <c r="C26">
        <v>1.0000199999999999</v>
      </c>
      <c r="D26">
        <v>773.78</v>
      </c>
      <c r="E26">
        <v>9</v>
      </c>
      <c r="F26">
        <v>1.9999400000000001</v>
      </c>
      <c r="G26">
        <v>1774.62</v>
      </c>
      <c r="H26">
        <v>3</v>
      </c>
      <c r="I26">
        <v>1.99997</v>
      </c>
      <c r="J26">
        <v>2548.2399999999998</v>
      </c>
      <c r="K26">
        <v>6</v>
      </c>
      <c r="L26">
        <v>1.0000100000000001</v>
      </c>
      <c r="M26">
        <v>1118.1500000000001</v>
      </c>
      <c r="N26">
        <v>3</v>
      </c>
      <c r="O26">
        <v>1.99976</v>
      </c>
      <c r="P26">
        <v>3779.16</v>
      </c>
    </row>
    <row r="27" spans="1:16">
      <c r="A27">
        <v>22</v>
      </c>
      <c r="B27">
        <v>15</v>
      </c>
      <c r="C27">
        <v>1.0000100000000001</v>
      </c>
      <c r="D27">
        <v>852.67</v>
      </c>
      <c r="E27">
        <v>5</v>
      </c>
      <c r="F27">
        <v>1.9998100000000001</v>
      </c>
      <c r="G27">
        <v>1965.53</v>
      </c>
      <c r="H27">
        <v>3</v>
      </c>
      <c r="I27">
        <v>1.51244</v>
      </c>
      <c r="J27">
        <v>2565.84</v>
      </c>
      <c r="K27">
        <v>15</v>
      </c>
      <c r="L27">
        <v>1.0000100000000001</v>
      </c>
      <c r="M27">
        <v>1208.55</v>
      </c>
      <c r="N27">
        <v>3</v>
      </c>
      <c r="O27">
        <v>1.9998199999999999</v>
      </c>
      <c r="P27">
        <v>3558.37</v>
      </c>
    </row>
    <row r="28" spans="1:16">
      <c r="A28">
        <v>23</v>
      </c>
      <c r="B28">
        <v>6</v>
      </c>
      <c r="C28">
        <v>1.0000199999999999</v>
      </c>
      <c r="D28">
        <v>796.92</v>
      </c>
      <c r="E28">
        <v>9</v>
      </c>
      <c r="F28">
        <v>1.9999400000000001</v>
      </c>
      <c r="G28">
        <v>1813.23</v>
      </c>
      <c r="H28">
        <v>3</v>
      </c>
      <c r="I28">
        <v>1.99997</v>
      </c>
      <c r="J28">
        <v>2567.7399999999998</v>
      </c>
      <c r="K28">
        <v>6</v>
      </c>
      <c r="L28">
        <v>1.0000100000000001</v>
      </c>
      <c r="M28">
        <v>1134.03</v>
      </c>
      <c r="N28">
        <v>3</v>
      </c>
      <c r="O28">
        <v>1.99976</v>
      </c>
      <c r="P28">
        <v>3587.82</v>
      </c>
    </row>
    <row r="29" spans="1:16">
      <c r="A29">
        <v>24</v>
      </c>
      <c r="B29">
        <v>4</v>
      </c>
      <c r="C29">
        <v>1.0000199999999999</v>
      </c>
      <c r="D29">
        <v>778.07</v>
      </c>
      <c r="E29">
        <v>5</v>
      </c>
      <c r="F29">
        <v>1.9998100000000001</v>
      </c>
      <c r="G29">
        <v>1823.91</v>
      </c>
      <c r="H29">
        <v>7</v>
      </c>
      <c r="I29">
        <v>1.9999199999999999</v>
      </c>
      <c r="J29">
        <v>2587.11</v>
      </c>
      <c r="K29">
        <v>4</v>
      </c>
      <c r="L29">
        <v>1.0000100000000001</v>
      </c>
      <c r="M29">
        <v>1133.3900000000001</v>
      </c>
      <c r="N29">
        <v>3</v>
      </c>
      <c r="O29">
        <v>1.9998199999999999</v>
      </c>
      <c r="P29">
        <v>3589.77</v>
      </c>
    </row>
    <row r="30" spans="1:16">
      <c r="A30">
        <v>25</v>
      </c>
      <c r="B30">
        <v>9</v>
      </c>
      <c r="C30">
        <v>1.0000100000000001</v>
      </c>
      <c r="D30">
        <v>782.25</v>
      </c>
      <c r="E30">
        <v>5</v>
      </c>
      <c r="F30">
        <v>1.9998100000000001</v>
      </c>
      <c r="G30">
        <v>1863.45</v>
      </c>
      <c r="H30">
        <v>3</v>
      </c>
      <c r="I30">
        <v>1.0624400000000001</v>
      </c>
      <c r="J30">
        <v>2360.27</v>
      </c>
      <c r="K30">
        <v>9</v>
      </c>
      <c r="L30">
        <v>1.0000100000000001</v>
      </c>
      <c r="M30">
        <v>1132.44</v>
      </c>
      <c r="N30">
        <v>3</v>
      </c>
      <c r="O30">
        <v>1.9998199999999999</v>
      </c>
      <c r="P30">
        <v>3550.21</v>
      </c>
    </row>
    <row r="31" spans="1:16">
      <c r="A31">
        <v>26</v>
      </c>
      <c r="B31">
        <v>10</v>
      </c>
      <c r="C31">
        <v>1.0000199999999999</v>
      </c>
      <c r="D31">
        <v>780.21</v>
      </c>
      <c r="E31">
        <v>9</v>
      </c>
      <c r="F31">
        <v>1.9999400000000001</v>
      </c>
      <c r="G31">
        <v>1791.41</v>
      </c>
      <c r="H31">
        <v>3</v>
      </c>
      <c r="I31">
        <v>1.99997</v>
      </c>
      <c r="J31">
        <v>2568.23</v>
      </c>
      <c r="K31">
        <v>10</v>
      </c>
      <c r="L31">
        <v>1.0000100000000001</v>
      </c>
      <c r="M31">
        <v>1130.6600000000001</v>
      </c>
      <c r="N31">
        <v>3</v>
      </c>
      <c r="O31">
        <v>1.99976</v>
      </c>
      <c r="P31">
        <v>3694.35</v>
      </c>
    </row>
    <row r="32" spans="1:16">
      <c r="A32">
        <v>27</v>
      </c>
      <c r="B32">
        <v>4</v>
      </c>
      <c r="C32">
        <v>1.0000199999999999</v>
      </c>
      <c r="D32">
        <v>1037.3499999999999</v>
      </c>
      <c r="E32">
        <v>5</v>
      </c>
      <c r="F32">
        <v>1.9998100000000001</v>
      </c>
      <c r="G32">
        <v>1715.38</v>
      </c>
      <c r="H32">
        <v>7</v>
      </c>
      <c r="I32">
        <v>1.9999199999999999</v>
      </c>
      <c r="J32">
        <v>2599.17</v>
      </c>
      <c r="K32">
        <v>4</v>
      </c>
      <c r="L32">
        <v>1.0000100000000001</v>
      </c>
      <c r="M32">
        <v>1085.79</v>
      </c>
      <c r="N32">
        <v>3</v>
      </c>
      <c r="O32">
        <v>1.9998199999999999</v>
      </c>
      <c r="P32">
        <v>3857.89</v>
      </c>
    </row>
    <row r="33" spans="1:16">
      <c r="A33">
        <v>28</v>
      </c>
      <c r="B33">
        <v>10</v>
      </c>
      <c r="C33">
        <v>1.0000599999999999</v>
      </c>
      <c r="D33">
        <v>781.33</v>
      </c>
      <c r="E33">
        <v>5</v>
      </c>
      <c r="F33">
        <v>1.9998100000000001</v>
      </c>
      <c r="G33">
        <v>1901.76</v>
      </c>
      <c r="H33">
        <v>7</v>
      </c>
      <c r="I33">
        <v>1.9999199999999999</v>
      </c>
      <c r="J33">
        <v>2846.2</v>
      </c>
      <c r="K33">
        <v>10</v>
      </c>
      <c r="L33">
        <v>1.0000100000000001</v>
      </c>
      <c r="M33">
        <v>1105.8800000000001</v>
      </c>
      <c r="N33">
        <v>3</v>
      </c>
      <c r="O33">
        <v>1.9998199999999999</v>
      </c>
      <c r="P33">
        <v>3858.38</v>
      </c>
    </row>
    <row r="34" spans="1:16">
      <c r="A34">
        <v>29</v>
      </c>
      <c r="B34">
        <v>8</v>
      </c>
      <c r="C34">
        <v>1.0000500000000001</v>
      </c>
      <c r="D34">
        <v>779.17</v>
      </c>
      <c r="E34">
        <v>9</v>
      </c>
      <c r="F34">
        <v>1.9999400000000001</v>
      </c>
      <c r="G34">
        <v>1785.35</v>
      </c>
      <c r="H34">
        <v>3</v>
      </c>
      <c r="I34">
        <v>1.99997</v>
      </c>
      <c r="J34">
        <v>2646.61</v>
      </c>
      <c r="K34">
        <v>8</v>
      </c>
      <c r="L34">
        <v>1.0000100000000001</v>
      </c>
      <c r="M34">
        <v>1128.52</v>
      </c>
      <c r="N34">
        <v>3</v>
      </c>
      <c r="O34">
        <v>1.99976</v>
      </c>
      <c r="P34">
        <v>3752.34</v>
      </c>
    </row>
    <row r="35" spans="1:16">
      <c r="A35">
        <v>30</v>
      </c>
      <c r="B35">
        <v>13</v>
      </c>
      <c r="C35">
        <v>1.0000100000000001</v>
      </c>
      <c r="D35">
        <v>780.46</v>
      </c>
      <c r="E35">
        <v>5</v>
      </c>
      <c r="F35">
        <v>1.9998100000000001</v>
      </c>
      <c r="G35">
        <v>1773.93</v>
      </c>
      <c r="H35">
        <v>3</v>
      </c>
      <c r="I35">
        <v>1.7229699999999999</v>
      </c>
      <c r="J35">
        <v>2218.2399999999998</v>
      </c>
      <c r="K35">
        <v>13</v>
      </c>
      <c r="L35">
        <v>1.0000100000000001</v>
      </c>
      <c r="M35">
        <v>1152.52</v>
      </c>
      <c r="N35">
        <v>3</v>
      </c>
      <c r="O35">
        <v>1.9998199999999999</v>
      </c>
      <c r="P35">
        <v>3735.24</v>
      </c>
    </row>
    <row r="36" spans="1:16">
      <c r="A36">
        <v>31</v>
      </c>
      <c r="B36">
        <v>6</v>
      </c>
      <c r="C36">
        <v>1.0000199999999999</v>
      </c>
      <c r="D36">
        <v>899.84</v>
      </c>
      <c r="E36">
        <v>9</v>
      </c>
      <c r="F36">
        <v>1.9999400000000001</v>
      </c>
      <c r="G36">
        <v>2175.38</v>
      </c>
      <c r="H36">
        <v>3</v>
      </c>
      <c r="I36">
        <v>1.99997</v>
      </c>
      <c r="J36">
        <v>2767.64</v>
      </c>
      <c r="K36">
        <v>6</v>
      </c>
      <c r="L36">
        <v>1.0000100000000001</v>
      </c>
      <c r="M36">
        <v>1172.81</v>
      </c>
      <c r="N36">
        <v>3</v>
      </c>
      <c r="O36">
        <v>1.99976</v>
      </c>
      <c r="P36">
        <v>3451.67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20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17</v>
      </c>
      <c r="C40" s="1">
        <f t="shared" ref="C40:P40" si="0">MAX(C5:C36)</f>
        <v>1.0001100000000001</v>
      </c>
      <c r="D40" s="1">
        <f t="shared" si="0"/>
        <v>1313.61</v>
      </c>
      <c r="E40" s="1">
        <f t="shared" si="0"/>
        <v>9</v>
      </c>
      <c r="F40" s="1">
        <f t="shared" si="0"/>
        <v>1.9999400000000001</v>
      </c>
      <c r="G40" s="1">
        <f t="shared" si="0"/>
        <v>3938.82</v>
      </c>
      <c r="H40" s="1">
        <f t="shared" si="0"/>
        <v>9</v>
      </c>
      <c r="I40" s="1">
        <f t="shared" si="0"/>
        <v>1.99997</v>
      </c>
      <c r="J40" s="1">
        <f t="shared" si="0"/>
        <v>3272.23</v>
      </c>
      <c r="K40" s="1">
        <f t="shared" si="0"/>
        <v>17</v>
      </c>
      <c r="L40" s="1">
        <f t="shared" si="0"/>
        <v>1.0000100000000001</v>
      </c>
      <c r="M40" s="1">
        <f t="shared" si="0"/>
        <v>1786.02</v>
      </c>
      <c r="N40" s="1">
        <f t="shared" si="0"/>
        <v>3</v>
      </c>
      <c r="O40" s="1">
        <f t="shared" si="0"/>
        <v>1.9998199999999999</v>
      </c>
      <c r="P40" s="1">
        <f t="shared" si="0"/>
        <v>4611.3</v>
      </c>
    </row>
    <row r="41" spans="1:16">
      <c r="A41" t="s">
        <v>12</v>
      </c>
      <c r="B41" s="1">
        <f>MIN(B5:B36)</f>
        <v>4</v>
      </c>
      <c r="C41" s="1">
        <f t="shared" ref="C41:P41" si="1">MIN(C5:C36)</f>
        <v>1.0000100000000001</v>
      </c>
      <c r="D41" s="1">
        <f t="shared" si="1"/>
        <v>704.53</v>
      </c>
      <c r="E41" s="1">
        <f t="shared" si="1"/>
        <v>5</v>
      </c>
      <c r="F41" s="1">
        <f t="shared" si="1"/>
        <v>1.9998100000000001</v>
      </c>
      <c r="G41" s="1">
        <f t="shared" si="1"/>
        <v>1612.46</v>
      </c>
      <c r="H41" s="1">
        <f t="shared" si="1"/>
        <v>3</v>
      </c>
      <c r="I41" s="1">
        <f t="shared" si="1"/>
        <v>1.0624400000000001</v>
      </c>
      <c r="J41" s="1">
        <f t="shared" si="1"/>
        <v>2008.37</v>
      </c>
      <c r="K41" s="1">
        <f t="shared" si="1"/>
        <v>4</v>
      </c>
      <c r="L41" s="1">
        <f t="shared" si="1"/>
        <v>1.0000100000000001</v>
      </c>
      <c r="M41" s="1">
        <f t="shared" si="1"/>
        <v>1023.05</v>
      </c>
      <c r="N41" s="1">
        <f t="shared" si="1"/>
        <v>3</v>
      </c>
      <c r="O41" s="1">
        <f t="shared" si="1"/>
        <v>1.99976</v>
      </c>
      <c r="P41" s="1">
        <f t="shared" si="1"/>
        <v>3230.72</v>
      </c>
    </row>
    <row r="42" spans="1:16">
      <c r="A42" t="s">
        <v>13</v>
      </c>
      <c r="B42" s="1">
        <f>MEDIAN(B5:B36)</f>
        <v>6</v>
      </c>
      <c r="C42" s="1">
        <f t="shared" ref="C42:P42" si="2">MEDIAN(C5:C36)</f>
        <v>1.0000199999999999</v>
      </c>
      <c r="D42" s="1">
        <f t="shared" si="2"/>
        <v>780.89499999999998</v>
      </c>
      <c r="E42" s="1">
        <f t="shared" si="2"/>
        <v>5</v>
      </c>
      <c r="F42" s="1">
        <f t="shared" si="2"/>
        <v>1.9998100000000001</v>
      </c>
      <c r="G42" s="1">
        <f t="shared" si="2"/>
        <v>1775.1799999999998</v>
      </c>
      <c r="H42" s="1">
        <f t="shared" si="2"/>
        <v>5</v>
      </c>
      <c r="I42" s="1">
        <f t="shared" si="2"/>
        <v>1.9999199999999999</v>
      </c>
      <c r="J42" s="1">
        <f t="shared" si="2"/>
        <v>2567.9849999999997</v>
      </c>
      <c r="K42" s="1">
        <f t="shared" si="2"/>
        <v>6</v>
      </c>
      <c r="L42" s="1">
        <f t="shared" si="2"/>
        <v>1.0000100000000001</v>
      </c>
      <c r="M42" s="1">
        <f t="shared" si="2"/>
        <v>1131.5500000000002</v>
      </c>
      <c r="N42" s="1">
        <f t="shared" si="2"/>
        <v>3</v>
      </c>
      <c r="O42" s="1">
        <f t="shared" si="2"/>
        <v>1.9998199999999999</v>
      </c>
      <c r="P42" s="1">
        <f t="shared" si="2"/>
        <v>3546.3050000000003</v>
      </c>
    </row>
    <row r="43" spans="1:16">
      <c r="A43" t="s">
        <v>14</v>
      </c>
      <c r="B43" s="1">
        <f>AVERAGE(B5:B36)</f>
        <v>7.84375</v>
      </c>
      <c r="C43" s="1">
        <f t="shared" ref="C43:P43" si="3">AVERAGE(C5:C36)</f>
        <v>1.0000296874999999</v>
      </c>
      <c r="D43" s="1">
        <f t="shared" si="3"/>
        <v>847.41124999999988</v>
      </c>
      <c r="E43" s="1">
        <f t="shared" si="3"/>
        <v>6.625</v>
      </c>
      <c r="F43" s="1">
        <f t="shared" si="3"/>
        <v>1.9998628125000002</v>
      </c>
      <c r="G43" s="1">
        <f t="shared" si="3"/>
        <v>1865.9296875000002</v>
      </c>
      <c r="H43" s="1">
        <f t="shared" si="3"/>
        <v>5.0625</v>
      </c>
      <c r="I43" s="1">
        <f t="shared" si="3"/>
        <v>1.91997</v>
      </c>
      <c r="J43" s="1">
        <f t="shared" si="3"/>
        <v>2562.7434375000003</v>
      </c>
      <c r="K43" s="1">
        <f t="shared" si="3"/>
        <v>7.84375</v>
      </c>
      <c r="L43" s="1">
        <f t="shared" si="3"/>
        <v>1.0000099999999998</v>
      </c>
      <c r="M43" s="1">
        <f t="shared" si="3"/>
        <v>1156.0837499999996</v>
      </c>
      <c r="N43" s="1">
        <f t="shared" si="3"/>
        <v>3</v>
      </c>
      <c r="O43" s="1">
        <f t="shared" si="3"/>
        <v>1.9997956250000002</v>
      </c>
      <c r="P43" s="1">
        <f t="shared" si="3"/>
        <v>3595.3262500000005</v>
      </c>
    </row>
    <row r="44" spans="1:16">
      <c r="A44" t="s">
        <v>15</v>
      </c>
      <c r="B44" s="1">
        <f>STDEV(B5:B36)</f>
        <v>3.9276470424826337</v>
      </c>
      <c r="C44" s="1">
        <f t="shared" ref="C44:P44" si="4">STDEV(C5:C36)</f>
        <v>2.3892821840153783E-5</v>
      </c>
      <c r="D44" s="1">
        <f t="shared" si="4"/>
        <v>150.49400086103617</v>
      </c>
      <c r="E44" s="1">
        <f t="shared" si="4"/>
        <v>1.9959636689433842</v>
      </c>
      <c r="F44" s="1">
        <f t="shared" si="4"/>
        <v>6.4868819240641772E-5</v>
      </c>
      <c r="G44" s="1">
        <f t="shared" si="4"/>
        <v>404.32107656905964</v>
      </c>
      <c r="H44" s="1">
        <f t="shared" si="4"/>
        <v>2.1241696669978007</v>
      </c>
      <c r="I44" s="1">
        <f t="shared" si="4"/>
        <v>0.2150082213731967</v>
      </c>
      <c r="J44" s="1">
        <f t="shared" si="4"/>
        <v>255.02432851193575</v>
      </c>
      <c r="K44" s="1">
        <f t="shared" si="4"/>
        <v>3.9276470424826337</v>
      </c>
      <c r="L44" s="1">
        <f t="shared" si="4"/>
        <v>2.2559754420148882E-16</v>
      </c>
      <c r="M44" s="1">
        <f t="shared" si="4"/>
        <v>138.1777115155636</v>
      </c>
      <c r="N44" s="1">
        <f t="shared" si="4"/>
        <v>0</v>
      </c>
      <c r="O44" s="1">
        <f t="shared" si="4"/>
        <v>2.9939455034125311E-5</v>
      </c>
      <c r="P44" s="1">
        <f t="shared" si="4"/>
        <v>263.38962789422453</v>
      </c>
    </row>
    <row r="45" spans="1:16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A89B3-03C9-DA47-A9FA-6E243CBF952C}">
  <dimension ref="A1:P44"/>
  <sheetViews>
    <sheetView topLeftCell="A20" workbookViewId="0">
      <selection activeCell="A38" sqref="A38:XFD44"/>
    </sheetView>
  </sheetViews>
  <sheetFormatPr baseColWidth="10" defaultRowHeight="16"/>
  <sheetData>
    <row r="1" spans="1:16">
      <c r="A1" t="s">
        <v>0</v>
      </c>
      <c r="B1" t="s">
        <v>26</v>
      </c>
      <c r="C1" t="s">
        <v>1</v>
      </c>
      <c r="D1">
        <v>3000003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16</v>
      </c>
      <c r="C5">
        <v>1</v>
      </c>
      <c r="D5">
        <v>39063.800000000003</v>
      </c>
      <c r="E5">
        <v>6</v>
      </c>
      <c r="F5">
        <v>1.9999899999999999</v>
      </c>
      <c r="G5">
        <v>46708.81</v>
      </c>
      <c r="H5">
        <v>3</v>
      </c>
      <c r="I5">
        <v>1.0069300000000001</v>
      </c>
      <c r="J5">
        <v>47076.4</v>
      </c>
      <c r="K5">
        <v>16</v>
      </c>
      <c r="L5">
        <v>1</v>
      </c>
      <c r="M5">
        <v>19842.45</v>
      </c>
      <c r="N5">
        <v>3</v>
      </c>
      <c r="O5">
        <v>1.9999899999999999</v>
      </c>
      <c r="P5">
        <v>76635.31</v>
      </c>
    </row>
    <row r="6" spans="1:16">
      <c r="A6">
        <v>1</v>
      </c>
      <c r="B6">
        <v>14</v>
      </c>
      <c r="C6">
        <v>1</v>
      </c>
      <c r="D6">
        <v>14446.02</v>
      </c>
      <c r="E6">
        <v>3</v>
      </c>
      <c r="F6">
        <v>2</v>
      </c>
      <c r="G6">
        <v>43624.47</v>
      </c>
      <c r="H6">
        <v>3</v>
      </c>
      <c r="I6">
        <v>1.9999899999999999</v>
      </c>
      <c r="J6">
        <v>51866.74</v>
      </c>
      <c r="K6">
        <v>14</v>
      </c>
      <c r="L6">
        <v>1</v>
      </c>
      <c r="M6">
        <v>15857.59</v>
      </c>
      <c r="N6">
        <v>3</v>
      </c>
      <c r="O6">
        <v>1.9999899999999999</v>
      </c>
      <c r="P6">
        <v>85023.38</v>
      </c>
    </row>
    <row r="7" spans="1:16">
      <c r="A7">
        <v>2</v>
      </c>
      <c r="B7">
        <v>5</v>
      </c>
      <c r="C7">
        <v>1</v>
      </c>
      <c r="D7">
        <v>16952.669999999998</v>
      </c>
      <c r="E7">
        <v>6</v>
      </c>
      <c r="F7">
        <v>1.9999899999999999</v>
      </c>
      <c r="G7">
        <v>36592.699999999997</v>
      </c>
      <c r="H7">
        <v>6</v>
      </c>
      <c r="I7">
        <v>1.9999899999999999</v>
      </c>
      <c r="J7">
        <v>45843.93</v>
      </c>
      <c r="K7">
        <v>5</v>
      </c>
      <c r="L7">
        <v>1</v>
      </c>
      <c r="M7">
        <v>18872.96</v>
      </c>
      <c r="N7">
        <v>3</v>
      </c>
      <c r="O7">
        <v>1.9999899999999999</v>
      </c>
      <c r="P7">
        <v>104580.94</v>
      </c>
    </row>
    <row r="8" spans="1:16">
      <c r="A8">
        <v>3</v>
      </c>
      <c r="B8">
        <v>5</v>
      </c>
      <c r="C8">
        <v>1</v>
      </c>
      <c r="D8">
        <v>32324.799999999999</v>
      </c>
      <c r="E8">
        <v>6</v>
      </c>
      <c r="F8">
        <v>1.9999899999999999</v>
      </c>
      <c r="G8">
        <v>40689.160000000003</v>
      </c>
      <c r="H8">
        <v>3</v>
      </c>
      <c r="I8">
        <v>1.9999899999999999</v>
      </c>
      <c r="J8">
        <v>58626.16</v>
      </c>
      <c r="K8">
        <v>5</v>
      </c>
      <c r="L8">
        <v>1</v>
      </c>
      <c r="M8">
        <v>19666.18</v>
      </c>
      <c r="N8">
        <v>3</v>
      </c>
      <c r="O8">
        <v>1.9999899999999999</v>
      </c>
      <c r="P8">
        <v>91349.32</v>
      </c>
    </row>
    <row r="9" spans="1:16">
      <c r="A9">
        <v>4</v>
      </c>
      <c r="B9">
        <v>5</v>
      </c>
      <c r="C9">
        <v>1</v>
      </c>
      <c r="D9">
        <v>33649.78</v>
      </c>
      <c r="E9">
        <v>6</v>
      </c>
      <c r="F9">
        <v>1.9999899999999999</v>
      </c>
      <c r="G9">
        <v>46587.66</v>
      </c>
      <c r="H9">
        <v>3</v>
      </c>
      <c r="I9">
        <v>1.9999899999999999</v>
      </c>
      <c r="J9">
        <v>73999.960000000006</v>
      </c>
      <c r="K9">
        <v>5</v>
      </c>
      <c r="L9">
        <v>1</v>
      </c>
      <c r="M9">
        <v>19950.95</v>
      </c>
      <c r="N9">
        <v>3</v>
      </c>
      <c r="O9">
        <v>1.9999899999999999</v>
      </c>
      <c r="P9">
        <v>109463.97</v>
      </c>
    </row>
    <row r="10" spans="1:16">
      <c r="A10">
        <v>5</v>
      </c>
      <c r="B10">
        <v>11</v>
      </c>
      <c r="C10">
        <v>1</v>
      </c>
      <c r="D10">
        <v>29522.87</v>
      </c>
      <c r="E10">
        <v>6</v>
      </c>
      <c r="F10">
        <v>1.9999899999999999</v>
      </c>
      <c r="G10">
        <v>47452.959999999999</v>
      </c>
      <c r="H10">
        <v>3</v>
      </c>
      <c r="I10">
        <v>1.01007</v>
      </c>
      <c r="J10">
        <v>64936.28</v>
      </c>
      <c r="K10">
        <v>11</v>
      </c>
      <c r="L10">
        <v>1</v>
      </c>
      <c r="M10">
        <v>25076.27</v>
      </c>
      <c r="N10">
        <v>3</v>
      </c>
      <c r="O10">
        <v>1.9999899999999999</v>
      </c>
      <c r="P10">
        <v>92698.7</v>
      </c>
    </row>
    <row r="11" spans="1:16">
      <c r="A11">
        <v>6</v>
      </c>
      <c r="B11">
        <v>21</v>
      </c>
      <c r="C11">
        <v>1.0000100000000001</v>
      </c>
      <c r="D11">
        <v>18173.47</v>
      </c>
      <c r="E11">
        <v>3</v>
      </c>
      <c r="F11">
        <v>2</v>
      </c>
      <c r="G11">
        <v>46282.44</v>
      </c>
      <c r="H11">
        <v>3</v>
      </c>
      <c r="I11">
        <v>1.79827</v>
      </c>
      <c r="J11">
        <v>51756.22</v>
      </c>
      <c r="K11">
        <v>21</v>
      </c>
      <c r="L11">
        <v>1</v>
      </c>
      <c r="M11">
        <v>25272.57</v>
      </c>
      <c r="N11">
        <v>3</v>
      </c>
      <c r="O11">
        <v>1.9999899999999999</v>
      </c>
      <c r="P11">
        <v>109096.33</v>
      </c>
    </row>
    <row r="12" spans="1:16">
      <c r="A12">
        <v>7</v>
      </c>
      <c r="B12">
        <v>5</v>
      </c>
      <c r="C12">
        <v>1</v>
      </c>
      <c r="D12">
        <v>32920.449999999997</v>
      </c>
      <c r="E12">
        <v>6</v>
      </c>
      <c r="F12">
        <v>1.9999899999999999</v>
      </c>
      <c r="G12">
        <v>85765.91</v>
      </c>
      <c r="H12">
        <v>3</v>
      </c>
      <c r="I12">
        <v>1.9999899999999999</v>
      </c>
      <c r="J12">
        <v>44813.58</v>
      </c>
      <c r="K12">
        <v>5</v>
      </c>
      <c r="L12">
        <v>1</v>
      </c>
      <c r="M12">
        <v>23214.57</v>
      </c>
      <c r="N12">
        <v>3</v>
      </c>
      <c r="O12">
        <v>1.9999899999999999</v>
      </c>
      <c r="P12">
        <v>89108.88</v>
      </c>
    </row>
    <row r="13" spans="1:16">
      <c r="A13">
        <v>8</v>
      </c>
      <c r="B13">
        <v>5</v>
      </c>
      <c r="C13">
        <v>1</v>
      </c>
      <c r="D13">
        <v>13379.58</v>
      </c>
      <c r="E13">
        <v>6</v>
      </c>
      <c r="F13">
        <v>1.9999899999999999</v>
      </c>
      <c r="G13">
        <v>40657.56</v>
      </c>
      <c r="H13">
        <v>6</v>
      </c>
      <c r="I13">
        <v>1.9999899999999999</v>
      </c>
      <c r="J13">
        <v>40395.760000000002</v>
      </c>
      <c r="K13">
        <v>5</v>
      </c>
      <c r="L13">
        <v>1</v>
      </c>
      <c r="M13">
        <v>18843.79</v>
      </c>
      <c r="N13">
        <v>3</v>
      </c>
      <c r="O13">
        <v>1.9999899999999999</v>
      </c>
      <c r="P13">
        <v>124575.32</v>
      </c>
    </row>
    <row r="14" spans="1:16">
      <c r="A14">
        <v>9</v>
      </c>
      <c r="B14">
        <v>7</v>
      </c>
      <c r="C14">
        <v>1</v>
      </c>
      <c r="D14">
        <v>43158.74</v>
      </c>
      <c r="E14">
        <v>3</v>
      </c>
      <c r="F14">
        <v>2</v>
      </c>
      <c r="G14">
        <v>42707.85</v>
      </c>
      <c r="H14">
        <v>3</v>
      </c>
      <c r="I14">
        <v>1.9999899999999999</v>
      </c>
      <c r="J14">
        <v>66796.89</v>
      </c>
      <c r="K14">
        <v>7</v>
      </c>
      <c r="L14">
        <v>1</v>
      </c>
      <c r="M14">
        <v>26200.14</v>
      </c>
      <c r="N14">
        <v>3</v>
      </c>
      <c r="O14">
        <v>1.9999899999999999</v>
      </c>
      <c r="P14">
        <v>132264.99</v>
      </c>
    </row>
    <row r="15" spans="1:16">
      <c r="A15">
        <v>10</v>
      </c>
      <c r="B15">
        <v>9</v>
      </c>
      <c r="C15">
        <v>1</v>
      </c>
      <c r="D15">
        <v>48860.22</v>
      </c>
      <c r="E15">
        <v>6</v>
      </c>
      <c r="F15">
        <v>1.9999899999999999</v>
      </c>
      <c r="G15">
        <v>41918.35</v>
      </c>
      <c r="H15">
        <v>3</v>
      </c>
      <c r="I15">
        <v>1.9999899999999999</v>
      </c>
      <c r="J15">
        <v>71232.570000000007</v>
      </c>
      <c r="K15">
        <v>9</v>
      </c>
      <c r="L15">
        <v>1</v>
      </c>
      <c r="M15">
        <v>21724.54</v>
      </c>
      <c r="N15">
        <v>3</v>
      </c>
      <c r="O15">
        <v>1.9999899999999999</v>
      </c>
      <c r="P15">
        <v>88795.44</v>
      </c>
    </row>
    <row r="16" spans="1:16">
      <c r="A16">
        <v>11</v>
      </c>
      <c r="B16">
        <v>12</v>
      </c>
      <c r="C16">
        <v>1</v>
      </c>
      <c r="D16">
        <v>13221.91</v>
      </c>
      <c r="E16">
        <v>6</v>
      </c>
      <c r="F16">
        <v>1.9999899999999999</v>
      </c>
      <c r="G16">
        <v>57500.55</v>
      </c>
      <c r="H16">
        <v>3</v>
      </c>
      <c r="I16">
        <v>1.72861</v>
      </c>
      <c r="J16">
        <v>46706.9</v>
      </c>
      <c r="K16">
        <v>12</v>
      </c>
      <c r="L16">
        <v>1</v>
      </c>
      <c r="M16">
        <v>30694.21</v>
      </c>
      <c r="N16">
        <v>3</v>
      </c>
      <c r="O16">
        <v>1.9999899999999999</v>
      </c>
      <c r="P16">
        <v>112225.59</v>
      </c>
    </row>
    <row r="17" spans="1:16">
      <c r="A17">
        <v>12</v>
      </c>
      <c r="B17">
        <v>7</v>
      </c>
      <c r="C17">
        <v>1</v>
      </c>
      <c r="D17">
        <v>37584.699999999997</v>
      </c>
      <c r="E17">
        <v>3</v>
      </c>
      <c r="F17">
        <v>2</v>
      </c>
      <c r="G17">
        <v>40974.629999999997</v>
      </c>
      <c r="H17">
        <v>3</v>
      </c>
      <c r="I17">
        <v>1.9999899999999999</v>
      </c>
      <c r="J17">
        <v>62843.7</v>
      </c>
      <c r="K17">
        <v>7</v>
      </c>
      <c r="L17">
        <v>1</v>
      </c>
      <c r="M17">
        <v>21464.46</v>
      </c>
      <c r="N17">
        <v>3</v>
      </c>
      <c r="O17">
        <v>1.9999899999999999</v>
      </c>
      <c r="P17">
        <v>117238.26</v>
      </c>
    </row>
    <row r="18" spans="1:16">
      <c r="A18">
        <v>13</v>
      </c>
      <c r="B18">
        <v>15</v>
      </c>
      <c r="C18">
        <v>1.0000100000000001</v>
      </c>
      <c r="D18">
        <v>16832.09</v>
      </c>
      <c r="E18">
        <v>6</v>
      </c>
      <c r="F18">
        <v>1.9999899999999999</v>
      </c>
      <c r="G18">
        <v>48595.18</v>
      </c>
      <c r="H18">
        <v>3</v>
      </c>
      <c r="I18">
        <v>1.9999899999999999</v>
      </c>
      <c r="J18">
        <v>56772.6</v>
      </c>
      <c r="K18">
        <v>15</v>
      </c>
      <c r="L18">
        <v>1</v>
      </c>
      <c r="M18">
        <v>38403.42</v>
      </c>
      <c r="N18">
        <v>3</v>
      </c>
      <c r="O18">
        <v>1.9999899999999999</v>
      </c>
      <c r="P18">
        <v>106539.11</v>
      </c>
    </row>
    <row r="19" spans="1:16">
      <c r="A19">
        <v>14</v>
      </c>
      <c r="B19">
        <v>5</v>
      </c>
      <c r="C19">
        <v>1</v>
      </c>
      <c r="D19">
        <v>16661.78</v>
      </c>
      <c r="E19">
        <v>6</v>
      </c>
      <c r="F19">
        <v>1.9999899999999999</v>
      </c>
      <c r="G19">
        <v>50826.82</v>
      </c>
      <c r="H19">
        <v>6</v>
      </c>
      <c r="I19">
        <v>1.9999899999999999</v>
      </c>
      <c r="J19">
        <v>52759.02</v>
      </c>
      <c r="K19">
        <v>5</v>
      </c>
      <c r="L19">
        <v>1</v>
      </c>
      <c r="M19">
        <v>24076.45</v>
      </c>
      <c r="N19">
        <v>3</v>
      </c>
      <c r="O19">
        <v>1.9999899999999999</v>
      </c>
      <c r="P19">
        <v>125247.24</v>
      </c>
    </row>
    <row r="20" spans="1:16">
      <c r="A20">
        <v>15</v>
      </c>
      <c r="B20">
        <v>11</v>
      </c>
      <c r="C20">
        <v>1.0000100000000001</v>
      </c>
      <c r="D20">
        <v>16732.43</v>
      </c>
      <c r="E20">
        <v>6</v>
      </c>
      <c r="F20">
        <v>1.9999899999999999</v>
      </c>
      <c r="G20">
        <v>49860.74</v>
      </c>
      <c r="H20">
        <v>3</v>
      </c>
      <c r="I20">
        <v>1.0889599999999999</v>
      </c>
      <c r="J20">
        <v>44669.79</v>
      </c>
      <c r="K20">
        <v>11</v>
      </c>
      <c r="L20">
        <v>1</v>
      </c>
      <c r="M20">
        <v>39947.78</v>
      </c>
      <c r="N20">
        <v>3</v>
      </c>
      <c r="O20">
        <v>1.9999899999999999</v>
      </c>
      <c r="P20">
        <v>108797.79</v>
      </c>
    </row>
    <row r="21" spans="1:16">
      <c r="A21">
        <v>16</v>
      </c>
      <c r="B21">
        <v>11</v>
      </c>
      <c r="C21">
        <v>1.0000100000000001</v>
      </c>
      <c r="D21">
        <v>14785.89</v>
      </c>
      <c r="E21">
        <v>3</v>
      </c>
      <c r="F21">
        <v>2</v>
      </c>
      <c r="G21">
        <v>51509.67</v>
      </c>
      <c r="H21">
        <v>3</v>
      </c>
      <c r="I21">
        <v>1.4930600000000001</v>
      </c>
      <c r="J21">
        <v>46255.360000000001</v>
      </c>
      <c r="K21">
        <v>11</v>
      </c>
      <c r="L21">
        <v>1</v>
      </c>
      <c r="M21">
        <v>23592.99</v>
      </c>
      <c r="N21">
        <v>3</v>
      </c>
      <c r="O21">
        <v>1.9999899999999999</v>
      </c>
      <c r="P21">
        <v>168983.84</v>
      </c>
    </row>
    <row r="22" spans="1:16">
      <c r="A22">
        <v>17</v>
      </c>
      <c r="B22">
        <v>15</v>
      </c>
      <c r="C22">
        <v>1.0000100000000001</v>
      </c>
      <c r="D22">
        <v>48471.92</v>
      </c>
      <c r="E22">
        <v>6</v>
      </c>
      <c r="F22">
        <v>1.9999899999999999</v>
      </c>
      <c r="G22">
        <v>50204.25</v>
      </c>
      <c r="H22">
        <v>3</v>
      </c>
      <c r="I22">
        <v>1.9999899999999999</v>
      </c>
      <c r="J22">
        <v>71684.06</v>
      </c>
      <c r="K22">
        <v>15</v>
      </c>
      <c r="L22">
        <v>1</v>
      </c>
      <c r="M22">
        <v>28377.19</v>
      </c>
      <c r="N22">
        <v>3</v>
      </c>
      <c r="O22">
        <v>1.9999899999999999</v>
      </c>
      <c r="P22">
        <v>113950.99</v>
      </c>
    </row>
    <row r="23" spans="1:16">
      <c r="A23">
        <v>18</v>
      </c>
      <c r="B23">
        <v>7</v>
      </c>
      <c r="C23">
        <v>1</v>
      </c>
      <c r="D23">
        <v>27276.3</v>
      </c>
      <c r="E23">
        <v>3</v>
      </c>
      <c r="F23">
        <v>2</v>
      </c>
      <c r="G23">
        <v>35111.949999999997</v>
      </c>
      <c r="H23">
        <v>4</v>
      </c>
      <c r="I23">
        <v>1.9999800000000001</v>
      </c>
      <c r="J23">
        <v>63211.1</v>
      </c>
      <c r="K23">
        <v>7</v>
      </c>
      <c r="L23">
        <v>1</v>
      </c>
      <c r="M23">
        <v>25550.66</v>
      </c>
      <c r="N23">
        <v>3</v>
      </c>
      <c r="O23">
        <v>1.9999899999999999</v>
      </c>
      <c r="P23">
        <v>110269.09</v>
      </c>
    </row>
    <row r="24" spans="1:16">
      <c r="A24">
        <v>19</v>
      </c>
      <c r="B24">
        <v>12</v>
      </c>
      <c r="C24">
        <v>1</v>
      </c>
      <c r="D24">
        <v>37150.83</v>
      </c>
      <c r="E24">
        <v>3</v>
      </c>
      <c r="F24">
        <v>2</v>
      </c>
      <c r="G24">
        <v>41372.870000000003</v>
      </c>
      <c r="H24">
        <v>3</v>
      </c>
      <c r="I24">
        <v>1.9999899999999999</v>
      </c>
      <c r="J24">
        <v>70441.37</v>
      </c>
      <c r="K24">
        <v>12</v>
      </c>
      <c r="L24">
        <v>1</v>
      </c>
      <c r="M24">
        <v>33059.35</v>
      </c>
      <c r="N24">
        <v>3</v>
      </c>
      <c r="O24">
        <v>1.9999899999999999</v>
      </c>
      <c r="P24">
        <v>97596.58</v>
      </c>
    </row>
    <row r="25" spans="1:16">
      <c r="A25">
        <v>20</v>
      </c>
      <c r="B25">
        <v>17</v>
      </c>
      <c r="C25">
        <v>1</v>
      </c>
      <c r="D25">
        <v>17643.96</v>
      </c>
      <c r="E25">
        <v>6</v>
      </c>
      <c r="F25">
        <v>1.9999899999999999</v>
      </c>
      <c r="G25">
        <v>62586.18</v>
      </c>
      <c r="H25">
        <v>3</v>
      </c>
      <c r="I25">
        <v>1.53101</v>
      </c>
      <c r="J25">
        <v>48226.76</v>
      </c>
      <c r="K25">
        <v>17</v>
      </c>
      <c r="L25">
        <v>1</v>
      </c>
      <c r="M25">
        <v>19924.3</v>
      </c>
      <c r="N25">
        <v>3</v>
      </c>
      <c r="O25">
        <v>1.9999899999999999</v>
      </c>
      <c r="P25">
        <v>121696.82</v>
      </c>
    </row>
    <row r="26" spans="1:16">
      <c r="A26">
        <v>21</v>
      </c>
      <c r="B26">
        <v>7</v>
      </c>
      <c r="C26">
        <v>1</v>
      </c>
      <c r="D26">
        <v>36283.26</v>
      </c>
      <c r="E26">
        <v>3</v>
      </c>
      <c r="F26">
        <v>2</v>
      </c>
      <c r="G26">
        <v>36781.35</v>
      </c>
      <c r="H26">
        <v>4</v>
      </c>
      <c r="I26">
        <v>1.9999800000000001</v>
      </c>
      <c r="J26">
        <v>56727.66</v>
      </c>
      <c r="K26">
        <v>7</v>
      </c>
      <c r="L26">
        <v>1</v>
      </c>
      <c r="M26">
        <v>22362.53</v>
      </c>
      <c r="N26">
        <v>3</v>
      </c>
      <c r="O26">
        <v>1.9999899999999999</v>
      </c>
      <c r="P26">
        <v>140006.6</v>
      </c>
    </row>
    <row r="27" spans="1:16">
      <c r="A27">
        <v>22</v>
      </c>
      <c r="B27">
        <v>5</v>
      </c>
      <c r="C27">
        <v>1</v>
      </c>
      <c r="D27">
        <v>44577.02</v>
      </c>
      <c r="E27">
        <v>6</v>
      </c>
      <c r="F27">
        <v>1.9999899999999999</v>
      </c>
      <c r="G27">
        <v>42297.59</v>
      </c>
      <c r="H27">
        <v>3</v>
      </c>
      <c r="I27">
        <v>1.9999899999999999</v>
      </c>
      <c r="J27">
        <v>61816.38</v>
      </c>
      <c r="K27">
        <v>5</v>
      </c>
      <c r="L27">
        <v>1</v>
      </c>
      <c r="M27">
        <v>21146.94</v>
      </c>
      <c r="N27">
        <v>3</v>
      </c>
      <c r="O27">
        <v>1.9999899999999999</v>
      </c>
      <c r="P27">
        <v>90425.83</v>
      </c>
    </row>
    <row r="28" spans="1:16">
      <c r="A28">
        <v>23</v>
      </c>
      <c r="B28">
        <v>7</v>
      </c>
      <c r="C28">
        <v>1</v>
      </c>
      <c r="D28">
        <v>32365.23</v>
      </c>
      <c r="E28">
        <v>3</v>
      </c>
      <c r="F28">
        <v>2</v>
      </c>
      <c r="G28">
        <v>37248.730000000003</v>
      </c>
      <c r="H28">
        <v>3</v>
      </c>
      <c r="I28">
        <v>1.9999899999999999</v>
      </c>
      <c r="J28">
        <v>66488.83</v>
      </c>
      <c r="K28">
        <v>7</v>
      </c>
      <c r="L28">
        <v>1</v>
      </c>
      <c r="M28">
        <v>24320.09</v>
      </c>
      <c r="N28">
        <v>3</v>
      </c>
      <c r="O28">
        <v>1.9999899999999999</v>
      </c>
      <c r="P28">
        <v>128172.64</v>
      </c>
    </row>
    <row r="29" spans="1:16">
      <c r="A29">
        <v>24</v>
      </c>
      <c r="B29">
        <v>5</v>
      </c>
      <c r="C29">
        <v>1</v>
      </c>
      <c r="D29">
        <v>32851.620000000003</v>
      </c>
      <c r="E29">
        <v>6</v>
      </c>
      <c r="F29">
        <v>1.9999899999999999</v>
      </c>
      <c r="G29">
        <v>42223.15</v>
      </c>
      <c r="H29">
        <v>6</v>
      </c>
      <c r="I29">
        <v>1.9999899999999999</v>
      </c>
      <c r="J29">
        <v>57908.11</v>
      </c>
      <c r="K29">
        <v>5</v>
      </c>
      <c r="L29">
        <v>1</v>
      </c>
      <c r="M29">
        <v>19856.43</v>
      </c>
      <c r="N29">
        <v>3</v>
      </c>
      <c r="O29">
        <v>1.9999899999999999</v>
      </c>
      <c r="P29">
        <v>90702.88</v>
      </c>
    </row>
    <row r="30" spans="1:16">
      <c r="A30">
        <v>25</v>
      </c>
      <c r="B30">
        <v>5</v>
      </c>
      <c r="C30">
        <v>1</v>
      </c>
      <c r="D30">
        <v>36222.129999999997</v>
      </c>
      <c r="E30">
        <v>6</v>
      </c>
      <c r="F30">
        <v>1.9999899999999999</v>
      </c>
      <c r="G30">
        <v>36850.980000000003</v>
      </c>
      <c r="H30">
        <v>6</v>
      </c>
      <c r="I30">
        <v>1.9999899999999999</v>
      </c>
      <c r="J30">
        <v>66085.3</v>
      </c>
      <c r="K30">
        <v>5</v>
      </c>
      <c r="L30">
        <v>1</v>
      </c>
      <c r="M30">
        <v>19964.650000000001</v>
      </c>
      <c r="N30">
        <v>3</v>
      </c>
      <c r="O30">
        <v>1.9999899999999999</v>
      </c>
      <c r="P30">
        <v>82467.25</v>
      </c>
    </row>
    <row r="31" spans="1:16">
      <c r="A31">
        <v>26</v>
      </c>
      <c r="B31">
        <v>7</v>
      </c>
      <c r="C31">
        <v>1</v>
      </c>
      <c r="D31">
        <v>54357.81</v>
      </c>
      <c r="E31">
        <v>3</v>
      </c>
      <c r="F31">
        <v>2</v>
      </c>
      <c r="G31">
        <v>41491.57</v>
      </c>
      <c r="H31">
        <v>4</v>
      </c>
      <c r="I31">
        <v>1.9999800000000001</v>
      </c>
      <c r="J31">
        <v>64509.25</v>
      </c>
      <c r="K31">
        <v>7</v>
      </c>
      <c r="L31">
        <v>1</v>
      </c>
      <c r="M31">
        <v>23227.25</v>
      </c>
      <c r="N31">
        <v>3</v>
      </c>
      <c r="O31">
        <v>1.9999899999999999</v>
      </c>
      <c r="P31">
        <v>74714.25</v>
      </c>
    </row>
    <row r="32" spans="1:16">
      <c r="A32">
        <v>27</v>
      </c>
      <c r="B32">
        <v>12</v>
      </c>
      <c r="C32">
        <v>1</v>
      </c>
      <c r="D32">
        <v>14853.53</v>
      </c>
      <c r="E32">
        <v>6</v>
      </c>
      <c r="F32">
        <v>1.9999899999999999</v>
      </c>
      <c r="G32">
        <v>41105</v>
      </c>
      <c r="H32">
        <v>3</v>
      </c>
      <c r="I32">
        <v>1.9999899999999999</v>
      </c>
      <c r="J32">
        <v>40605.9</v>
      </c>
      <c r="K32">
        <v>12</v>
      </c>
      <c r="L32">
        <v>1</v>
      </c>
      <c r="M32">
        <v>18269.12</v>
      </c>
      <c r="N32">
        <v>3</v>
      </c>
      <c r="O32">
        <v>1.9999899999999999</v>
      </c>
      <c r="P32">
        <v>84429.46</v>
      </c>
    </row>
    <row r="33" spans="1:16">
      <c r="A33">
        <v>28</v>
      </c>
      <c r="B33">
        <v>5</v>
      </c>
      <c r="C33">
        <v>1</v>
      </c>
      <c r="D33">
        <v>13418.07</v>
      </c>
      <c r="E33">
        <v>6</v>
      </c>
      <c r="F33">
        <v>1.9999899999999999</v>
      </c>
      <c r="G33">
        <v>36760.11</v>
      </c>
      <c r="H33">
        <v>6</v>
      </c>
      <c r="I33">
        <v>1.9999899999999999</v>
      </c>
      <c r="J33">
        <v>34032.839999999997</v>
      </c>
      <c r="K33">
        <v>5</v>
      </c>
      <c r="L33">
        <v>1</v>
      </c>
      <c r="M33">
        <v>22609.41</v>
      </c>
      <c r="N33">
        <v>3</v>
      </c>
      <c r="O33">
        <v>1.9999899999999999</v>
      </c>
      <c r="P33">
        <v>92313.83</v>
      </c>
    </row>
    <row r="34" spans="1:16">
      <c r="A34">
        <v>29</v>
      </c>
      <c r="B34">
        <v>14</v>
      </c>
      <c r="C34">
        <v>1.0000100000000001</v>
      </c>
      <c r="D34">
        <v>30658.84</v>
      </c>
      <c r="E34">
        <v>3</v>
      </c>
      <c r="F34">
        <v>2</v>
      </c>
      <c r="G34">
        <v>38152.65</v>
      </c>
      <c r="H34">
        <v>3</v>
      </c>
      <c r="I34">
        <v>1.9999899999999999</v>
      </c>
      <c r="J34">
        <v>57677.19</v>
      </c>
      <c r="K34">
        <v>14</v>
      </c>
      <c r="L34">
        <v>1</v>
      </c>
      <c r="M34">
        <v>26026.080000000002</v>
      </c>
      <c r="N34">
        <v>3</v>
      </c>
      <c r="O34">
        <v>1.9999899999999999</v>
      </c>
      <c r="P34">
        <v>85505.75</v>
      </c>
    </row>
    <row r="35" spans="1:16">
      <c r="A35">
        <v>30</v>
      </c>
      <c r="B35">
        <v>7</v>
      </c>
      <c r="C35">
        <v>1</v>
      </c>
      <c r="D35">
        <v>17837.240000000002</v>
      </c>
      <c r="E35">
        <v>3</v>
      </c>
      <c r="F35">
        <v>2</v>
      </c>
      <c r="G35">
        <v>40825.64</v>
      </c>
      <c r="H35">
        <v>3</v>
      </c>
      <c r="I35">
        <v>1.9999899999999999</v>
      </c>
      <c r="J35">
        <v>36672.43</v>
      </c>
      <c r="K35">
        <v>7</v>
      </c>
      <c r="L35">
        <v>1</v>
      </c>
      <c r="M35">
        <v>20628.8</v>
      </c>
      <c r="N35">
        <v>3</v>
      </c>
      <c r="O35">
        <v>1.9999899999999999</v>
      </c>
      <c r="P35">
        <v>98459.51</v>
      </c>
    </row>
    <row r="36" spans="1:16">
      <c r="A36">
        <v>31</v>
      </c>
      <c r="B36">
        <v>10</v>
      </c>
      <c r="C36">
        <v>1</v>
      </c>
      <c r="D36">
        <v>84448.94</v>
      </c>
      <c r="E36">
        <v>3</v>
      </c>
      <c r="F36">
        <v>2</v>
      </c>
      <c r="G36">
        <v>56775.66</v>
      </c>
      <c r="H36">
        <v>3</v>
      </c>
      <c r="I36">
        <v>1.43018</v>
      </c>
      <c r="J36">
        <v>71033.37</v>
      </c>
      <c r="K36">
        <v>10</v>
      </c>
      <c r="L36">
        <v>1</v>
      </c>
      <c r="M36">
        <v>20937.72</v>
      </c>
      <c r="N36">
        <v>3</v>
      </c>
      <c r="O36">
        <v>1.9999899999999999</v>
      </c>
      <c r="P36">
        <v>107856.5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20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21</v>
      </c>
      <c r="C40" s="1">
        <f t="shared" ref="C40:P40" si="0">MAX(C5:C36)</f>
        <v>1.0000100000000001</v>
      </c>
      <c r="D40" s="1">
        <f t="shared" si="0"/>
        <v>84448.94</v>
      </c>
      <c r="E40" s="1">
        <f t="shared" si="0"/>
        <v>6</v>
      </c>
      <c r="F40" s="1">
        <f t="shared" si="0"/>
        <v>2</v>
      </c>
      <c r="G40" s="1">
        <f t="shared" si="0"/>
        <v>85765.91</v>
      </c>
      <c r="H40" s="1">
        <f t="shared" si="0"/>
        <v>6</v>
      </c>
      <c r="I40" s="1">
        <f t="shared" si="0"/>
        <v>1.9999899999999999</v>
      </c>
      <c r="J40" s="1">
        <f t="shared" si="0"/>
        <v>73999.960000000006</v>
      </c>
      <c r="K40" s="1">
        <f t="shared" si="0"/>
        <v>21</v>
      </c>
      <c r="L40" s="1">
        <f t="shared" si="0"/>
        <v>1</v>
      </c>
      <c r="M40" s="1">
        <f t="shared" si="0"/>
        <v>39947.78</v>
      </c>
      <c r="N40" s="1">
        <f t="shared" si="0"/>
        <v>3</v>
      </c>
      <c r="O40" s="1">
        <f t="shared" si="0"/>
        <v>1.9999899999999999</v>
      </c>
      <c r="P40" s="1">
        <f t="shared" si="0"/>
        <v>168983.84</v>
      </c>
    </row>
    <row r="41" spans="1:16">
      <c r="A41" t="s">
        <v>12</v>
      </c>
      <c r="B41" s="1">
        <f>MIN(B5:B36)</f>
        <v>5</v>
      </c>
      <c r="C41" s="1">
        <f t="shared" ref="C41:P41" si="1">MIN(C5:C36)</f>
        <v>1</v>
      </c>
      <c r="D41" s="1">
        <f t="shared" si="1"/>
        <v>13221.91</v>
      </c>
      <c r="E41" s="1">
        <f t="shared" si="1"/>
        <v>3</v>
      </c>
      <c r="F41" s="1">
        <f t="shared" si="1"/>
        <v>1.9999899999999999</v>
      </c>
      <c r="G41" s="1">
        <f t="shared" si="1"/>
        <v>35111.949999999997</v>
      </c>
      <c r="H41" s="1">
        <f t="shared" si="1"/>
        <v>3</v>
      </c>
      <c r="I41" s="1">
        <f t="shared" si="1"/>
        <v>1.0069300000000001</v>
      </c>
      <c r="J41" s="1">
        <f t="shared" si="1"/>
        <v>34032.839999999997</v>
      </c>
      <c r="K41" s="1">
        <f t="shared" si="1"/>
        <v>5</v>
      </c>
      <c r="L41" s="1">
        <f t="shared" si="1"/>
        <v>1</v>
      </c>
      <c r="M41" s="1">
        <f t="shared" si="1"/>
        <v>15857.59</v>
      </c>
      <c r="N41" s="1">
        <f t="shared" si="1"/>
        <v>3</v>
      </c>
      <c r="O41" s="1">
        <f t="shared" si="1"/>
        <v>1.9999899999999999</v>
      </c>
      <c r="P41" s="1">
        <f t="shared" si="1"/>
        <v>74714.25</v>
      </c>
    </row>
    <row r="42" spans="1:16">
      <c r="A42" t="s">
        <v>13</v>
      </c>
      <c r="B42" s="1">
        <f>MEDIAN(B5:B36)</f>
        <v>7</v>
      </c>
      <c r="C42" s="1">
        <f t="shared" ref="C42:P42" si="2">MEDIAN(C5:C36)</f>
        <v>1</v>
      </c>
      <c r="D42" s="1">
        <f t="shared" si="2"/>
        <v>31491.82</v>
      </c>
      <c r="E42" s="1">
        <f t="shared" si="2"/>
        <v>6</v>
      </c>
      <c r="F42" s="1">
        <f t="shared" si="2"/>
        <v>1.9999899999999999</v>
      </c>
      <c r="G42" s="1">
        <f t="shared" si="2"/>
        <v>42260.369999999995</v>
      </c>
      <c r="H42" s="1">
        <f t="shared" si="2"/>
        <v>3</v>
      </c>
      <c r="I42" s="1">
        <f t="shared" si="2"/>
        <v>1.9999899999999999</v>
      </c>
      <c r="J42" s="1">
        <f t="shared" si="2"/>
        <v>57224.895000000004</v>
      </c>
      <c r="K42" s="1">
        <f t="shared" si="2"/>
        <v>7</v>
      </c>
      <c r="L42" s="1">
        <f t="shared" si="2"/>
        <v>1</v>
      </c>
      <c r="M42" s="1">
        <f t="shared" si="2"/>
        <v>22485.97</v>
      </c>
      <c r="N42" s="1">
        <f t="shared" si="2"/>
        <v>3</v>
      </c>
      <c r="O42" s="1">
        <f t="shared" si="2"/>
        <v>1.9999899999999999</v>
      </c>
      <c r="P42" s="1">
        <f t="shared" si="2"/>
        <v>105560.02499999999</v>
      </c>
    </row>
    <row r="43" spans="1:16">
      <c r="A43" t="s">
        <v>14</v>
      </c>
      <c r="B43" s="1">
        <f>AVERAGE(B5:B36)</f>
        <v>9.34375</v>
      </c>
      <c r="C43" s="1">
        <f t="shared" ref="C43:P43" si="3">AVERAGE(C5:C36)</f>
        <v>1.0000018749999999</v>
      </c>
      <c r="D43" s="1">
        <f t="shared" si="3"/>
        <v>30208.996874999997</v>
      </c>
      <c r="E43" s="1">
        <f t="shared" si="3"/>
        <v>4.78125</v>
      </c>
      <c r="F43" s="1">
        <f t="shared" si="3"/>
        <v>1.9999940624999994</v>
      </c>
      <c r="G43" s="1">
        <f t="shared" si="3"/>
        <v>45563.84812499999</v>
      </c>
      <c r="H43" s="1">
        <f t="shared" si="3"/>
        <v>3.65625</v>
      </c>
      <c r="I43" s="1">
        <f t="shared" si="3"/>
        <v>1.8464631249999992</v>
      </c>
      <c r="J43" s="1">
        <f t="shared" si="3"/>
        <v>56077.262812500005</v>
      </c>
      <c r="K43" s="1">
        <f t="shared" si="3"/>
        <v>9.34375</v>
      </c>
      <c r="L43" s="1">
        <f t="shared" si="3"/>
        <v>1</v>
      </c>
      <c r="M43" s="1">
        <f t="shared" si="3"/>
        <v>23717.557499999999</v>
      </c>
      <c r="N43" s="1">
        <f t="shared" si="3"/>
        <v>3</v>
      </c>
      <c r="O43" s="1">
        <f t="shared" si="3"/>
        <v>1.9999899999999986</v>
      </c>
      <c r="P43" s="1">
        <f t="shared" si="3"/>
        <v>105037.2621875</v>
      </c>
    </row>
    <row r="44" spans="1:16">
      <c r="A44" t="s">
        <v>15</v>
      </c>
      <c r="B44" s="1">
        <f>STDEV(B5:B36)</f>
        <v>4.4111981767813049</v>
      </c>
      <c r="C44" s="1">
        <f t="shared" ref="C44:P44" si="4">STDEV(C5:C36)</f>
        <v>3.9655776945886392E-6</v>
      </c>
      <c r="D44" s="1">
        <f t="shared" si="4"/>
        <v>15689.293793292358</v>
      </c>
      <c r="E44" s="1">
        <f t="shared" si="4"/>
        <v>1.4969727517075382</v>
      </c>
      <c r="F44" s="1">
        <f t="shared" si="4"/>
        <v>4.9899091723911506E-6</v>
      </c>
      <c r="G44" s="1">
        <f t="shared" si="4"/>
        <v>9885.7842592901907</v>
      </c>
      <c r="H44" s="1">
        <f t="shared" si="4"/>
        <v>1.1807426585867267</v>
      </c>
      <c r="I44" s="1">
        <f t="shared" si="4"/>
        <v>0.30888828507154314</v>
      </c>
      <c r="J44" s="1">
        <f t="shared" si="4"/>
        <v>11251.2387279263</v>
      </c>
      <c r="K44" s="1">
        <f t="shared" si="4"/>
        <v>4.4111981767813049</v>
      </c>
      <c r="L44" s="1">
        <f t="shared" si="4"/>
        <v>0</v>
      </c>
      <c r="M44" s="1">
        <f t="shared" si="4"/>
        <v>5449.3063341227025</v>
      </c>
      <c r="N44" s="1">
        <f t="shared" si="4"/>
        <v>0</v>
      </c>
      <c r="O44" s="1">
        <f t="shared" si="4"/>
        <v>1.3535852652089328E-15</v>
      </c>
      <c r="P44" s="1">
        <f t="shared" si="4"/>
        <v>20480.671761727444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37"/>
  <sheetViews>
    <sheetView tabSelected="1" topLeftCell="N2" workbookViewId="0">
      <selection activeCell="V11" sqref="V11"/>
    </sheetView>
  </sheetViews>
  <sheetFormatPr baseColWidth="10" defaultRowHeight="16"/>
  <cols>
    <col min="1" max="1" width="17.33203125" bestFit="1" customWidth="1"/>
    <col min="2" max="2" width="7.6640625" bestFit="1" customWidth="1"/>
    <col min="3" max="3" width="13" bestFit="1" customWidth="1"/>
    <col min="4" max="4" width="6.83203125" bestFit="1" customWidth="1"/>
    <col min="5" max="5" width="9.1640625" bestFit="1" customWidth="1"/>
    <col min="6" max="6" width="12.1640625" bestFit="1" customWidth="1"/>
    <col min="7" max="7" width="11.5" bestFit="1" customWidth="1"/>
    <col min="8" max="8" width="6.83203125" customWidth="1"/>
    <col min="9" max="9" width="11.16406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34">
      <c r="A1" t="s">
        <v>17</v>
      </c>
      <c r="C1" t="s">
        <v>7</v>
      </c>
      <c r="M1" t="s">
        <v>8</v>
      </c>
      <c r="W1" t="s">
        <v>9</v>
      </c>
    </row>
    <row r="2" spans="1:34">
      <c r="A2">
        <v>6</v>
      </c>
      <c r="C2" s="4" t="s">
        <v>4</v>
      </c>
      <c r="D2" s="4"/>
      <c r="E2" s="4" t="s">
        <v>5</v>
      </c>
      <c r="F2" s="4"/>
      <c r="G2" t="s">
        <v>19</v>
      </c>
      <c r="I2" s="4" t="s">
        <v>6</v>
      </c>
      <c r="J2" s="4"/>
      <c r="K2" t="s">
        <v>20</v>
      </c>
      <c r="M2" s="4" t="s">
        <v>4</v>
      </c>
      <c r="N2" s="4"/>
      <c r="O2" s="4" t="s">
        <v>5</v>
      </c>
      <c r="P2" s="4"/>
      <c r="Q2" t="s">
        <v>19</v>
      </c>
      <c r="S2" s="4" t="s">
        <v>6</v>
      </c>
      <c r="T2" s="4"/>
      <c r="U2" t="s">
        <v>20</v>
      </c>
      <c r="W2" s="4" t="s">
        <v>4</v>
      </c>
      <c r="X2" s="4"/>
      <c r="Y2" s="4" t="s">
        <v>5</v>
      </c>
      <c r="Z2" s="4"/>
      <c r="AA2" t="s">
        <v>19</v>
      </c>
      <c r="AC2" s="4" t="s">
        <v>6</v>
      </c>
      <c r="AD2" s="4"/>
      <c r="AE2" t="s">
        <v>20</v>
      </c>
    </row>
    <row r="3" spans="1:34">
      <c r="A3" t="s">
        <v>1</v>
      </c>
      <c r="B3" t="s">
        <v>18</v>
      </c>
      <c r="C3" t="s">
        <v>14</v>
      </c>
      <c r="D3" t="s">
        <v>16</v>
      </c>
      <c r="E3" t="s">
        <v>14</v>
      </c>
      <c r="F3" t="s">
        <v>16</v>
      </c>
      <c r="G3" t="s">
        <v>14</v>
      </c>
      <c r="H3" t="s">
        <v>16</v>
      </c>
      <c r="I3" t="s">
        <v>14</v>
      </c>
      <c r="J3" t="s">
        <v>16</v>
      </c>
      <c r="K3" t="s">
        <v>14</v>
      </c>
      <c r="L3" t="s">
        <v>16</v>
      </c>
      <c r="M3" t="s">
        <v>14</v>
      </c>
      <c r="N3" t="s">
        <v>16</v>
      </c>
      <c r="O3" t="s">
        <v>14</v>
      </c>
      <c r="P3" t="s">
        <v>16</v>
      </c>
      <c r="Q3" t="s">
        <v>14</v>
      </c>
      <c r="R3" t="s">
        <v>16</v>
      </c>
      <c r="S3" t="s">
        <v>14</v>
      </c>
      <c r="T3" t="s">
        <v>16</v>
      </c>
      <c r="U3" t="s">
        <v>14</v>
      </c>
      <c r="V3" t="s">
        <v>16</v>
      </c>
      <c r="W3" t="s">
        <v>14</v>
      </c>
      <c r="X3" t="s">
        <v>16</v>
      </c>
      <c r="Y3" t="s">
        <v>14</v>
      </c>
      <c r="Z3" t="s">
        <v>16</v>
      </c>
      <c r="AA3" t="s">
        <v>14</v>
      </c>
      <c r="AB3" t="s">
        <v>16</v>
      </c>
      <c r="AC3" t="s">
        <v>14</v>
      </c>
      <c r="AD3" t="s">
        <v>16</v>
      </c>
      <c r="AE3" t="s">
        <v>14</v>
      </c>
      <c r="AF3" t="s">
        <v>16</v>
      </c>
    </row>
    <row r="4" spans="1:34">
      <c r="A4">
        <v>33</v>
      </c>
      <c r="B4" s="2">
        <f>SQRT(A4)</f>
        <v>5.7445626465380286</v>
      </c>
      <c r="C4" s="1">
        <v>9.34375</v>
      </c>
      <c r="D4" s="1">
        <v>2.7662642212802964</v>
      </c>
      <c r="E4">
        <v>5.90625</v>
      </c>
      <c r="F4">
        <v>1.8203043878747667</v>
      </c>
      <c r="G4">
        <v>4.3125</v>
      </c>
      <c r="H4">
        <v>1.5951033943634116</v>
      </c>
      <c r="I4">
        <v>7.375</v>
      </c>
      <c r="J4">
        <v>2.0280293947096655</v>
      </c>
      <c r="K4">
        <v>3</v>
      </c>
      <c r="L4">
        <v>0</v>
      </c>
      <c r="M4">
        <v>1.2469437500000002</v>
      </c>
      <c r="N4">
        <v>0.14875749335964464</v>
      </c>
      <c r="O4">
        <v>1.5137706249999998</v>
      </c>
      <c r="P4">
        <v>0.19445292429619068</v>
      </c>
      <c r="Q4">
        <v>1.5359562500000001</v>
      </c>
      <c r="R4">
        <v>0.22483436256928344</v>
      </c>
      <c r="S4">
        <v>1.1882546875000004</v>
      </c>
      <c r="T4">
        <v>0.22760217936459118</v>
      </c>
      <c r="U4">
        <v>1.3477893749999998</v>
      </c>
      <c r="V4">
        <v>0.22515434707339854</v>
      </c>
      <c r="W4">
        <v>0.92125000000000012</v>
      </c>
      <c r="X4">
        <v>2.2162984980047393</v>
      </c>
      <c r="Y4">
        <v>1.0778125000000001</v>
      </c>
      <c r="Z4">
        <v>0.9514801181961613</v>
      </c>
      <c r="AA4">
        <v>1.6075000000000004</v>
      </c>
      <c r="AB4">
        <v>2.1045496031830808</v>
      </c>
      <c r="AC4">
        <v>0.90187499999999998</v>
      </c>
      <c r="AD4">
        <v>0.71267527555479071</v>
      </c>
      <c r="AE4">
        <v>1.7590625000000002</v>
      </c>
      <c r="AF4">
        <v>1.0798098977702426</v>
      </c>
      <c r="AH4">
        <f>A4/30</f>
        <v>1.1000000000000001</v>
      </c>
    </row>
    <row r="5" spans="1:34">
      <c r="A5">
        <v>303</v>
      </c>
      <c r="B5" s="2">
        <f t="shared" ref="B5:B9" si="0">SQRT(A5)</f>
        <v>17.406895185529212</v>
      </c>
      <c r="C5" s="1">
        <v>10</v>
      </c>
      <c r="D5" s="1">
        <v>2.079081683138325</v>
      </c>
      <c r="E5">
        <v>5.9375</v>
      </c>
      <c r="F5">
        <v>2.8048057836276237</v>
      </c>
      <c r="G5">
        <v>6.375</v>
      </c>
      <c r="H5">
        <v>3.0874355158474369</v>
      </c>
      <c r="I5">
        <v>10</v>
      </c>
      <c r="J5">
        <v>2.079081683138325</v>
      </c>
      <c r="K5">
        <v>3</v>
      </c>
      <c r="L5">
        <v>0</v>
      </c>
      <c r="M5">
        <v>1.0354231250000001</v>
      </c>
      <c r="N5">
        <v>1.5060606044760737E-2</v>
      </c>
      <c r="O5">
        <v>1.9024868750000008</v>
      </c>
      <c r="P5">
        <v>7.3890892643991055E-2</v>
      </c>
      <c r="Q5">
        <v>1.6880490625</v>
      </c>
      <c r="R5">
        <v>0.28406844804819992</v>
      </c>
      <c r="S5">
        <v>1.03247</v>
      </c>
      <c r="T5">
        <v>0</v>
      </c>
      <c r="U5">
        <v>1.8673406249999995</v>
      </c>
      <c r="V5">
        <v>0.10960760884047153</v>
      </c>
      <c r="W5">
        <v>1.6090625000000001</v>
      </c>
      <c r="X5">
        <v>1.3584344864704581</v>
      </c>
      <c r="Y5">
        <v>3.6599999999999993</v>
      </c>
      <c r="Z5">
        <v>2.5432453232422452</v>
      </c>
      <c r="AA5">
        <v>9.2756249999999998</v>
      </c>
      <c r="AB5">
        <v>13.854403501088305</v>
      </c>
      <c r="AC5">
        <v>2.4934375000000002</v>
      </c>
      <c r="AD5">
        <v>1.9988587217500213</v>
      </c>
      <c r="AE5">
        <v>8.5618750000000006</v>
      </c>
      <c r="AF5">
        <v>5.3898557270176104</v>
      </c>
      <c r="AH5">
        <f t="shared" ref="AH5:AH9" si="1">A5/30</f>
        <v>10.1</v>
      </c>
    </row>
    <row r="6" spans="1:34">
      <c r="A6">
        <v>3003</v>
      </c>
      <c r="B6" s="2">
        <f t="shared" si="0"/>
        <v>54.799635035281028</v>
      </c>
      <c r="C6" s="1">
        <v>9.125</v>
      </c>
      <c r="D6" s="1">
        <v>3.6345119919123721</v>
      </c>
      <c r="E6">
        <v>3</v>
      </c>
      <c r="F6">
        <v>0</v>
      </c>
      <c r="G6">
        <v>3.03125</v>
      </c>
      <c r="H6">
        <v>0.17677669529663689</v>
      </c>
      <c r="I6">
        <v>9.125</v>
      </c>
      <c r="J6">
        <v>3.6345119919123721</v>
      </c>
      <c r="K6">
        <v>3</v>
      </c>
      <c r="L6">
        <v>0</v>
      </c>
      <c r="M6">
        <v>1.0030762499999999</v>
      </c>
      <c r="N6">
        <v>2.1036462201032653E-3</v>
      </c>
      <c r="O6">
        <v>1.9970100000000013</v>
      </c>
      <c r="P6">
        <v>1.3535852652089328E-15</v>
      </c>
      <c r="Q6">
        <v>1.7539393750000005</v>
      </c>
      <c r="R6">
        <v>0.36408166277270487</v>
      </c>
      <c r="S6">
        <v>1.0046600000000006</v>
      </c>
      <c r="T6">
        <v>4.5119508840297763E-16</v>
      </c>
      <c r="U6">
        <v>1.9940199999999992</v>
      </c>
      <c r="V6">
        <v>6.767926326044664E-16</v>
      </c>
      <c r="W6">
        <v>8.6106250000000006</v>
      </c>
      <c r="X6">
        <v>9.6692565472956247</v>
      </c>
      <c r="Y6">
        <v>15.181562499999998</v>
      </c>
      <c r="Z6">
        <v>8.9828622169590755</v>
      </c>
      <c r="AA6">
        <v>22.16375</v>
      </c>
      <c r="AB6">
        <v>13.18075252391813</v>
      </c>
      <c r="AC6">
        <v>10.635624999999996</v>
      </c>
      <c r="AD6">
        <v>5.0607234835959423</v>
      </c>
      <c r="AE6">
        <v>37.280624999999986</v>
      </c>
      <c r="AF6">
        <v>31.39428209059529</v>
      </c>
      <c r="AH6">
        <f t="shared" si="1"/>
        <v>100.1</v>
      </c>
    </row>
    <row r="7" spans="1:34">
      <c r="A7">
        <v>30003</v>
      </c>
      <c r="B7" s="2">
        <f t="shared" si="0"/>
        <v>173.21374079443004</v>
      </c>
      <c r="C7" s="1">
        <v>7.90625</v>
      </c>
      <c r="D7" s="1">
        <v>5.4498261292182226</v>
      </c>
      <c r="E7">
        <v>7.5</v>
      </c>
      <c r="F7">
        <v>4.0321290301934827</v>
      </c>
      <c r="G7">
        <v>4.84375</v>
      </c>
      <c r="H7">
        <v>2.7132812536282196</v>
      </c>
      <c r="I7">
        <v>7.90625</v>
      </c>
      <c r="J7">
        <v>5.4498261292182226</v>
      </c>
      <c r="K7">
        <v>3</v>
      </c>
      <c r="L7">
        <v>0</v>
      </c>
      <c r="M7">
        <v>1.0002031249999999</v>
      </c>
      <c r="N7">
        <v>2.885831629452167E-4</v>
      </c>
      <c r="O7">
        <v>1.9987999999999999</v>
      </c>
      <c r="P7">
        <v>8.0642580603871954E-4</v>
      </c>
      <c r="Q7">
        <v>1.869345</v>
      </c>
      <c r="R7">
        <v>0.27079398404238908</v>
      </c>
      <c r="S7">
        <v>1</v>
      </c>
      <c r="T7">
        <v>0</v>
      </c>
      <c r="U7">
        <v>1.9973806250000001</v>
      </c>
      <c r="V7">
        <v>1.8094179022993158E-3</v>
      </c>
      <c r="W7">
        <v>66.221249999999984</v>
      </c>
      <c r="X7">
        <v>8.3299474304194217</v>
      </c>
      <c r="Y7">
        <v>147.3190625</v>
      </c>
      <c r="Z7">
        <v>26.289975319854342</v>
      </c>
      <c r="AA7">
        <v>215.45156249999997</v>
      </c>
      <c r="AB7">
        <v>23.064770665821673</v>
      </c>
      <c r="AC7">
        <v>104.34062499999997</v>
      </c>
      <c r="AD7">
        <v>13.264951621934449</v>
      </c>
      <c r="AE7">
        <v>293.18124999999992</v>
      </c>
      <c r="AF7">
        <v>23.283384737591518</v>
      </c>
      <c r="AH7">
        <f t="shared" si="1"/>
        <v>1000.1</v>
      </c>
    </row>
    <row r="8" spans="1:34">
      <c r="A8">
        <v>300003</v>
      </c>
      <c r="B8" s="2">
        <f t="shared" si="0"/>
        <v>547.72529611110713</v>
      </c>
      <c r="C8" s="1">
        <v>7.84375</v>
      </c>
      <c r="D8" s="1">
        <v>3.9276470424826337</v>
      </c>
      <c r="E8">
        <v>6.625</v>
      </c>
      <c r="F8">
        <v>1.9959636689433842</v>
      </c>
      <c r="G8">
        <v>5.0625</v>
      </c>
      <c r="H8">
        <v>2.1241696669978007</v>
      </c>
      <c r="I8">
        <v>7.84375</v>
      </c>
      <c r="J8">
        <v>3.9276470424826337</v>
      </c>
      <c r="K8">
        <v>3</v>
      </c>
      <c r="L8">
        <v>0</v>
      </c>
      <c r="M8">
        <v>1.0000296874999999</v>
      </c>
      <c r="N8">
        <v>2.3892821840153783E-5</v>
      </c>
      <c r="O8">
        <v>1.9998628125000002</v>
      </c>
      <c r="P8">
        <v>6.4868819240641772E-5</v>
      </c>
      <c r="Q8">
        <v>1.91997</v>
      </c>
      <c r="R8">
        <v>0.2150082213731967</v>
      </c>
      <c r="S8">
        <v>1.0000099999999998</v>
      </c>
      <c r="T8">
        <v>2.2559754420148882E-16</v>
      </c>
      <c r="U8">
        <v>1.9997956250000002</v>
      </c>
      <c r="V8">
        <v>2.9939455034125311E-5</v>
      </c>
      <c r="W8">
        <v>847.41124999999988</v>
      </c>
      <c r="X8">
        <v>150.49400086103617</v>
      </c>
      <c r="Y8">
        <v>1865.9296875000002</v>
      </c>
      <c r="Z8">
        <v>404.32107656905964</v>
      </c>
      <c r="AA8">
        <v>2562.7434375000003</v>
      </c>
      <c r="AB8">
        <v>255.02432851193575</v>
      </c>
      <c r="AC8">
        <v>1156.0837499999996</v>
      </c>
      <c r="AD8">
        <v>138.1777115155636</v>
      </c>
      <c r="AE8">
        <v>3595.3262500000005</v>
      </c>
      <c r="AF8">
        <v>263.38962789422453</v>
      </c>
      <c r="AH8">
        <f t="shared" si="1"/>
        <v>10000.1</v>
      </c>
    </row>
    <row r="9" spans="1:34">
      <c r="A9">
        <v>3000003</v>
      </c>
      <c r="B9" s="2">
        <f t="shared" si="0"/>
        <v>1732.0516735940646</v>
      </c>
      <c r="C9" s="1">
        <v>9.34375</v>
      </c>
      <c r="D9" s="1">
        <v>4.4111981767813049</v>
      </c>
      <c r="E9" s="1">
        <v>4.78125</v>
      </c>
      <c r="F9" s="1">
        <v>1.4969727517075382</v>
      </c>
      <c r="G9" s="1">
        <v>3.65625</v>
      </c>
      <c r="H9" s="1">
        <v>1.1807426585867267</v>
      </c>
      <c r="I9">
        <v>9.34375</v>
      </c>
      <c r="J9">
        <v>4.4111981767813049</v>
      </c>
      <c r="K9">
        <v>3</v>
      </c>
      <c r="L9">
        <v>0</v>
      </c>
      <c r="M9">
        <v>1.0000018749999999</v>
      </c>
      <c r="N9">
        <v>3.9655776945886392E-6</v>
      </c>
      <c r="O9">
        <v>1.9999940624999994</v>
      </c>
      <c r="P9">
        <v>4.9899091723911506E-6</v>
      </c>
      <c r="Q9">
        <v>1.8464631249999992</v>
      </c>
      <c r="R9">
        <v>0.30888828507154314</v>
      </c>
      <c r="S9">
        <v>1</v>
      </c>
      <c r="T9">
        <v>0</v>
      </c>
      <c r="U9">
        <v>1.9999899999999986</v>
      </c>
      <c r="V9">
        <v>1.3535852652089328E-15</v>
      </c>
      <c r="W9">
        <v>30208.996874999997</v>
      </c>
      <c r="X9">
        <v>15689.293793292358</v>
      </c>
      <c r="Y9">
        <v>45563.84812499999</v>
      </c>
      <c r="Z9">
        <v>9885.7842592901907</v>
      </c>
      <c r="AA9">
        <v>56077.262812500005</v>
      </c>
      <c r="AB9">
        <v>11251.2387279263</v>
      </c>
      <c r="AC9">
        <v>23717.557499999999</v>
      </c>
      <c r="AD9">
        <v>5449.3063341227025</v>
      </c>
      <c r="AE9">
        <v>105037.2621875</v>
      </c>
      <c r="AF9">
        <v>20480.671761727444</v>
      </c>
      <c r="AH9">
        <f t="shared" si="1"/>
        <v>100000.1</v>
      </c>
    </row>
    <row r="10" spans="1:34">
      <c r="B10" s="2"/>
      <c r="C10" s="1"/>
      <c r="D10" s="1"/>
      <c r="E10" s="1"/>
      <c r="F10" s="1"/>
      <c r="G10" s="1"/>
      <c r="H10" s="1"/>
    </row>
    <row r="11" spans="1:34">
      <c r="B11" s="2"/>
      <c r="C11" s="1"/>
      <c r="D11" s="1"/>
      <c r="E11" s="1"/>
      <c r="F11" s="1"/>
      <c r="G11" s="1"/>
      <c r="H11" s="1"/>
    </row>
    <row r="12" spans="1:34">
      <c r="B12" s="2"/>
      <c r="C12" s="1"/>
      <c r="D12" s="1"/>
      <c r="E12" s="1"/>
      <c r="F12" s="1"/>
      <c r="G12" s="1"/>
      <c r="H12" s="1"/>
    </row>
    <row r="13" spans="1:34">
      <c r="B13" s="2"/>
      <c r="C13" s="1"/>
      <c r="D13" s="1"/>
      <c r="E13" s="1"/>
      <c r="F13" s="1"/>
      <c r="G13" s="1"/>
      <c r="H13" s="1"/>
    </row>
    <row r="14" spans="1:34">
      <c r="B14" s="2"/>
      <c r="C14" s="1"/>
      <c r="D14" s="1"/>
      <c r="E14" s="1"/>
      <c r="F14" s="1"/>
      <c r="G14" s="1"/>
      <c r="H14" s="1"/>
    </row>
    <row r="15" spans="1:34">
      <c r="B15" s="2"/>
      <c r="C15" s="1"/>
      <c r="D15" s="1"/>
      <c r="E15" s="1"/>
      <c r="F15" s="1"/>
      <c r="G15" s="1"/>
      <c r="H15" s="1"/>
    </row>
    <row r="16" spans="1:34">
      <c r="B16" s="2"/>
      <c r="C16" s="1"/>
      <c r="D16" s="1"/>
      <c r="E16" s="1"/>
      <c r="F16" s="1"/>
      <c r="G16" s="1"/>
      <c r="H16" s="1"/>
    </row>
    <row r="17" spans="2:8">
      <c r="B17" s="2"/>
      <c r="C17" s="1"/>
      <c r="D17" s="1"/>
      <c r="E17" s="1"/>
      <c r="F17" s="1"/>
      <c r="G17" s="1"/>
      <c r="H17" s="1"/>
    </row>
    <row r="18" spans="2:8">
      <c r="B18" s="2"/>
      <c r="C18" s="1"/>
      <c r="D18" s="1"/>
      <c r="E18" s="1"/>
      <c r="F18" s="1"/>
      <c r="G18" s="1"/>
      <c r="H18" s="1"/>
    </row>
    <row r="32" spans="2:8">
      <c r="C32" s="4"/>
      <c r="D32" s="4"/>
      <c r="E32" s="3"/>
      <c r="F32" s="3"/>
      <c r="G32" s="3"/>
      <c r="H32" s="3"/>
    </row>
    <row r="33" spans="1:3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</sheetData>
  <mergeCells count="10">
    <mergeCell ref="W2:X2"/>
    <mergeCell ref="Y2:Z2"/>
    <mergeCell ref="AC2:AD2"/>
    <mergeCell ref="C32:D32"/>
    <mergeCell ref="C2:D2"/>
    <mergeCell ref="E2:F2"/>
    <mergeCell ref="I2:J2"/>
    <mergeCell ref="M2:N2"/>
    <mergeCell ref="O2:P2"/>
    <mergeCell ref="S2:T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SummarizeData">
                <anchor moveWithCells="1" sizeWithCells="1">
                  <from>
                    <xdr:col>34</xdr:col>
                    <xdr:colOff>38100</xdr:colOff>
                    <xdr:row>2</xdr:row>
                    <xdr:rowOff>12700</xdr:rowOff>
                  </from>
                  <to>
                    <xdr:col>36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</vt:lpstr>
      <vt:lpstr>2</vt:lpstr>
      <vt:lpstr>3</vt:lpstr>
      <vt:lpstr>4</vt:lpstr>
      <vt:lpstr>5</vt:lpstr>
      <vt:lpstr>6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2018-05-07T03:18:50Z</dcterms:modified>
</cp:coreProperties>
</file>