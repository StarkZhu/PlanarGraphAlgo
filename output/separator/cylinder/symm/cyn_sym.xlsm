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separator/cylinder/symm/"/>
    </mc:Choice>
  </mc:AlternateContent>
  <xr:revisionPtr revIDLastSave="0" documentId="13_ncr:1_{688F981D-386F-A045-9C6E-464D383E738F}" xr6:coauthVersionLast="32" xr6:coauthVersionMax="32" xr10:uidLastSave="{00000000-0000-0000-0000-000000000000}"/>
  <bookViews>
    <workbookView xWindow="2080" yWindow="460" windowWidth="21800" windowHeight="13940" tabRatio="500" activeTab="6" xr2:uid="{00000000-000D-0000-FFFF-FFFF00000000}"/>
  </bookViews>
  <sheets>
    <sheet name="1" sheetId="1" r:id="rId1"/>
    <sheet name="2" sheetId="5" r:id="rId2"/>
    <sheet name="3" sheetId="4" r:id="rId3"/>
    <sheet name="4" sheetId="3" r:id="rId4"/>
    <sheet name="5" sheetId="2" r:id="rId5"/>
    <sheet name="6" sheetId="7" r:id="rId6"/>
    <sheet name="Summary" sheetId="6" r:id="rId7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6" l="1"/>
  <c r="AH9" i="6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B42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B41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40" i="7"/>
  <c r="AH5" i="6" l="1"/>
  <c r="AH6" i="6"/>
  <c r="AH7" i="6"/>
  <c r="AH8" i="6"/>
  <c r="AH4" i="6"/>
  <c r="J40" i="3"/>
  <c r="K40" i="3"/>
  <c r="L40" i="3"/>
  <c r="M40" i="3"/>
  <c r="N40" i="3"/>
  <c r="O40" i="3"/>
  <c r="P40" i="3"/>
  <c r="J41" i="3"/>
  <c r="K41" i="3"/>
  <c r="L41" i="3"/>
  <c r="M41" i="3"/>
  <c r="N41" i="3"/>
  <c r="O41" i="3"/>
  <c r="P41" i="3"/>
  <c r="J42" i="3"/>
  <c r="K42" i="3"/>
  <c r="L42" i="3"/>
  <c r="M42" i="3"/>
  <c r="N42" i="3"/>
  <c r="O42" i="3"/>
  <c r="P42" i="3"/>
  <c r="J43" i="3"/>
  <c r="K43" i="3"/>
  <c r="L43" i="3"/>
  <c r="M43" i="3"/>
  <c r="N43" i="3"/>
  <c r="O43" i="3"/>
  <c r="P43" i="3"/>
  <c r="J44" i="3"/>
  <c r="K44" i="3"/>
  <c r="L44" i="3"/>
  <c r="M44" i="3"/>
  <c r="N44" i="3"/>
  <c r="O44" i="3"/>
  <c r="P44" i="3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B4" i="6"/>
  <c r="B5" i="6"/>
  <c r="B6" i="6"/>
  <c r="B7" i="6"/>
  <c r="B8" i="6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<sst xmlns="http://schemas.openxmlformats.org/spreadsheetml/2006/main" count="351" uniqueCount="27">
  <si>
    <t>Graph Info: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</si>
  <si>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</si>
  <si>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</si>
  <si>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</si>
  <si>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</si>
  <si>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</si>
  <si>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</si>
  <si>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</si>
  <si>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</si>
  <si>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</si>
  <si>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</si>
  <si>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Max</t>
  </si>
  <si>
    <t>Min</t>
  </si>
  <si>
    <t>Median</t>
  </si>
  <si>
    <t>Average</t>
  </si>
  <si>
    <t>Std.Dev</t>
  </si>
  <si>
    <t>StdDev</t>
  </si>
  <si>
    <t>Num of tabs</t>
  </si>
  <si>
    <t>sqrtN</t>
  </si>
  <si>
    <t>ModifiedFCS</t>
  </si>
  <si>
    <t>Simple Cycle Separator</t>
  </si>
  <si>
    <t>./input_data/cylinder/symm/1.txt</t>
  </si>
  <si>
    <t>./input_data/cylinder/symm/2.txt</t>
  </si>
  <si>
    <t>./input_data/cylinder/symm/3.txt</t>
  </si>
  <si>
    <t>./input_data/cylinder/symm/4.txt</t>
  </si>
  <si>
    <t>./input_data/cylinder/symm/5.txt</t>
  </si>
  <si>
    <t>./input_data/cylinder/symm/6.txt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</si>
</sst>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24"/>
      <color rgb="FF000000"/>
      <name val="System Font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Symmetric</a:t>
            </a:r>
            <a:r>
              <a:rPr lang="en-US" sz="1800" baseline="0"/>
              <a:t> Cylinder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Summary!$C$4:$C$8</c:f>
              <c:numCache>
                <c:formatCode>0.00</c:formatCode>
                <c:ptCount val="5"/>
                <c:pt idx="0">
                  <c:v>4.6875</c:v>
                </c:pt>
                <c:pt idx="1">
                  <c:v>4.6875</c:v>
                </c:pt>
                <c:pt idx="2">
                  <c:v>4.5</c:v>
                </c:pt>
                <c:pt idx="3">
                  <c:v>4.03125</c:v>
                </c:pt>
                <c:pt idx="4">
                  <c:v>4.78125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1-EF49-8002-C54D657629B1}"/>
            </c:ext>
          </c:extLst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Summary!$E$4:$E$8</c:f>
              <c:numCache>
                <c:formatCode>General</c:formatCode>
                <c:ptCount val="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F1-EF49-8002-C54D657629B1}"/>
            </c:ext>
          </c:extLst>
        </c:ser>
        <c:ser>
          <c:idx val="4"/>
          <c:order val="2"/>
          <c:tx>
            <c:strRef>
              <c:f>Summary!$G$2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Summary!$G$4:$G$8</c:f>
              <c:numCache>
                <c:formatCode>General</c:formatCode>
                <c:ptCount val="5"/>
                <c:pt idx="0">
                  <c:v>4.34375</c:v>
                </c:pt>
                <c:pt idx="1">
                  <c:v>4.78125</c:v>
                </c:pt>
                <c:pt idx="2">
                  <c:v>4.90625</c:v>
                </c:pt>
                <c:pt idx="3">
                  <c:v>5.0625</c:v>
                </c:pt>
                <c:pt idx="4">
                  <c:v>4.59375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F1-EF49-8002-C54D657629B1}"/>
            </c:ext>
          </c:extLst>
        </c:ser>
        <c:ser>
          <c:idx val="2"/>
          <c:order val="3"/>
          <c:tx>
            <c:strRef>
              <c:f>Summary!$I$2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Summary!$I$4:$I$8</c:f>
              <c:numCache>
                <c:formatCode>General</c:formatCode>
                <c:ptCount val="5"/>
                <c:pt idx="0">
                  <c:v>4.6875</c:v>
                </c:pt>
                <c:pt idx="1">
                  <c:v>4.6875</c:v>
                </c:pt>
                <c:pt idx="2">
                  <c:v>4.5</c:v>
                </c:pt>
                <c:pt idx="3">
                  <c:v>4.03125</c:v>
                </c:pt>
                <c:pt idx="4">
                  <c:v>4.78125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F1-EF49-8002-C54D657629B1}"/>
            </c:ext>
          </c:extLst>
        </c:ser>
        <c:ser>
          <c:idx val="5"/>
          <c:order val="4"/>
          <c:tx>
            <c:strRef>
              <c:f>Summary!$K$2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Summary!$K$4:$K$8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F1-EF49-8002-C54D657629B1}"/>
            </c:ext>
          </c:extLst>
        </c:ser>
        <c:ser>
          <c:idx val="3"/>
          <c:order val="5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Summary!$B$4:$B$8</c:f>
              <c:numCache>
                <c:formatCode>0.000</c:formatCode>
                <c:ptCount val="5"/>
                <c:pt idx="0">
                  <c:v>5.7445626465380286</c:v>
                </c:pt>
                <c:pt idx="1">
                  <c:v>17.406895185529212</c:v>
                </c:pt>
                <c:pt idx="2">
                  <c:v>54.799635035281028</c:v>
                </c:pt>
                <c:pt idx="3">
                  <c:v>173.21374079443004</c:v>
                </c:pt>
                <c:pt idx="4">
                  <c:v>547.72529611110713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F1-EF49-8002-C54D65762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Separator Size (# 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u="none" strike="noStrike" baseline="0">
                <a:effectLst/>
              </a:rPr>
              <a:t>Symmetric</a:t>
            </a:r>
            <a:r>
              <a:rPr lang="en-US" sz="1800" b="0" i="0" u="none" strike="noStrike" baseline="0"/>
              <a:t> </a:t>
            </a:r>
            <a:r>
              <a:rPr lang="en-US" sz="1800" b="0" i="0" baseline="0">
                <a:effectLst/>
              </a:rPr>
              <a:t>Cylinder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Summary!$M$2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Summary!$M$4:$M$8</c:f>
              <c:numCache>
                <c:formatCode>General</c:formatCode>
                <c:ptCount val="5"/>
                <c:pt idx="0">
                  <c:v>1.0937518750000002</c:v>
                </c:pt>
                <c:pt idx="1">
                  <c:v>1.0110306250000001</c:v>
                </c:pt>
                <c:pt idx="2">
                  <c:v>1.0009999999999997</c:v>
                </c:pt>
                <c:pt idx="3">
                  <c:v>1.0000687499999998</c:v>
                </c:pt>
                <c:pt idx="4">
                  <c:v>1.0000118749999998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9-B64B-924F-B6B72EAF0BF2}"/>
            </c:ext>
          </c:extLst>
        </c:ser>
        <c:ser>
          <c:idx val="1"/>
          <c:order val="1"/>
          <c:tx>
            <c:strRef>
              <c:f>Summary!$O$2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Summary!$O$4:$O$8</c:f>
              <c:numCache>
                <c:formatCode>General</c:formatCode>
                <c:ptCount val="5"/>
                <c:pt idx="0">
                  <c:v>1.6000000000000008</c:v>
                </c:pt>
                <c:pt idx="1">
                  <c:v>1.9428600000000014</c:v>
                </c:pt>
                <c:pt idx="2">
                  <c:v>1.9940300000000009</c:v>
                </c:pt>
                <c:pt idx="3">
                  <c:v>1.999400000000001</c:v>
                </c:pt>
                <c:pt idx="4">
                  <c:v>1.9999400000000009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A9-B64B-924F-B6B72EAF0BF2}"/>
            </c:ext>
          </c:extLst>
        </c:ser>
        <c:ser>
          <c:idx val="4"/>
          <c:order val="2"/>
          <c:tx>
            <c:strRef>
              <c:f>Summary!$Q$2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Summary!$Q$4:$Q$8</c:f>
              <c:numCache>
                <c:formatCode>General</c:formatCode>
                <c:ptCount val="5"/>
                <c:pt idx="0">
                  <c:v>1.5486631249999996</c:v>
                </c:pt>
                <c:pt idx="1">
                  <c:v>1.8667646874999999</c:v>
                </c:pt>
                <c:pt idx="2">
                  <c:v>1.8630384375000006</c:v>
                </c:pt>
                <c:pt idx="3">
                  <c:v>1.8748943750000007</c:v>
                </c:pt>
                <c:pt idx="4">
                  <c:v>1.8065090625000007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A9-B64B-924F-B6B72EAF0BF2}"/>
            </c:ext>
          </c:extLst>
        </c:ser>
        <c:ser>
          <c:idx val="2"/>
          <c:order val="3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Summary!$S$4:$S$8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A9-B64B-924F-B6B72EAF0BF2}"/>
            </c:ext>
          </c:extLst>
        </c:ser>
        <c:ser>
          <c:idx val="5"/>
          <c:order val="4"/>
          <c:tx>
            <c:strRef>
              <c:f>Summary!$U$2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Summary!$U$4:$U$8</c:f>
              <c:numCache>
                <c:formatCode>General</c:formatCode>
                <c:ptCount val="5"/>
                <c:pt idx="0">
                  <c:v>1.1764699999999995</c:v>
                </c:pt>
                <c:pt idx="1">
                  <c:v>1.8691600000000006</c:v>
                </c:pt>
                <c:pt idx="2">
                  <c:v>1.9861000000000002</c:v>
                </c:pt>
                <c:pt idx="3">
                  <c:v>1.9986000000000015</c:v>
                </c:pt>
                <c:pt idx="4">
                  <c:v>1.9998599999999986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A9-B64B-924F-B6B72EAF0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Balance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  <c:majorUnit val="0.2"/>
        <c:min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u="none" strike="noStrike" baseline="0">
                <a:effectLst/>
              </a:rPr>
              <a:t>Symmetric</a:t>
            </a:r>
            <a:r>
              <a:rPr lang="en-US" sz="1800" b="0" i="0" baseline="0">
                <a:effectLst/>
              </a:rPr>
              <a:t> Cylinder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Summary!$W$2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Summary!$W$4:$W$8</c:f>
              <c:numCache>
                <c:formatCode>General</c:formatCode>
                <c:ptCount val="5"/>
                <c:pt idx="0">
                  <c:v>1.125</c:v>
                </c:pt>
                <c:pt idx="1">
                  <c:v>1.809375</c:v>
                </c:pt>
                <c:pt idx="2">
                  <c:v>7.9534374999999997</c:v>
                </c:pt>
                <c:pt idx="3">
                  <c:v>51.369062499999991</c:v>
                </c:pt>
                <c:pt idx="4">
                  <c:v>784.89718749999997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5-F94F-81F8-52B22D25E98A}"/>
            </c:ext>
          </c:extLst>
        </c:ser>
        <c:ser>
          <c:idx val="1"/>
          <c:order val="1"/>
          <c:tx>
            <c:strRef>
              <c:f>Summary!$Y$2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Summary!$Y$4:$Y$8</c:f>
              <c:numCache>
                <c:formatCode>General</c:formatCode>
                <c:ptCount val="5"/>
                <c:pt idx="0">
                  <c:v>1.1796875000000002</c:v>
                </c:pt>
                <c:pt idx="1">
                  <c:v>3.7181249999999997</c:v>
                </c:pt>
                <c:pt idx="2">
                  <c:v>16.641875000000002</c:v>
                </c:pt>
                <c:pt idx="3">
                  <c:v>120.22906250000003</c:v>
                </c:pt>
                <c:pt idx="4">
                  <c:v>1650.6456250000001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5-F94F-81F8-52B22D25E98A}"/>
            </c:ext>
          </c:extLst>
        </c:ser>
        <c:ser>
          <c:idx val="4"/>
          <c:order val="2"/>
          <c:tx>
            <c:strRef>
              <c:f>Summary!$AA$2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Summary!$AA$4:$AA$8</c:f>
              <c:numCache>
                <c:formatCode>General</c:formatCode>
                <c:ptCount val="5"/>
                <c:pt idx="0">
                  <c:v>1.1887500000000002</c:v>
                </c:pt>
                <c:pt idx="1">
                  <c:v>7.7162499999999996</c:v>
                </c:pt>
                <c:pt idx="2">
                  <c:v>22.973749999999995</c:v>
                </c:pt>
                <c:pt idx="3">
                  <c:v>187.38343750000004</c:v>
                </c:pt>
                <c:pt idx="4">
                  <c:v>2411.7903124999998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5-F94F-81F8-52B22D25E98A}"/>
            </c:ext>
          </c:extLst>
        </c:ser>
        <c:ser>
          <c:idx val="2"/>
          <c:order val="3"/>
          <c:tx>
            <c:strRef>
              <c:f>Summary!$AC$2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Summary!$AC$4:$AC$8</c:f>
              <c:numCache>
                <c:formatCode>General</c:formatCode>
                <c:ptCount val="5"/>
                <c:pt idx="0">
                  <c:v>0.90125000000000022</c:v>
                </c:pt>
                <c:pt idx="1">
                  <c:v>2.8853125000000004</c:v>
                </c:pt>
                <c:pt idx="2">
                  <c:v>15.456562500000002</c:v>
                </c:pt>
                <c:pt idx="3">
                  <c:v>79.341875000000016</c:v>
                </c:pt>
                <c:pt idx="4">
                  <c:v>1029.2037499999999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5-F94F-81F8-52B22D25E98A}"/>
            </c:ext>
          </c:extLst>
        </c:ser>
        <c:ser>
          <c:idx val="5"/>
          <c:order val="4"/>
          <c:tx>
            <c:strRef>
              <c:f>Summary!$AE$2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Summary!$AE$4:$AE$8</c:f>
              <c:numCache>
                <c:formatCode>General</c:formatCode>
                <c:ptCount val="5"/>
                <c:pt idx="0">
                  <c:v>1.858125</c:v>
                </c:pt>
                <c:pt idx="1">
                  <c:v>9.1171875</c:v>
                </c:pt>
                <c:pt idx="2">
                  <c:v>38.222500000000004</c:v>
                </c:pt>
                <c:pt idx="3">
                  <c:v>248.43437499999999</c:v>
                </c:pt>
                <c:pt idx="4">
                  <c:v>3434.4762500000002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5-F94F-81F8-52B22D25E98A}"/>
            </c:ext>
          </c:extLst>
        </c:ser>
        <c:ser>
          <c:idx val="3"/>
          <c:order val="5"/>
          <c:tx>
            <c:v>Linear</c:v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Summary!$A$4:$A$8</c:f>
              <c:numCache>
                <c:formatCode>General</c:formatCode>
                <c:ptCount val="5"/>
                <c:pt idx="0">
                  <c:v>33</c:v>
                </c:pt>
                <c:pt idx="1">
                  <c:v>303</c:v>
                </c:pt>
                <c:pt idx="2">
                  <c:v>3003</c:v>
                </c:pt>
                <c:pt idx="3">
                  <c:v>30003</c:v>
                </c:pt>
                <c:pt idx="4">
                  <c:v>300003</c:v>
                </c:pt>
              </c:numCache>
            </c:numRef>
          </c:xVal>
          <c:yVal>
            <c:numRef>
              <c:f>Summary!$AH$4:$AH$8</c:f>
              <c:numCache>
                <c:formatCode>General</c:formatCode>
                <c:ptCount val="5"/>
                <c:pt idx="0">
                  <c:v>1.1000000000000001</c:v>
                </c:pt>
                <c:pt idx="1">
                  <c:v>10.1</c:v>
                </c:pt>
                <c:pt idx="2">
                  <c:v>100.1</c:v>
                </c:pt>
                <c:pt idx="3">
                  <c:v>1000.1</c:v>
                </c:pt>
                <c:pt idx="4">
                  <c:v>10000.1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F5-F94F-81F8-52B22D25E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Runtime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2</xdr:row>
          <xdr:rowOff>12700</xdr:rowOff>
        </xdr:from>
        <xdr:to>
          <xdr:col>36</xdr:col>
          <xdr:colOff>457200</xdr:colOff>
          <xdr:row>6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9</xdr:row>
      <xdr:rowOff>0</xdr:rowOff>
    </xdr:from>
    <xdr:to>
      <xdr:col>10</xdr:col>
      <xdr:colOff>419100</xdr:colOff>
      <xdr:row>31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9</xdr:row>
      <xdr:rowOff>0</xdr:rowOff>
    </xdr:from>
    <xdr:to>
      <xdr:col>20</xdr:col>
      <xdr:colOff>165100</xdr:colOff>
      <xdr:row>31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9</xdr:row>
      <xdr:rowOff>0</xdr:rowOff>
    </xdr:from>
    <xdr:to>
      <xdr:col>31</xdr:col>
      <xdr:colOff>165100</xdr:colOff>
      <xdr:row>31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4"/>
  <sheetViews>
    <sheetView topLeftCell="A6"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33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6</v>
      </c>
      <c r="C5">
        <v>1.1666700000000001</v>
      </c>
      <c r="D5">
        <v>10.45</v>
      </c>
      <c r="E5">
        <v>6</v>
      </c>
      <c r="F5">
        <v>1.6</v>
      </c>
      <c r="G5">
        <v>3.91</v>
      </c>
      <c r="H5">
        <v>3</v>
      </c>
      <c r="I5">
        <v>1</v>
      </c>
      <c r="J5">
        <v>3.04</v>
      </c>
      <c r="K5">
        <v>6</v>
      </c>
      <c r="L5">
        <v>1</v>
      </c>
      <c r="M5">
        <v>1.1499999999999999</v>
      </c>
      <c r="N5">
        <v>4</v>
      </c>
      <c r="O5">
        <v>1.1764699999999999</v>
      </c>
      <c r="P5">
        <v>3.4</v>
      </c>
    </row>
    <row r="6" spans="1:16">
      <c r="A6">
        <v>1</v>
      </c>
      <c r="B6">
        <v>6</v>
      </c>
      <c r="C6">
        <v>1.1666700000000001</v>
      </c>
      <c r="D6">
        <v>0.57999999999999996</v>
      </c>
      <c r="E6">
        <v>6</v>
      </c>
      <c r="F6">
        <v>1.6</v>
      </c>
      <c r="G6">
        <v>0.87</v>
      </c>
      <c r="H6">
        <v>4</v>
      </c>
      <c r="I6">
        <v>1.64286</v>
      </c>
      <c r="J6">
        <v>1.07</v>
      </c>
      <c r="K6">
        <v>6</v>
      </c>
      <c r="L6">
        <v>1</v>
      </c>
      <c r="M6">
        <v>0.7</v>
      </c>
      <c r="N6">
        <v>4</v>
      </c>
      <c r="O6">
        <v>1.1764699999999999</v>
      </c>
      <c r="P6">
        <v>3.42</v>
      </c>
    </row>
    <row r="7" spans="1:16">
      <c r="A7">
        <v>2</v>
      </c>
      <c r="B7">
        <v>6</v>
      </c>
      <c r="C7">
        <v>1.1666700000000001</v>
      </c>
      <c r="D7">
        <v>0.47</v>
      </c>
      <c r="E7">
        <v>6</v>
      </c>
      <c r="F7">
        <v>1.6</v>
      </c>
      <c r="G7">
        <v>1.32</v>
      </c>
      <c r="H7">
        <v>3</v>
      </c>
      <c r="I7">
        <v>1.4</v>
      </c>
      <c r="J7">
        <v>0.86</v>
      </c>
      <c r="K7">
        <v>6</v>
      </c>
      <c r="L7">
        <v>1</v>
      </c>
      <c r="M7">
        <v>0.72</v>
      </c>
      <c r="N7">
        <v>4</v>
      </c>
      <c r="O7">
        <v>1.1764699999999999</v>
      </c>
      <c r="P7">
        <v>1.76</v>
      </c>
    </row>
    <row r="8" spans="1:16">
      <c r="A8">
        <v>3</v>
      </c>
      <c r="B8">
        <v>3</v>
      </c>
      <c r="C8">
        <v>1</v>
      </c>
      <c r="D8">
        <v>0.44</v>
      </c>
      <c r="E8">
        <v>6</v>
      </c>
      <c r="F8">
        <v>1.6</v>
      </c>
      <c r="G8">
        <v>1.18</v>
      </c>
      <c r="H8">
        <v>5</v>
      </c>
      <c r="I8">
        <v>1.7142900000000001</v>
      </c>
      <c r="J8">
        <v>1.0900000000000001</v>
      </c>
      <c r="K8">
        <v>3</v>
      </c>
      <c r="L8">
        <v>1</v>
      </c>
      <c r="M8">
        <v>1.08</v>
      </c>
      <c r="N8">
        <v>4</v>
      </c>
      <c r="O8">
        <v>1.1764699999999999</v>
      </c>
      <c r="P8">
        <v>1.74</v>
      </c>
    </row>
    <row r="9" spans="1:16">
      <c r="A9">
        <v>4</v>
      </c>
      <c r="B9">
        <v>3</v>
      </c>
      <c r="C9">
        <v>1</v>
      </c>
      <c r="D9">
        <v>0.35</v>
      </c>
      <c r="E9">
        <v>6</v>
      </c>
      <c r="F9">
        <v>1.6</v>
      </c>
      <c r="G9">
        <v>0.84</v>
      </c>
      <c r="H9">
        <v>5</v>
      </c>
      <c r="I9">
        <v>1.7142900000000001</v>
      </c>
      <c r="J9">
        <v>1.03</v>
      </c>
      <c r="K9">
        <v>3</v>
      </c>
      <c r="L9">
        <v>1</v>
      </c>
      <c r="M9">
        <v>0.71</v>
      </c>
      <c r="N9">
        <v>4</v>
      </c>
      <c r="O9">
        <v>1.1764699999999999</v>
      </c>
      <c r="P9">
        <v>1.41</v>
      </c>
    </row>
    <row r="10" spans="1:16">
      <c r="A10">
        <v>5</v>
      </c>
      <c r="B10">
        <v>6</v>
      </c>
      <c r="C10">
        <v>1.1666700000000001</v>
      </c>
      <c r="D10">
        <v>0.38</v>
      </c>
      <c r="E10">
        <v>6</v>
      </c>
      <c r="F10">
        <v>1.6</v>
      </c>
      <c r="G10">
        <v>0.87</v>
      </c>
      <c r="H10">
        <v>4</v>
      </c>
      <c r="I10">
        <v>1.4666699999999999</v>
      </c>
      <c r="J10">
        <v>2.2999999999999998</v>
      </c>
      <c r="K10">
        <v>6</v>
      </c>
      <c r="L10">
        <v>1</v>
      </c>
      <c r="M10">
        <v>0.64</v>
      </c>
      <c r="N10">
        <v>4</v>
      </c>
      <c r="O10">
        <v>1.1764699999999999</v>
      </c>
      <c r="P10">
        <v>1.93</v>
      </c>
    </row>
    <row r="11" spans="1:16">
      <c r="A11">
        <v>6</v>
      </c>
      <c r="B11">
        <v>6</v>
      </c>
      <c r="C11">
        <v>1.1666700000000001</v>
      </c>
      <c r="D11">
        <v>0.47</v>
      </c>
      <c r="E11">
        <v>6</v>
      </c>
      <c r="F11">
        <v>1.6</v>
      </c>
      <c r="G11">
        <v>1.51</v>
      </c>
      <c r="H11">
        <v>4</v>
      </c>
      <c r="I11">
        <v>1.4666699999999999</v>
      </c>
      <c r="J11">
        <v>1.6</v>
      </c>
      <c r="K11">
        <v>6</v>
      </c>
      <c r="L11">
        <v>1</v>
      </c>
      <c r="M11">
        <v>0.57999999999999996</v>
      </c>
      <c r="N11">
        <v>4</v>
      </c>
      <c r="O11">
        <v>1.1764699999999999</v>
      </c>
      <c r="P11">
        <v>2.19</v>
      </c>
    </row>
    <row r="12" spans="1:16">
      <c r="A12">
        <v>7</v>
      </c>
      <c r="B12">
        <v>6</v>
      </c>
      <c r="C12">
        <v>1.1666700000000001</v>
      </c>
      <c r="D12">
        <v>0.42</v>
      </c>
      <c r="E12">
        <v>6</v>
      </c>
      <c r="F12">
        <v>1.6</v>
      </c>
      <c r="G12">
        <v>1.02</v>
      </c>
      <c r="H12">
        <v>4</v>
      </c>
      <c r="I12">
        <v>1.4666699999999999</v>
      </c>
      <c r="J12">
        <v>1.08</v>
      </c>
      <c r="K12">
        <v>6</v>
      </c>
      <c r="L12">
        <v>1</v>
      </c>
      <c r="M12">
        <v>0.49</v>
      </c>
      <c r="N12">
        <v>4</v>
      </c>
      <c r="O12">
        <v>1.1764699999999999</v>
      </c>
      <c r="P12">
        <v>1.31</v>
      </c>
    </row>
    <row r="13" spans="1:16">
      <c r="A13">
        <v>8</v>
      </c>
      <c r="B13">
        <v>6</v>
      </c>
      <c r="C13">
        <v>1.1666700000000001</v>
      </c>
      <c r="D13">
        <v>0.42</v>
      </c>
      <c r="E13">
        <v>6</v>
      </c>
      <c r="F13">
        <v>1.6</v>
      </c>
      <c r="G13">
        <v>0.68</v>
      </c>
      <c r="H13">
        <v>3</v>
      </c>
      <c r="I13">
        <v>1.4</v>
      </c>
      <c r="J13">
        <v>3.37</v>
      </c>
      <c r="K13">
        <v>6</v>
      </c>
      <c r="L13">
        <v>1</v>
      </c>
      <c r="M13">
        <v>0.32</v>
      </c>
      <c r="N13">
        <v>4</v>
      </c>
      <c r="O13">
        <v>1.1764699999999999</v>
      </c>
      <c r="P13">
        <v>2.14</v>
      </c>
    </row>
    <row r="14" spans="1:16">
      <c r="A14">
        <v>9</v>
      </c>
      <c r="B14">
        <v>3</v>
      </c>
      <c r="C14">
        <v>1</v>
      </c>
      <c r="D14">
        <v>0.36</v>
      </c>
      <c r="E14">
        <v>6</v>
      </c>
      <c r="F14">
        <v>1.6</v>
      </c>
      <c r="G14">
        <v>0.62</v>
      </c>
      <c r="H14">
        <v>6</v>
      </c>
      <c r="I14">
        <v>1.6</v>
      </c>
      <c r="J14">
        <v>0.85</v>
      </c>
      <c r="K14">
        <v>3</v>
      </c>
      <c r="L14">
        <v>1</v>
      </c>
      <c r="M14">
        <v>0.44</v>
      </c>
      <c r="N14">
        <v>4</v>
      </c>
      <c r="O14">
        <v>1.1764699999999999</v>
      </c>
      <c r="P14">
        <v>0.9</v>
      </c>
    </row>
    <row r="15" spans="1:16">
      <c r="A15">
        <v>10</v>
      </c>
      <c r="B15">
        <v>6</v>
      </c>
      <c r="C15">
        <v>1.1666700000000001</v>
      </c>
      <c r="D15">
        <v>0.27</v>
      </c>
      <c r="E15">
        <v>6</v>
      </c>
      <c r="F15">
        <v>1.6</v>
      </c>
      <c r="G15">
        <v>0.44</v>
      </c>
      <c r="H15">
        <v>3</v>
      </c>
      <c r="I15">
        <v>1.4</v>
      </c>
      <c r="J15">
        <v>0.68</v>
      </c>
      <c r="K15">
        <v>6</v>
      </c>
      <c r="L15">
        <v>1</v>
      </c>
      <c r="M15">
        <v>0.6</v>
      </c>
      <c r="N15">
        <v>4</v>
      </c>
      <c r="O15">
        <v>1.1764699999999999</v>
      </c>
      <c r="P15">
        <v>1.19</v>
      </c>
    </row>
    <row r="16" spans="1:16">
      <c r="A16">
        <v>11</v>
      </c>
      <c r="B16">
        <v>3</v>
      </c>
      <c r="C16">
        <v>1</v>
      </c>
      <c r="D16">
        <v>0.32</v>
      </c>
      <c r="E16">
        <v>6</v>
      </c>
      <c r="F16">
        <v>1.6</v>
      </c>
      <c r="G16">
        <v>0.64</v>
      </c>
      <c r="H16">
        <v>5</v>
      </c>
      <c r="I16">
        <v>1.7142900000000001</v>
      </c>
      <c r="J16">
        <v>1.2</v>
      </c>
      <c r="K16">
        <v>3</v>
      </c>
      <c r="L16">
        <v>1</v>
      </c>
      <c r="M16">
        <v>1.06</v>
      </c>
      <c r="N16">
        <v>4</v>
      </c>
      <c r="O16">
        <v>1.1764699999999999</v>
      </c>
      <c r="P16">
        <v>1.42</v>
      </c>
    </row>
    <row r="17" spans="1:16">
      <c r="A17">
        <v>12</v>
      </c>
      <c r="B17">
        <v>6</v>
      </c>
      <c r="C17">
        <v>1.1666700000000001</v>
      </c>
      <c r="D17">
        <v>6.38</v>
      </c>
      <c r="E17">
        <v>6</v>
      </c>
      <c r="F17">
        <v>1.6</v>
      </c>
      <c r="G17">
        <v>0.75</v>
      </c>
      <c r="H17">
        <v>4</v>
      </c>
      <c r="I17">
        <v>1.4666699999999999</v>
      </c>
      <c r="J17">
        <v>1.03</v>
      </c>
      <c r="K17">
        <v>6</v>
      </c>
      <c r="L17">
        <v>1</v>
      </c>
      <c r="M17">
        <v>0.49</v>
      </c>
      <c r="N17">
        <v>4</v>
      </c>
      <c r="O17">
        <v>1.1764699999999999</v>
      </c>
      <c r="P17">
        <v>1.23</v>
      </c>
    </row>
    <row r="18" spans="1:16">
      <c r="A18">
        <v>13</v>
      </c>
      <c r="B18">
        <v>3</v>
      </c>
      <c r="C18">
        <v>1</v>
      </c>
      <c r="D18">
        <v>0.34</v>
      </c>
      <c r="E18">
        <v>6</v>
      </c>
      <c r="F18">
        <v>1.6</v>
      </c>
      <c r="G18">
        <v>3.2</v>
      </c>
      <c r="H18">
        <v>5</v>
      </c>
      <c r="I18">
        <v>1.7142900000000001</v>
      </c>
      <c r="J18">
        <v>0.89</v>
      </c>
      <c r="K18">
        <v>3</v>
      </c>
      <c r="L18">
        <v>1</v>
      </c>
      <c r="M18">
        <v>8.82</v>
      </c>
      <c r="N18">
        <v>4</v>
      </c>
      <c r="O18">
        <v>1.1764699999999999</v>
      </c>
      <c r="P18">
        <v>1.42</v>
      </c>
    </row>
    <row r="19" spans="1:16">
      <c r="A19">
        <v>14</v>
      </c>
      <c r="B19">
        <v>3</v>
      </c>
      <c r="C19">
        <v>1</v>
      </c>
      <c r="D19">
        <v>0.39</v>
      </c>
      <c r="E19">
        <v>6</v>
      </c>
      <c r="F19">
        <v>1.6</v>
      </c>
      <c r="G19">
        <v>0.64</v>
      </c>
      <c r="H19">
        <v>5</v>
      </c>
      <c r="I19">
        <v>1.7142900000000001</v>
      </c>
      <c r="J19">
        <v>1.97</v>
      </c>
      <c r="K19">
        <v>3</v>
      </c>
      <c r="L19">
        <v>1</v>
      </c>
      <c r="M19">
        <v>0.49</v>
      </c>
      <c r="N19">
        <v>4</v>
      </c>
      <c r="O19">
        <v>1.1764699999999999</v>
      </c>
      <c r="P19">
        <v>0.97</v>
      </c>
    </row>
    <row r="20" spans="1:16">
      <c r="A20">
        <v>15</v>
      </c>
      <c r="B20">
        <v>6</v>
      </c>
      <c r="C20">
        <v>1.1666700000000001</v>
      </c>
      <c r="D20">
        <v>0.31</v>
      </c>
      <c r="E20">
        <v>6</v>
      </c>
      <c r="F20">
        <v>1.6</v>
      </c>
      <c r="G20">
        <v>0.54</v>
      </c>
      <c r="H20">
        <v>4</v>
      </c>
      <c r="I20">
        <v>1.64286</v>
      </c>
      <c r="J20">
        <v>0.73</v>
      </c>
      <c r="K20">
        <v>6</v>
      </c>
      <c r="L20">
        <v>1</v>
      </c>
      <c r="M20">
        <v>0.45</v>
      </c>
      <c r="N20">
        <v>4</v>
      </c>
      <c r="O20">
        <v>1.1764699999999999</v>
      </c>
      <c r="P20">
        <v>0.95</v>
      </c>
    </row>
    <row r="21" spans="1:16">
      <c r="A21">
        <v>16</v>
      </c>
      <c r="B21">
        <v>6</v>
      </c>
      <c r="C21">
        <v>1.1666700000000001</v>
      </c>
      <c r="D21">
        <v>0.31</v>
      </c>
      <c r="E21">
        <v>6</v>
      </c>
      <c r="F21">
        <v>1.6</v>
      </c>
      <c r="G21">
        <v>0.56999999999999995</v>
      </c>
      <c r="H21">
        <v>3</v>
      </c>
      <c r="I21">
        <v>1.4</v>
      </c>
      <c r="J21">
        <v>0.9</v>
      </c>
      <c r="K21">
        <v>6</v>
      </c>
      <c r="L21">
        <v>1</v>
      </c>
      <c r="M21">
        <v>0.39</v>
      </c>
      <c r="N21">
        <v>4</v>
      </c>
      <c r="O21">
        <v>1.1764699999999999</v>
      </c>
      <c r="P21">
        <v>1.01</v>
      </c>
    </row>
    <row r="22" spans="1:16">
      <c r="A22">
        <v>17</v>
      </c>
      <c r="B22">
        <v>3</v>
      </c>
      <c r="C22">
        <v>1</v>
      </c>
      <c r="D22">
        <v>0.27</v>
      </c>
      <c r="E22">
        <v>6</v>
      </c>
      <c r="F22">
        <v>1.6</v>
      </c>
      <c r="G22">
        <v>0.64</v>
      </c>
      <c r="H22">
        <v>5</v>
      </c>
      <c r="I22">
        <v>1.7142900000000001</v>
      </c>
      <c r="J22">
        <v>1.23</v>
      </c>
      <c r="K22">
        <v>3</v>
      </c>
      <c r="L22">
        <v>1</v>
      </c>
      <c r="M22">
        <v>0.39</v>
      </c>
      <c r="N22">
        <v>4</v>
      </c>
      <c r="O22">
        <v>1.1764699999999999</v>
      </c>
      <c r="P22">
        <v>0.98</v>
      </c>
    </row>
    <row r="23" spans="1:16">
      <c r="A23">
        <v>18</v>
      </c>
      <c r="B23">
        <v>3</v>
      </c>
      <c r="C23">
        <v>1</v>
      </c>
      <c r="D23">
        <v>0.27</v>
      </c>
      <c r="E23">
        <v>6</v>
      </c>
      <c r="F23">
        <v>1.6</v>
      </c>
      <c r="G23">
        <v>0.56000000000000005</v>
      </c>
      <c r="H23">
        <v>6</v>
      </c>
      <c r="I23">
        <v>1.6</v>
      </c>
      <c r="J23">
        <v>0.55000000000000004</v>
      </c>
      <c r="K23">
        <v>3</v>
      </c>
      <c r="L23">
        <v>1</v>
      </c>
      <c r="M23">
        <v>0.42</v>
      </c>
      <c r="N23">
        <v>4</v>
      </c>
      <c r="O23">
        <v>1.1764699999999999</v>
      </c>
      <c r="P23">
        <v>1.07</v>
      </c>
    </row>
    <row r="24" spans="1:16">
      <c r="A24">
        <v>19</v>
      </c>
      <c r="B24">
        <v>3</v>
      </c>
      <c r="C24">
        <v>1</v>
      </c>
      <c r="D24">
        <v>1.42</v>
      </c>
      <c r="E24">
        <v>6</v>
      </c>
      <c r="F24">
        <v>1.6</v>
      </c>
      <c r="G24">
        <v>0.62</v>
      </c>
      <c r="H24">
        <v>6</v>
      </c>
      <c r="I24">
        <v>1.6</v>
      </c>
      <c r="J24">
        <v>0.69</v>
      </c>
      <c r="K24">
        <v>3</v>
      </c>
      <c r="L24">
        <v>1</v>
      </c>
      <c r="M24">
        <v>0.46</v>
      </c>
      <c r="N24">
        <v>4</v>
      </c>
      <c r="O24">
        <v>1.1764699999999999</v>
      </c>
      <c r="P24">
        <v>5.8</v>
      </c>
    </row>
    <row r="25" spans="1:16">
      <c r="A25">
        <v>20</v>
      </c>
      <c r="B25">
        <v>3</v>
      </c>
      <c r="C25">
        <v>1</v>
      </c>
      <c r="D25">
        <v>0.24</v>
      </c>
      <c r="E25">
        <v>6</v>
      </c>
      <c r="F25">
        <v>1.6</v>
      </c>
      <c r="G25">
        <v>0.44</v>
      </c>
      <c r="H25">
        <v>5</v>
      </c>
      <c r="I25">
        <v>1.7142900000000001</v>
      </c>
      <c r="J25">
        <v>0.59</v>
      </c>
      <c r="K25">
        <v>3</v>
      </c>
      <c r="L25">
        <v>1</v>
      </c>
      <c r="M25">
        <v>1.05</v>
      </c>
      <c r="N25">
        <v>4</v>
      </c>
      <c r="O25">
        <v>1.1764699999999999</v>
      </c>
      <c r="P25">
        <v>0.88</v>
      </c>
    </row>
    <row r="26" spans="1:16">
      <c r="A26">
        <v>21</v>
      </c>
      <c r="B26">
        <v>3</v>
      </c>
      <c r="C26">
        <v>1</v>
      </c>
      <c r="D26">
        <v>0.26</v>
      </c>
      <c r="E26">
        <v>6</v>
      </c>
      <c r="F26">
        <v>1.6</v>
      </c>
      <c r="G26">
        <v>0.52</v>
      </c>
      <c r="H26">
        <v>5</v>
      </c>
      <c r="I26">
        <v>1.7142900000000001</v>
      </c>
      <c r="J26">
        <v>0.65</v>
      </c>
      <c r="K26">
        <v>3</v>
      </c>
      <c r="L26">
        <v>1</v>
      </c>
      <c r="M26">
        <v>0.37</v>
      </c>
      <c r="N26">
        <v>4</v>
      </c>
      <c r="O26">
        <v>1.1764699999999999</v>
      </c>
      <c r="P26">
        <v>0.79</v>
      </c>
    </row>
    <row r="27" spans="1:16">
      <c r="A27">
        <v>22</v>
      </c>
      <c r="B27">
        <v>3</v>
      </c>
      <c r="C27">
        <v>1</v>
      </c>
      <c r="D27">
        <v>0.18</v>
      </c>
      <c r="E27">
        <v>6</v>
      </c>
      <c r="F27">
        <v>1.6</v>
      </c>
      <c r="G27">
        <v>0.4</v>
      </c>
      <c r="H27">
        <v>6</v>
      </c>
      <c r="I27">
        <v>1.6</v>
      </c>
      <c r="J27">
        <v>0.56000000000000005</v>
      </c>
      <c r="K27">
        <v>3</v>
      </c>
      <c r="L27">
        <v>1</v>
      </c>
      <c r="M27">
        <v>0.28000000000000003</v>
      </c>
      <c r="N27">
        <v>4</v>
      </c>
      <c r="O27">
        <v>1.1764699999999999</v>
      </c>
      <c r="P27">
        <v>0.76</v>
      </c>
    </row>
    <row r="28" spans="1:16">
      <c r="A28">
        <v>23</v>
      </c>
      <c r="B28">
        <v>6</v>
      </c>
      <c r="C28">
        <v>1.1666700000000001</v>
      </c>
      <c r="D28">
        <v>0.18</v>
      </c>
      <c r="E28">
        <v>6</v>
      </c>
      <c r="F28">
        <v>1.6</v>
      </c>
      <c r="G28">
        <v>11.14</v>
      </c>
      <c r="H28">
        <v>4</v>
      </c>
      <c r="I28">
        <v>1.64286</v>
      </c>
      <c r="J28">
        <v>0.87</v>
      </c>
      <c r="K28">
        <v>6</v>
      </c>
      <c r="L28">
        <v>1</v>
      </c>
      <c r="M28">
        <v>0.39</v>
      </c>
      <c r="N28">
        <v>4</v>
      </c>
      <c r="O28">
        <v>1.1764699999999999</v>
      </c>
      <c r="P28">
        <v>1.65</v>
      </c>
    </row>
    <row r="29" spans="1:16">
      <c r="A29">
        <v>24</v>
      </c>
      <c r="B29">
        <v>6</v>
      </c>
      <c r="C29">
        <v>1.1666700000000001</v>
      </c>
      <c r="D29">
        <v>0.21</v>
      </c>
      <c r="E29">
        <v>6</v>
      </c>
      <c r="F29">
        <v>1.6</v>
      </c>
      <c r="G29">
        <v>0.42</v>
      </c>
      <c r="H29">
        <v>4</v>
      </c>
      <c r="I29">
        <v>1.4666699999999999</v>
      </c>
      <c r="J29">
        <v>2.44</v>
      </c>
      <c r="K29">
        <v>6</v>
      </c>
      <c r="L29">
        <v>1</v>
      </c>
      <c r="M29">
        <v>0.63</v>
      </c>
      <c r="N29">
        <v>4</v>
      </c>
      <c r="O29">
        <v>1.1764699999999999</v>
      </c>
      <c r="P29">
        <v>2.69</v>
      </c>
    </row>
    <row r="30" spans="1:16">
      <c r="A30">
        <v>25</v>
      </c>
      <c r="B30">
        <v>6</v>
      </c>
      <c r="C30">
        <v>1.1666700000000001</v>
      </c>
      <c r="D30">
        <v>0.19</v>
      </c>
      <c r="E30">
        <v>6</v>
      </c>
      <c r="F30">
        <v>1.6</v>
      </c>
      <c r="G30">
        <v>0.39</v>
      </c>
      <c r="H30">
        <v>3</v>
      </c>
      <c r="I30">
        <v>1</v>
      </c>
      <c r="J30">
        <v>0.57999999999999996</v>
      </c>
      <c r="K30">
        <v>6</v>
      </c>
      <c r="L30">
        <v>1</v>
      </c>
      <c r="M30">
        <v>0.3</v>
      </c>
      <c r="N30">
        <v>4</v>
      </c>
      <c r="O30">
        <v>1.1764699999999999</v>
      </c>
      <c r="P30">
        <v>8.11</v>
      </c>
    </row>
    <row r="31" spans="1:16">
      <c r="A31">
        <v>26</v>
      </c>
      <c r="B31">
        <v>6</v>
      </c>
      <c r="C31">
        <v>1.1666700000000001</v>
      </c>
      <c r="D31">
        <v>2.33</v>
      </c>
      <c r="E31">
        <v>6</v>
      </c>
      <c r="F31">
        <v>1.6</v>
      </c>
      <c r="G31">
        <v>0.52</v>
      </c>
      <c r="H31">
        <v>4</v>
      </c>
      <c r="I31">
        <v>1.64286</v>
      </c>
      <c r="J31">
        <v>1.28</v>
      </c>
      <c r="K31">
        <v>6</v>
      </c>
      <c r="L31">
        <v>1</v>
      </c>
      <c r="M31">
        <v>1.86</v>
      </c>
      <c r="N31">
        <v>4</v>
      </c>
      <c r="O31">
        <v>1.1764699999999999</v>
      </c>
      <c r="P31">
        <v>2.81</v>
      </c>
    </row>
    <row r="32" spans="1:16">
      <c r="A32">
        <v>27</v>
      </c>
      <c r="B32">
        <v>6</v>
      </c>
      <c r="C32">
        <v>1.1666700000000001</v>
      </c>
      <c r="D32">
        <v>0.18</v>
      </c>
      <c r="E32">
        <v>6</v>
      </c>
      <c r="F32">
        <v>1.6</v>
      </c>
      <c r="G32">
        <v>0.32</v>
      </c>
      <c r="H32">
        <v>4</v>
      </c>
      <c r="I32">
        <v>1.64286</v>
      </c>
      <c r="J32">
        <v>0.57999999999999996</v>
      </c>
      <c r="K32">
        <v>6</v>
      </c>
      <c r="L32">
        <v>1</v>
      </c>
      <c r="M32">
        <v>0.19</v>
      </c>
      <c r="N32">
        <v>4</v>
      </c>
      <c r="O32">
        <v>1.1764699999999999</v>
      </c>
      <c r="P32">
        <v>0.51</v>
      </c>
    </row>
    <row r="33" spans="1:16">
      <c r="A33">
        <v>28</v>
      </c>
      <c r="B33">
        <v>6</v>
      </c>
      <c r="C33">
        <v>1.1666700000000001</v>
      </c>
      <c r="D33">
        <v>0.15</v>
      </c>
      <c r="E33">
        <v>6</v>
      </c>
      <c r="F33">
        <v>1.6</v>
      </c>
      <c r="G33">
        <v>0.38</v>
      </c>
      <c r="H33">
        <v>4</v>
      </c>
      <c r="I33">
        <v>1.4666699999999999</v>
      </c>
      <c r="J33">
        <v>1.35</v>
      </c>
      <c r="K33">
        <v>6</v>
      </c>
      <c r="L33">
        <v>1</v>
      </c>
      <c r="M33">
        <v>0.35</v>
      </c>
      <c r="N33">
        <v>4</v>
      </c>
      <c r="O33">
        <v>1.1764699999999999</v>
      </c>
      <c r="P33">
        <v>0.92</v>
      </c>
    </row>
    <row r="34" spans="1:16">
      <c r="A34">
        <v>29</v>
      </c>
      <c r="B34">
        <v>3</v>
      </c>
      <c r="C34">
        <v>1</v>
      </c>
      <c r="D34">
        <v>0.84</v>
      </c>
      <c r="E34">
        <v>6</v>
      </c>
      <c r="F34">
        <v>1.6</v>
      </c>
      <c r="G34">
        <v>0.73</v>
      </c>
      <c r="H34">
        <v>5</v>
      </c>
      <c r="I34">
        <v>1.7142900000000001</v>
      </c>
      <c r="J34">
        <v>0.63</v>
      </c>
      <c r="K34">
        <v>3</v>
      </c>
      <c r="L34">
        <v>1</v>
      </c>
      <c r="M34">
        <v>1.68</v>
      </c>
      <c r="N34">
        <v>4</v>
      </c>
      <c r="O34">
        <v>1.1764699999999999</v>
      </c>
      <c r="P34">
        <v>2.36</v>
      </c>
    </row>
    <row r="35" spans="1:16">
      <c r="A35">
        <v>30</v>
      </c>
      <c r="B35">
        <v>6</v>
      </c>
      <c r="C35">
        <v>1.1666700000000001</v>
      </c>
      <c r="D35">
        <v>0.26</v>
      </c>
      <c r="E35">
        <v>6</v>
      </c>
      <c r="F35">
        <v>1.6</v>
      </c>
      <c r="G35">
        <v>0.47</v>
      </c>
      <c r="H35">
        <v>3</v>
      </c>
      <c r="I35">
        <v>1.4</v>
      </c>
      <c r="J35">
        <v>0.56999999999999995</v>
      </c>
      <c r="K35">
        <v>6</v>
      </c>
      <c r="L35">
        <v>1</v>
      </c>
      <c r="M35">
        <v>0.31</v>
      </c>
      <c r="N35">
        <v>4</v>
      </c>
      <c r="O35">
        <v>1.1764699999999999</v>
      </c>
      <c r="P35">
        <v>0.75</v>
      </c>
    </row>
    <row r="36" spans="1:16">
      <c r="A36">
        <v>31</v>
      </c>
      <c r="B36">
        <v>3</v>
      </c>
      <c r="C36">
        <v>1</v>
      </c>
      <c r="D36">
        <v>6.36</v>
      </c>
      <c r="E36">
        <v>6</v>
      </c>
      <c r="F36">
        <v>1.6</v>
      </c>
      <c r="G36">
        <v>0.6</v>
      </c>
      <c r="H36">
        <v>5</v>
      </c>
      <c r="I36">
        <v>1.7142900000000001</v>
      </c>
      <c r="J36">
        <v>1.78</v>
      </c>
      <c r="K36">
        <v>3</v>
      </c>
      <c r="L36">
        <v>1</v>
      </c>
      <c r="M36">
        <v>1.03</v>
      </c>
      <c r="N36">
        <v>4</v>
      </c>
      <c r="O36">
        <v>1.1764699999999999</v>
      </c>
      <c r="P36">
        <v>0.99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J40" si="0">MAX(C5:C36)</f>
        <v>1.1666700000000001</v>
      </c>
      <c r="D40" s="1">
        <f t="shared" si="0"/>
        <v>10.45</v>
      </c>
      <c r="E40" s="1">
        <f t="shared" si="0"/>
        <v>6</v>
      </c>
      <c r="F40" s="1">
        <f t="shared" si="0"/>
        <v>1.6</v>
      </c>
      <c r="G40" s="1">
        <f t="shared" si="0"/>
        <v>11.14</v>
      </c>
      <c r="H40" s="1">
        <f t="shared" si="0"/>
        <v>6</v>
      </c>
      <c r="I40" s="1">
        <f t="shared" si="0"/>
        <v>1.7142900000000001</v>
      </c>
      <c r="J40" s="1">
        <f t="shared" si="0"/>
        <v>3.37</v>
      </c>
      <c r="K40" s="1">
        <f t="shared" ref="K40:P40" si="1">MAX(K5:K36)</f>
        <v>6</v>
      </c>
      <c r="L40" s="1">
        <f t="shared" si="1"/>
        <v>1</v>
      </c>
      <c r="M40" s="1">
        <f t="shared" si="1"/>
        <v>8.82</v>
      </c>
      <c r="N40" s="1">
        <f t="shared" si="1"/>
        <v>4</v>
      </c>
      <c r="O40" s="1">
        <f t="shared" si="1"/>
        <v>1.1764699999999999</v>
      </c>
      <c r="P40" s="1">
        <f t="shared" si="1"/>
        <v>8.11</v>
      </c>
    </row>
    <row r="41" spans="1:16">
      <c r="A41" t="s">
        <v>12</v>
      </c>
      <c r="B41" s="1">
        <f>MIN(B5:B36)</f>
        <v>3</v>
      </c>
      <c r="C41" s="1">
        <f t="shared" ref="C41:J41" si="2">MIN(C5:C36)</f>
        <v>1</v>
      </c>
      <c r="D41" s="1">
        <f t="shared" si="2"/>
        <v>0.15</v>
      </c>
      <c r="E41" s="1">
        <f t="shared" si="2"/>
        <v>6</v>
      </c>
      <c r="F41" s="1">
        <f t="shared" si="2"/>
        <v>1.6</v>
      </c>
      <c r="G41" s="1">
        <f t="shared" si="2"/>
        <v>0.32</v>
      </c>
      <c r="H41" s="1">
        <f t="shared" si="2"/>
        <v>3</v>
      </c>
      <c r="I41" s="1">
        <f t="shared" si="2"/>
        <v>1</v>
      </c>
      <c r="J41" s="1">
        <f t="shared" si="2"/>
        <v>0.55000000000000004</v>
      </c>
      <c r="K41" s="1">
        <f t="shared" ref="K41:P41" si="3">MIN(K5:K36)</f>
        <v>3</v>
      </c>
      <c r="L41" s="1">
        <f t="shared" si="3"/>
        <v>1</v>
      </c>
      <c r="M41" s="1">
        <f t="shared" si="3"/>
        <v>0.19</v>
      </c>
      <c r="N41" s="1">
        <f t="shared" si="3"/>
        <v>4</v>
      </c>
      <c r="O41" s="1">
        <f t="shared" si="3"/>
        <v>1.1764699999999999</v>
      </c>
      <c r="P41" s="1">
        <f t="shared" si="3"/>
        <v>0.51</v>
      </c>
    </row>
    <row r="42" spans="1:16">
      <c r="A42" t="s">
        <v>13</v>
      </c>
      <c r="B42" s="1">
        <f>MEDIAN(B5:B36)</f>
        <v>6</v>
      </c>
      <c r="C42" s="1">
        <f t="shared" ref="C42:J42" si="4">MEDIAN(C5:C36)</f>
        <v>1.1666700000000001</v>
      </c>
      <c r="D42" s="1">
        <f t="shared" si="4"/>
        <v>0.34499999999999997</v>
      </c>
      <c r="E42" s="1">
        <f t="shared" si="4"/>
        <v>6</v>
      </c>
      <c r="F42" s="1">
        <f t="shared" si="4"/>
        <v>1.6</v>
      </c>
      <c r="G42" s="1">
        <f t="shared" si="4"/>
        <v>0.63</v>
      </c>
      <c r="H42" s="1">
        <f t="shared" si="4"/>
        <v>4</v>
      </c>
      <c r="I42" s="1">
        <f t="shared" si="4"/>
        <v>1.6</v>
      </c>
      <c r="J42" s="1">
        <f t="shared" si="4"/>
        <v>0.96500000000000008</v>
      </c>
      <c r="K42" s="1">
        <f t="shared" ref="K42:P42" si="5">MEDIAN(K5:K36)</f>
        <v>6</v>
      </c>
      <c r="L42" s="1">
        <f t="shared" si="5"/>
        <v>1</v>
      </c>
      <c r="M42" s="1">
        <f t="shared" si="5"/>
        <v>0.49</v>
      </c>
      <c r="N42" s="1">
        <f t="shared" si="5"/>
        <v>4</v>
      </c>
      <c r="O42" s="1">
        <f t="shared" si="5"/>
        <v>1.1764699999999999</v>
      </c>
      <c r="P42" s="1">
        <f t="shared" si="5"/>
        <v>1.3599999999999999</v>
      </c>
    </row>
    <row r="43" spans="1:16">
      <c r="A43" t="s">
        <v>14</v>
      </c>
      <c r="B43" s="1">
        <f>AVERAGE(B5:B36)</f>
        <v>4.6875</v>
      </c>
      <c r="C43" s="1">
        <f t="shared" ref="C43:J43" si="6">AVERAGE(C5:C36)</f>
        <v>1.0937518750000002</v>
      </c>
      <c r="D43" s="1">
        <f t="shared" si="6"/>
        <v>1.125</v>
      </c>
      <c r="E43" s="1">
        <f t="shared" si="6"/>
        <v>6</v>
      </c>
      <c r="F43" s="1">
        <f t="shared" si="6"/>
        <v>1.6000000000000008</v>
      </c>
      <c r="G43" s="1">
        <f t="shared" si="6"/>
        <v>1.1796875000000002</v>
      </c>
      <c r="H43" s="1">
        <f t="shared" si="6"/>
        <v>4.34375</v>
      </c>
      <c r="I43" s="1">
        <f t="shared" si="6"/>
        <v>1.5486631249999996</v>
      </c>
      <c r="J43" s="1">
        <f t="shared" si="6"/>
        <v>1.1887500000000002</v>
      </c>
      <c r="K43" s="1">
        <f t="shared" ref="K43:P43" si="7">AVERAGE(K5:K36)</f>
        <v>4.6875</v>
      </c>
      <c r="L43" s="1">
        <f t="shared" si="7"/>
        <v>1</v>
      </c>
      <c r="M43" s="1">
        <f t="shared" si="7"/>
        <v>0.90125000000000022</v>
      </c>
      <c r="N43" s="1">
        <f t="shared" si="7"/>
        <v>4</v>
      </c>
      <c r="O43" s="1">
        <f t="shared" si="7"/>
        <v>1.1764699999999995</v>
      </c>
      <c r="P43" s="1">
        <f t="shared" si="7"/>
        <v>1.858125</v>
      </c>
    </row>
    <row r="44" spans="1:16">
      <c r="A44" t="s">
        <v>15</v>
      </c>
      <c r="B44" s="1">
        <f>STDEV(B5:B36)</f>
        <v>1.5120483863225558</v>
      </c>
      <c r="C44" s="1">
        <f t="shared" ref="C44:J44" si="8">STDEV(C5:C36)</f>
        <v>8.4004368182793526E-2</v>
      </c>
      <c r="D44" s="1">
        <f t="shared" si="8"/>
        <v>2.2782435226259499</v>
      </c>
      <c r="E44" s="1">
        <f t="shared" si="8"/>
        <v>0</v>
      </c>
      <c r="F44" s="1">
        <f t="shared" si="8"/>
        <v>6.767926326044664E-16</v>
      </c>
      <c r="G44" s="1">
        <f t="shared" si="8"/>
        <v>1.9715631335354513</v>
      </c>
      <c r="H44" s="1">
        <f t="shared" si="8"/>
        <v>0.97084515891085599</v>
      </c>
      <c r="I44" s="1">
        <f t="shared" si="8"/>
        <v>0.18683553928069557</v>
      </c>
      <c r="J44" s="1">
        <f t="shared" si="8"/>
        <v>0.72601763952622034</v>
      </c>
      <c r="K44" s="1">
        <f t="shared" ref="K44:P44" si="9">STDEV(K5:K36)</f>
        <v>1.5120483863225558</v>
      </c>
      <c r="L44" s="1">
        <f t="shared" si="9"/>
        <v>0</v>
      </c>
      <c r="M44" s="1">
        <f t="shared" si="9"/>
        <v>1.497274405431847</v>
      </c>
      <c r="N44" s="1">
        <f t="shared" si="9"/>
        <v>0</v>
      </c>
      <c r="O44" s="1">
        <f t="shared" si="9"/>
        <v>4.5119508840297763E-16</v>
      </c>
      <c r="P44" s="1">
        <f t="shared" si="9"/>
        <v>1.5647785322015089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22</v>
      </c>
      <c r="C1" t="s">
        <v>1</v>
      </c>
      <c r="D1">
        <v>303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</v>
      </c>
      <c r="C5">
        <v>1</v>
      </c>
      <c r="D5">
        <v>1.62</v>
      </c>
      <c r="E5">
        <v>6</v>
      </c>
      <c r="F5">
        <v>1.94286</v>
      </c>
      <c r="G5">
        <v>8.24</v>
      </c>
      <c r="H5">
        <v>5</v>
      </c>
      <c r="I5">
        <v>1.9615400000000001</v>
      </c>
      <c r="J5">
        <v>14.07</v>
      </c>
      <c r="K5">
        <v>3</v>
      </c>
      <c r="L5">
        <v>1</v>
      </c>
      <c r="M5">
        <v>1.6</v>
      </c>
      <c r="N5">
        <v>4</v>
      </c>
      <c r="O5">
        <v>1.8691599999999999</v>
      </c>
      <c r="P5">
        <v>21.59</v>
      </c>
    </row>
    <row r="6" spans="1:16">
      <c r="A6">
        <v>1</v>
      </c>
      <c r="B6">
        <v>6</v>
      </c>
      <c r="C6">
        <v>1.0196099999999999</v>
      </c>
      <c r="D6">
        <v>3.73</v>
      </c>
      <c r="E6">
        <v>6</v>
      </c>
      <c r="F6">
        <v>1.94286</v>
      </c>
      <c r="G6">
        <v>7.29</v>
      </c>
      <c r="H6">
        <v>3</v>
      </c>
      <c r="I6">
        <v>1.55</v>
      </c>
      <c r="J6">
        <v>6.32</v>
      </c>
      <c r="K6">
        <v>6</v>
      </c>
      <c r="L6">
        <v>1</v>
      </c>
      <c r="M6">
        <v>11.64</v>
      </c>
      <c r="N6">
        <v>4</v>
      </c>
      <c r="O6">
        <v>1.8691599999999999</v>
      </c>
      <c r="P6">
        <v>15.4</v>
      </c>
    </row>
    <row r="7" spans="1:16">
      <c r="A7">
        <v>2</v>
      </c>
      <c r="B7">
        <v>6</v>
      </c>
      <c r="C7">
        <v>1.0196099999999999</v>
      </c>
      <c r="D7">
        <v>4.96</v>
      </c>
      <c r="E7">
        <v>6</v>
      </c>
      <c r="F7">
        <v>1.94286</v>
      </c>
      <c r="G7">
        <v>3.3</v>
      </c>
      <c r="H7">
        <v>3</v>
      </c>
      <c r="I7">
        <v>1.61538</v>
      </c>
      <c r="J7">
        <v>15.56</v>
      </c>
      <c r="K7">
        <v>6</v>
      </c>
      <c r="L7">
        <v>1</v>
      </c>
      <c r="M7">
        <v>11.66</v>
      </c>
      <c r="N7">
        <v>4</v>
      </c>
      <c r="O7">
        <v>1.8691599999999999</v>
      </c>
      <c r="P7">
        <v>8.9600000000000009</v>
      </c>
    </row>
    <row r="8" spans="1:16">
      <c r="A8">
        <v>3</v>
      </c>
      <c r="B8">
        <v>3</v>
      </c>
      <c r="C8">
        <v>1</v>
      </c>
      <c r="D8">
        <v>2.78</v>
      </c>
      <c r="E8">
        <v>6</v>
      </c>
      <c r="F8">
        <v>1.94286</v>
      </c>
      <c r="G8">
        <v>3.79</v>
      </c>
      <c r="H8">
        <v>5</v>
      </c>
      <c r="I8">
        <v>1.9615400000000001</v>
      </c>
      <c r="J8">
        <v>11.45</v>
      </c>
      <c r="K8">
        <v>3</v>
      </c>
      <c r="L8">
        <v>1</v>
      </c>
      <c r="M8">
        <v>2.88</v>
      </c>
      <c r="N8">
        <v>4</v>
      </c>
      <c r="O8">
        <v>1.8691599999999999</v>
      </c>
      <c r="P8">
        <v>24.59</v>
      </c>
    </row>
    <row r="9" spans="1:16">
      <c r="A9">
        <v>4</v>
      </c>
      <c r="B9">
        <v>6</v>
      </c>
      <c r="C9">
        <v>1.0196099999999999</v>
      </c>
      <c r="D9">
        <v>1.19</v>
      </c>
      <c r="E9">
        <v>6</v>
      </c>
      <c r="F9">
        <v>1.94286</v>
      </c>
      <c r="G9">
        <v>6.53</v>
      </c>
      <c r="H9">
        <v>5</v>
      </c>
      <c r="I9">
        <v>1.9615400000000001</v>
      </c>
      <c r="J9">
        <v>27.77</v>
      </c>
      <c r="K9">
        <v>6</v>
      </c>
      <c r="L9">
        <v>1</v>
      </c>
      <c r="M9">
        <v>1.32</v>
      </c>
      <c r="N9">
        <v>4</v>
      </c>
      <c r="O9">
        <v>1.8691599999999999</v>
      </c>
      <c r="P9">
        <v>8.2799999999999994</v>
      </c>
    </row>
    <row r="10" spans="1:16">
      <c r="A10">
        <v>5</v>
      </c>
      <c r="B10">
        <v>3</v>
      </c>
      <c r="C10">
        <v>1</v>
      </c>
      <c r="D10">
        <v>5.57</v>
      </c>
      <c r="E10">
        <v>6</v>
      </c>
      <c r="F10">
        <v>1.94286</v>
      </c>
      <c r="G10">
        <v>12.21</v>
      </c>
      <c r="H10">
        <v>6</v>
      </c>
      <c r="I10">
        <v>1.94286</v>
      </c>
      <c r="J10">
        <v>18.16</v>
      </c>
      <c r="K10">
        <v>3</v>
      </c>
      <c r="L10">
        <v>1</v>
      </c>
      <c r="M10">
        <v>2.71</v>
      </c>
      <c r="N10">
        <v>4</v>
      </c>
      <c r="O10">
        <v>1.8691599999999999</v>
      </c>
      <c r="P10">
        <v>6.78</v>
      </c>
    </row>
    <row r="11" spans="1:16">
      <c r="A11">
        <v>6</v>
      </c>
      <c r="B11">
        <v>3</v>
      </c>
      <c r="C11">
        <v>1</v>
      </c>
      <c r="D11">
        <v>0.91</v>
      </c>
      <c r="E11">
        <v>6</v>
      </c>
      <c r="F11">
        <v>1.94286</v>
      </c>
      <c r="G11">
        <v>3.1</v>
      </c>
      <c r="H11">
        <v>6</v>
      </c>
      <c r="I11">
        <v>1.94286</v>
      </c>
      <c r="J11">
        <v>11.68</v>
      </c>
      <c r="K11">
        <v>3</v>
      </c>
      <c r="L11">
        <v>1</v>
      </c>
      <c r="M11">
        <v>1.19</v>
      </c>
      <c r="N11">
        <v>4</v>
      </c>
      <c r="O11">
        <v>1.8691599999999999</v>
      </c>
      <c r="P11">
        <v>10.029999999999999</v>
      </c>
    </row>
    <row r="12" spans="1:16">
      <c r="A12">
        <v>7</v>
      </c>
      <c r="B12">
        <v>6</v>
      </c>
      <c r="C12">
        <v>1.0196099999999999</v>
      </c>
      <c r="D12">
        <v>0.99</v>
      </c>
      <c r="E12">
        <v>6</v>
      </c>
      <c r="F12">
        <v>1.94286</v>
      </c>
      <c r="G12">
        <v>9.4600000000000009</v>
      </c>
      <c r="H12">
        <v>5</v>
      </c>
      <c r="I12">
        <v>1.9615400000000001</v>
      </c>
      <c r="J12">
        <v>6.4</v>
      </c>
      <c r="K12">
        <v>6</v>
      </c>
      <c r="L12">
        <v>1</v>
      </c>
      <c r="M12">
        <v>1.32</v>
      </c>
      <c r="N12">
        <v>4</v>
      </c>
      <c r="O12">
        <v>1.8691599999999999</v>
      </c>
      <c r="P12">
        <v>6.31</v>
      </c>
    </row>
    <row r="13" spans="1:16">
      <c r="A13">
        <v>8</v>
      </c>
      <c r="B13">
        <v>3</v>
      </c>
      <c r="C13">
        <v>1</v>
      </c>
      <c r="D13">
        <v>0.71</v>
      </c>
      <c r="E13">
        <v>6</v>
      </c>
      <c r="F13">
        <v>1.94286</v>
      </c>
      <c r="G13">
        <v>1.77</v>
      </c>
      <c r="H13">
        <v>6</v>
      </c>
      <c r="I13">
        <v>1.94286</v>
      </c>
      <c r="J13">
        <v>3.46</v>
      </c>
      <c r="K13">
        <v>3</v>
      </c>
      <c r="L13">
        <v>1</v>
      </c>
      <c r="M13">
        <v>0.91</v>
      </c>
      <c r="N13">
        <v>4</v>
      </c>
      <c r="O13">
        <v>1.8691599999999999</v>
      </c>
      <c r="P13">
        <v>4.57</v>
      </c>
    </row>
    <row r="14" spans="1:16">
      <c r="A14">
        <v>9</v>
      </c>
      <c r="B14">
        <v>6</v>
      </c>
      <c r="C14">
        <v>1.0196099999999999</v>
      </c>
      <c r="D14">
        <v>0.72</v>
      </c>
      <c r="E14">
        <v>6</v>
      </c>
      <c r="F14">
        <v>1.94286</v>
      </c>
      <c r="G14">
        <v>1.82</v>
      </c>
      <c r="H14">
        <v>5</v>
      </c>
      <c r="I14">
        <v>1.9615400000000001</v>
      </c>
      <c r="J14">
        <v>3.63</v>
      </c>
      <c r="K14">
        <v>6</v>
      </c>
      <c r="L14">
        <v>1</v>
      </c>
      <c r="M14">
        <v>1.32</v>
      </c>
      <c r="N14">
        <v>4</v>
      </c>
      <c r="O14">
        <v>1.8691599999999999</v>
      </c>
      <c r="P14">
        <v>4.04</v>
      </c>
    </row>
    <row r="15" spans="1:16">
      <c r="A15">
        <v>10</v>
      </c>
      <c r="B15">
        <v>6</v>
      </c>
      <c r="C15">
        <v>1.0196099999999999</v>
      </c>
      <c r="D15">
        <v>0.64</v>
      </c>
      <c r="E15">
        <v>6</v>
      </c>
      <c r="F15">
        <v>1.94286</v>
      </c>
      <c r="G15">
        <v>3.74</v>
      </c>
      <c r="H15">
        <v>5</v>
      </c>
      <c r="I15">
        <v>1.9615400000000001</v>
      </c>
      <c r="J15">
        <v>6</v>
      </c>
      <c r="K15">
        <v>6</v>
      </c>
      <c r="L15">
        <v>1</v>
      </c>
      <c r="M15">
        <v>0.89</v>
      </c>
      <c r="N15">
        <v>4</v>
      </c>
      <c r="O15">
        <v>1.8691599999999999</v>
      </c>
      <c r="P15">
        <v>9.8699999999999992</v>
      </c>
    </row>
    <row r="16" spans="1:16">
      <c r="A16">
        <v>11</v>
      </c>
      <c r="B16">
        <v>6</v>
      </c>
      <c r="C16">
        <v>1.0196099999999999</v>
      </c>
      <c r="D16">
        <v>1.62</v>
      </c>
      <c r="E16">
        <v>6</v>
      </c>
      <c r="F16">
        <v>1.94286</v>
      </c>
      <c r="G16">
        <v>4.57</v>
      </c>
      <c r="H16">
        <v>5</v>
      </c>
      <c r="I16">
        <v>1.9615400000000001</v>
      </c>
      <c r="J16">
        <v>12.82</v>
      </c>
      <c r="K16">
        <v>6</v>
      </c>
      <c r="L16">
        <v>1</v>
      </c>
      <c r="M16">
        <v>2.34</v>
      </c>
      <c r="N16">
        <v>4</v>
      </c>
      <c r="O16">
        <v>1.8691599999999999</v>
      </c>
      <c r="P16">
        <v>17.84</v>
      </c>
    </row>
    <row r="17" spans="1:16">
      <c r="A17">
        <v>12</v>
      </c>
      <c r="B17">
        <v>6</v>
      </c>
      <c r="C17">
        <v>1.0196099999999999</v>
      </c>
      <c r="D17">
        <v>0.74</v>
      </c>
      <c r="E17">
        <v>6</v>
      </c>
      <c r="F17">
        <v>1.94286</v>
      </c>
      <c r="G17">
        <v>5.74</v>
      </c>
      <c r="H17">
        <v>5</v>
      </c>
      <c r="I17">
        <v>1.9615400000000001</v>
      </c>
      <c r="J17">
        <v>5.37</v>
      </c>
      <c r="K17">
        <v>6</v>
      </c>
      <c r="L17">
        <v>1</v>
      </c>
      <c r="M17">
        <v>3.49</v>
      </c>
      <c r="N17">
        <v>4</v>
      </c>
      <c r="O17">
        <v>1.8691599999999999</v>
      </c>
      <c r="P17">
        <v>5.75</v>
      </c>
    </row>
    <row r="18" spans="1:16">
      <c r="A18">
        <v>13</v>
      </c>
      <c r="B18">
        <v>6</v>
      </c>
      <c r="C18">
        <v>1.0196099999999999</v>
      </c>
      <c r="D18">
        <v>1.52</v>
      </c>
      <c r="E18">
        <v>6</v>
      </c>
      <c r="F18">
        <v>1.94286</v>
      </c>
      <c r="G18">
        <v>2.2400000000000002</v>
      </c>
      <c r="H18">
        <v>5</v>
      </c>
      <c r="I18">
        <v>1.9615400000000001</v>
      </c>
      <c r="J18">
        <v>3</v>
      </c>
      <c r="K18">
        <v>6</v>
      </c>
      <c r="L18">
        <v>1</v>
      </c>
      <c r="M18">
        <v>0.84</v>
      </c>
      <c r="N18">
        <v>4</v>
      </c>
      <c r="O18">
        <v>1.8691599999999999</v>
      </c>
      <c r="P18">
        <v>7.75</v>
      </c>
    </row>
    <row r="19" spans="1:16">
      <c r="A19">
        <v>14</v>
      </c>
      <c r="B19">
        <v>6</v>
      </c>
      <c r="C19">
        <v>1.0196099999999999</v>
      </c>
      <c r="D19">
        <v>0.73</v>
      </c>
      <c r="E19">
        <v>6</v>
      </c>
      <c r="F19">
        <v>1.94286</v>
      </c>
      <c r="G19">
        <v>2.0299999999999998</v>
      </c>
      <c r="H19">
        <v>5</v>
      </c>
      <c r="I19">
        <v>1.9615400000000001</v>
      </c>
      <c r="J19">
        <v>3.4</v>
      </c>
      <c r="K19">
        <v>6</v>
      </c>
      <c r="L19">
        <v>1</v>
      </c>
      <c r="M19">
        <v>2.3199999999999998</v>
      </c>
      <c r="N19">
        <v>4</v>
      </c>
      <c r="O19">
        <v>1.8691599999999999</v>
      </c>
      <c r="P19">
        <v>4.09</v>
      </c>
    </row>
    <row r="20" spans="1:16">
      <c r="A20">
        <v>15</v>
      </c>
      <c r="B20">
        <v>3</v>
      </c>
      <c r="C20">
        <v>1</v>
      </c>
      <c r="D20">
        <v>0.61</v>
      </c>
      <c r="E20">
        <v>6</v>
      </c>
      <c r="F20">
        <v>1.94286</v>
      </c>
      <c r="G20">
        <v>1.58</v>
      </c>
      <c r="H20">
        <v>5</v>
      </c>
      <c r="I20">
        <v>1.9615400000000001</v>
      </c>
      <c r="J20">
        <v>5.89</v>
      </c>
      <c r="K20">
        <v>3</v>
      </c>
      <c r="L20">
        <v>1</v>
      </c>
      <c r="M20">
        <v>2.21</v>
      </c>
      <c r="N20">
        <v>4</v>
      </c>
      <c r="O20">
        <v>1.8691599999999999</v>
      </c>
      <c r="P20">
        <v>4.29</v>
      </c>
    </row>
    <row r="21" spans="1:16">
      <c r="A21">
        <v>16</v>
      </c>
      <c r="B21">
        <v>3</v>
      </c>
      <c r="C21">
        <v>1</v>
      </c>
      <c r="D21">
        <v>0.86</v>
      </c>
      <c r="E21">
        <v>6</v>
      </c>
      <c r="F21">
        <v>1.94286</v>
      </c>
      <c r="G21">
        <v>2.34</v>
      </c>
      <c r="H21">
        <v>5</v>
      </c>
      <c r="I21">
        <v>1.9615400000000001</v>
      </c>
      <c r="J21">
        <v>3.79</v>
      </c>
      <c r="K21">
        <v>3</v>
      </c>
      <c r="L21">
        <v>1</v>
      </c>
      <c r="M21">
        <v>0.84</v>
      </c>
      <c r="N21">
        <v>4</v>
      </c>
      <c r="O21">
        <v>1.8691599999999999</v>
      </c>
      <c r="P21">
        <v>4.13</v>
      </c>
    </row>
    <row r="22" spans="1:16">
      <c r="A22">
        <v>17</v>
      </c>
      <c r="B22">
        <v>3</v>
      </c>
      <c r="C22">
        <v>1</v>
      </c>
      <c r="D22">
        <v>0.66</v>
      </c>
      <c r="E22">
        <v>6</v>
      </c>
      <c r="F22">
        <v>1.94286</v>
      </c>
      <c r="G22">
        <v>3.14</v>
      </c>
      <c r="H22">
        <v>5</v>
      </c>
      <c r="I22">
        <v>1.9615400000000001</v>
      </c>
      <c r="J22">
        <v>3.05</v>
      </c>
      <c r="K22">
        <v>3</v>
      </c>
      <c r="L22">
        <v>1</v>
      </c>
      <c r="M22">
        <v>0.94</v>
      </c>
      <c r="N22">
        <v>4</v>
      </c>
      <c r="O22">
        <v>1.8691599999999999</v>
      </c>
      <c r="P22">
        <v>4.1500000000000004</v>
      </c>
    </row>
    <row r="23" spans="1:16">
      <c r="A23">
        <v>18</v>
      </c>
      <c r="B23">
        <v>6</v>
      </c>
      <c r="C23">
        <v>1.0196099999999999</v>
      </c>
      <c r="D23">
        <v>0.6</v>
      </c>
      <c r="E23">
        <v>6</v>
      </c>
      <c r="F23">
        <v>1.94286</v>
      </c>
      <c r="G23">
        <v>8.27</v>
      </c>
      <c r="H23">
        <v>3</v>
      </c>
      <c r="I23">
        <v>1.17021</v>
      </c>
      <c r="J23">
        <v>3.34</v>
      </c>
      <c r="K23">
        <v>6</v>
      </c>
      <c r="L23">
        <v>1</v>
      </c>
      <c r="M23">
        <v>3.69</v>
      </c>
      <c r="N23">
        <v>4</v>
      </c>
      <c r="O23">
        <v>1.8691599999999999</v>
      </c>
      <c r="P23">
        <v>8</v>
      </c>
    </row>
    <row r="24" spans="1:16">
      <c r="A24">
        <v>19</v>
      </c>
      <c r="B24">
        <v>6</v>
      </c>
      <c r="C24">
        <v>1.0196099999999999</v>
      </c>
      <c r="D24">
        <v>0.85</v>
      </c>
      <c r="E24">
        <v>6</v>
      </c>
      <c r="F24">
        <v>1.94286</v>
      </c>
      <c r="G24">
        <v>1.47</v>
      </c>
      <c r="H24">
        <v>3</v>
      </c>
      <c r="I24">
        <v>1.68421</v>
      </c>
      <c r="J24">
        <v>8.5</v>
      </c>
      <c r="K24">
        <v>6</v>
      </c>
      <c r="L24">
        <v>1</v>
      </c>
      <c r="M24">
        <v>0.83</v>
      </c>
      <c r="N24">
        <v>4</v>
      </c>
      <c r="O24">
        <v>1.8691599999999999</v>
      </c>
      <c r="P24">
        <v>20.55</v>
      </c>
    </row>
    <row r="25" spans="1:16">
      <c r="A25">
        <v>20</v>
      </c>
      <c r="B25">
        <v>3</v>
      </c>
      <c r="C25">
        <v>1</v>
      </c>
      <c r="D25">
        <v>4.09</v>
      </c>
      <c r="E25">
        <v>6</v>
      </c>
      <c r="F25">
        <v>1.94286</v>
      </c>
      <c r="G25">
        <v>1.79</v>
      </c>
      <c r="H25">
        <v>6</v>
      </c>
      <c r="I25">
        <v>1.94286</v>
      </c>
      <c r="J25">
        <v>3.11</v>
      </c>
      <c r="K25">
        <v>3</v>
      </c>
      <c r="L25">
        <v>1</v>
      </c>
      <c r="M25">
        <v>1.17</v>
      </c>
      <c r="N25">
        <v>4</v>
      </c>
      <c r="O25">
        <v>1.8691599999999999</v>
      </c>
      <c r="P25">
        <v>14.01</v>
      </c>
    </row>
    <row r="26" spans="1:16">
      <c r="A26">
        <v>21</v>
      </c>
      <c r="B26">
        <v>3</v>
      </c>
      <c r="C26">
        <v>1</v>
      </c>
      <c r="D26">
        <v>0.61</v>
      </c>
      <c r="E26">
        <v>6</v>
      </c>
      <c r="F26">
        <v>1.94286</v>
      </c>
      <c r="G26">
        <v>1.32</v>
      </c>
      <c r="H26">
        <v>5</v>
      </c>
      <c r="I26">
        <v>1.9615400000000001</v>
      </c>
      <c r="J26">
        <v>11.66</v>
      </c>
      <c r="K26">
        <v>3</v>
      </c>
      <c r="L26">
        <v>1</v>
      </c>
      <c r="M26">
        <v>0.98</v>
      </c>
      <c r="N26">
        <v>4</v>
      </c>
      <c r="O26">
        <v>1.8691599999999999</v>
      </c>
      <c r="P26">
        <v>9.06</v>
      </c>
    </row>
    <row r="27" spans="1:16">
      <c r="A27">
        <v>22</v>
      </c>
      <c r="B27">
        <v>3</v>
      </c>
      <c r="C27">
        <v>1</v>
      </c>
      <c r="D27">
        <v>7.03</v>
      </c>
      <c r="E27">
        <v>6</v>
      </c>
      <c r="F27">
        <v>1.94286</v>
      </c>
      <c r="G27">
        <v>1.5</v>
      </c>
      <c r="H27">
        <v>6</v>
      </c>
      <c r="I27">
        <v>1.94286</v>
      </c>
      <c r="J27">
        <v>4.1500000000000004</v>
      </c>
      <c r="K27">
        <v>3</v>
      </c>
      <c r="L27">
        <v>1</v>
      </c>
      <c r="M27">
        <v>0.84</v>
      </c>
      <c r="N27">
        <v>4</v>
      </c>
      <c r="O27">
        <v>1.8691599999999999</v>
      </c>
      <c r="P27">
        <v>4.2300000000000004</v>
      </c>
    </row>
    <row r="28" spans="1:16">
      <c r="A28">
        <v>23</v>
      </c>
      <c r="B28">
        <v>3</v>
      </c>
      <c r="C28">
        <v>1</v>
      </c>
      <c r="D28">
        <v>2.06</v>
      </c>
      <c r="E28">
        <v>6</v>
      </c>
      <c r="F28">
        <v>1.94286</v>
      </c>
      <c r="G28">
        <v>1.4</v>
      </c>
      <c r="H28">
        <v>6</v>
      </c>
      <c r="I28">
        <v>1.94286</v>
      </c>
      <c r="J28">
        <v>2.44</v>
      </c>
      <c r="K28">
        <v>3</v>
      </c>
      <c r="L28">
        <v>1</v>
      </c>
      <c r="M28">
        <v>0.81</v>
      </c>
      <c r="N28">
        <v>4</v>
      </c>
      <c r="O28">
        <v>1.8691599999999999</v>
      </c>
      <c r="P28">
        <v>14.35</v>
      </c>
    </row>
    <row r="29" spans="1:16">
      <c r="A29">
        <v>24</v>
      </c>
      <c r="B29">
        <v>6</v>
      </c>
      <c r="C29">
        <v>1.0196099999999999</v>
      </c>
      <c r="D29">
        <v>0.6</v>
      </c>
      <c r="E29">
        <v>6</v>
      </c>
      <c r="F29">
        <v>1.94286</v>
      </c>
      <c r="G29">
        <v>1.33</v>
      </c>
      <c r="H29">
        <v>3</v>
      </c>
      <c r="I29">
        <v>1.4878</v>
      </c>
      <c r="J29">
        <v>2.76</v>
      </c>
      <c r="K29">
        <v>6</v>
      </c>
      <c r="L29">
        <v>1</v>
      </c>
      <c r="M29">
        <v>0.76</v>
      </c>
      <c r="N29">
        <v>4</v>
      </c>
      <c r="O29">
        <v>1.8691599999999999</v>
      </c>
      <c r="P29">
        <v>5.32</v>
      </c>
    </row>
    <row r="30" spans="1:16">
      <c r="A30">
        <v>25</v>
      </c>
      <c r="B30">
        <v>3</v>
      </c>
      <c r="C30">
        <v>1</v>
      </c>
      <c r="D30">
        <v>0.67</v>
      </c>
      <c r="E30">
        <v>6</v>
      </c>
      <c r="F30">
        <v>1.94286</v>
      </c>
      <c r="G30">
        <v>1.6</v>
      </c>
      <c r="H30">
        <v>5</v>
      </c>
      <c r="I30">
        <v>1.9615400000000001</v>
      </c>
      <c r="J30">
        <v>3.01</v>
      </c>
      <c r="K30">
        <v>3</v>
      </c>
      <c r="L30">
        <v>1</v>
      </c>
      <c r="M30">
        <v>2.29</v>
      </c>
      <c r="N30">
        <v>4</v>
      </c>
      <c r="O30">
        <v>1.8691599999999999</v>
      </c>
      <c r="P30">
        <v>4.0599999999999996</v>
      </c>
    </row>
    <row r="31" spans="1:16">
      <c r="A31">
        <v>26</v>
      </c>
      <c r="B31">
        <v>6</v>
      </c>
      <c r="C31">
        <v>1.0196099999999999</v>
      </c>
      <c r="D31">
        <v>0.71</v>
      </c>
      <c r="E31">
        <v>6</v>
      </c>
      <c r="F31">
        <v>1.94286</v>
      </c>
      <c r="G31">
        <v>1.74</v>
      </c>
      <c r="H31">
        <v>3</v>
      </c>
      <c r="I31">
        <v>1.8333299999999999</v>
      </c>
      <c r="J31">
        <v>11.21</v>
      </c>
      <c r="K31">
        <v>6</v>
      </c>
      <c r="L31">
        <v>1</v>
      </c>
      <c r="M31">
        <v>0.94</v>
      </c>
      <c r="N31">
        <v>4</v>
      </c>
      <c r="O31">
        <v>1.8691599999999999</v>
      </c>
      <c r="P31">
        <v>15.43</v>
      </c>
    </row>
    <row r="32" spans="1:16">
      <c r="A32">
        <v>27</v>
      </c>
      <c r="B32">
        <v>6</v>
      </c>
      <c r="C32">
        <v>1.0196099999999999</v>
      </c>
      <c r="D32">
        <v>0.76</v>
      </c>
      <c r="E32">
        <v>6</v>
      </c>
      <c r="F32">
        <v>1.94286</v>
      </c>
      <c r="G32">
        <v>5.65</v>
      </c>
      <c r="H32">
        <v>5</v>
      </c>
      <c r="I32">
        <v>1.9615400000000001</v>
      </c>
      <c r="J32">
        <v>6.59</v>
      </c>
      <c r="K32">
        <v>6</v>
      </c>
      <c r="L32">
        <v>1</v>
      </c>
      <c r="M32">
        <v>11.14</v>
      </c>
      <c r="N32">
        <v>4</v>
      </c>
      <c r="O32">
        <v>1.8691599999999999</v>
      </c>
      <c r="P32">
        <v>3.17</v>
      </c>
    </row>
    <row r="33" spans="1:16">
      <c r="A33">
        <v>28</v>
      </c>
      <c r="B33">
        <v>6</v>
      </c>
      <c r="C33">
        <v>1.0196099999999999</v>
      </c>
      <c r="D33">
        <v>0.77</v>
      </c>
      <c r="E33">
        <v>6</v>
      </c>
      <c r="F33">
        <v>1.94286</v>
      </c>
      <c r="G33">
        <v>1.83</v>
      </c>
      <c r="H33">
        <v>5</v>
      </c>
      <c r="I33">
        <v>1.9615400000000001</v>
      </c>
      <c r="J33">
        <v>20.6</v>
      </c>
      <c r="K33">
        <v>6</v>
      </c>
      <c r="L33">
        <v>1</v>
      </c>
      <c r="M33">
        <v>8.2200000000000006</v>
      </c>
      <c r="N33">
        <v>4</v>
      </c>
      <c r="O33">
        <v>1.8691599999999999</v>
      </c>
      <c r="P33">
        <v>11.86</v>
      </c>
    </row>
    <row r="34" spans="1:16">
      <c r="A34">
        <v>29</v>
      </c>
      <c r="B34">
        <v>3</v>
      </c>
      <c r="C34">
        <v>1</v>
      </c>
      <c r="D34">
        <v>3.26</v>
      </c>
      <c r="E34">
        <v>6</v>
      </c>
      <c r="F34">
        <v>1.94286</v>
      </c>
      <c r="G34">
        <v>1.38</v>
      </c>
      <c r="H34">
        <v>6</v>
      </c>
      <c r="I34">
        <v>1.94286</v>
      </c>
      <c r="J34">
        <v>2.76</v>
      </c>
      <c r="K34">
        <v>3</v>
      </c>
      <c r="L34">
        <v>1</v>
      </c>
      <c r="M34">
        <v>6.92</v>
      </c>
      <c r="N34">
        <v>4</v>
      </c>
      <c r="O34">
        <v>1.8691599999999999</v>
      </c>
      <c r="P34">
        <v>5.38</v>
      </c>
    </row>
    <row r="35" spans="1:16">
      <c r="A35">
        <v>30</v>
      </c>
      <c r="B35">
        <v>6</v>
      </c>
      <c r="C35">
        <v>1.0196099999999999</v>
      </c>
      <c r="D35">
        <v>4.8499999999999996</v>
      </c>
      <c r="E35">
        <v>6</v>
      </c>
      <c r="F35">
        <v>1.94286</v>
      </c>
      <c r="G35">
        <v>3.4</v>
      </c>
      <c r="H35">
        <v>3</v>
      </c>
      <c r="I35">
        <v>1.4878</v>
      </c>
      <c r="J35">
        <v>2.54</v>
      </c>
      <c r="K35">
        <v>6</v>
      </c>
      <c r="L35">
        <v>1</v>
      </c>
      <c r="M35">
        <v>2.64</v>
      </c>
      <c r="N35">
        <v>4</v>
      </c>
      <c r="O35">
        <v>1.8691599999999999</v>
      </c>
      <c r="P35">
        <v>4.01</v>
      </c>
    </row>
    <row r="36" spans="1:16">
      <c r="A36">
        <v>31</v>
      </c>
      <c r="B36">
        <v>6</v>
      </c>
      <c r="C36">
        <v>1.0196099999999999</v>
      </c>
      <c r="D36">
        <v>0.48</v>
      </c>
      <c r="E36">
        <v>6</v>
      </c>
      <c r="F36">
        <v>1.94286</v>
      </c>
      <c r="G36">
        <v>3.41</v>
      </c>
      <c r="H36">
        <v>5</v>
      </c>
      <c r="I36">
        <v>1.9615400000000001</v>
      </c>
      <c r="J36">
        <v>2.4300000000000002</v>
      </c>
      <c r="K36">
        <v>6</v>
      </c>
      <c r="L36">
        <v>1</v>
      </c>
      <c r="M36">
        <v>0.68</v>
      </c>
      <c r="N36">
        <v>4</v>
      </c>
      <c r="O36">
        <v>1.8691599999999999</v>
      </c>
      <c r="P36">
        <v>3.9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P40" si="0">MAX(C5:C36)</f>
        <v>1.0196099999999999</v>
      </c>
      <c r="D40" s="1">
        <f t="shared" si="0"/>
        <v>7.03</v>
      </c>
      <c r="E40" s="1">
        <f t="shared" si="0"/>
        <v>6</v>
      </c>
      <c r="F40" s="1">
        <f t="shared" si="0"/>
        <v>1.94286</v>
      </c>
      <c r="G40" s="1">
        <f t="shared" si="0"/>
        <v>12.21</v>
      </c>
      <c r="H40" s="1">
        <f t="shared" si="0"/>
        <v>6</v>
      </c>
      <c r="I40" s="1">
        <f t="shared" si="0"/>
        <v>1.9615400000000001</v>
      </c>
      <c r="J40" s="1">
        <f t="shared" si="0"/>
        <v>27.77</v>
      </c>
      <c r="K40" s="1">
        <f t="shared" si="0"/>
        <v>6</v>
      </c>
      <c r="L40" s="1">
        <f t="shared" si="0"/>
        <v>1</v>
      </c>
      <c r="M40" s="1">
        <f t="shared" si="0"/>
        <v>11.66</v>
      </c>
      <c r="N40" s="1">
        <f t="shared" si="0"/>
        <v>4</v>
      </c>
      <c r="O40" s="1">
        <f t="shared" si="0"/>
        <v>1.8691599999999999</v>
      </c>
      <c r="P40" s="1">
        <f t="shared" si="0"/>
        <v>24.59</v>
      </c>
    </row>
    <row r="41" spans="1:16">
      <c r="A41" t="s">
        <v>12</v>
      </c>
      <c r="B41" s="1">
        <f>MIN(B5:B36)</f>
        <v>3</v>
      </c>
      <c r="C41" s="1">
        <f t="shared" ref="C41:P41" si="1">MIN(C5:C36)</f>
        <v>1</v>
      </c>
      <c r="D41" s="1">
        <f t="shared" si="1"/>
        <v>0.48</v>
      </c>
      <c r="E41" s="1">
        <f t="shared" si="1"/>
        <v>6</v>
      </c>
      <c r="F41" s="1">
        <f t="shared" si="1"/>
        <v>1.94286</v>
      </c>
      <c r="G41" s="1">
        <f t="shared" si="1"/>
        <v>1.32</v>
      </c>
      <c r="H41" s="1">
        <f t="shared" si="1"/>
        <v>3</v>
      </c>
      <c r="I41" s="1">
        <f t="shared" si="1"/>
        <v>1.17021</v>
      </c>
      <c r="J41" s="1">
        <f t="shared" si="1"/>
        <v>2.4300000000000002</v>
      </c>
      <c r="K41" s="1">
        <f t="shared" si="1"/>
        <v>3</v>
      </c>
      <c r="L41" s="1">
        <f t="shared" si="1"/>
        <v>1</v>
      </c>
      <c r="M41" s="1">
        <f t="shared" si="1"/>
        <v>0.68</v>
      </c>
      <c r="N41" s="1">
        <f t="shared" si="1"/>
        <v>4</v>
      </c>
      <c r="O41" s="1">
        <f t="shared" si="1"/>
        <v>1.8691599999999999</v>
      </c>
      <c r="P41" s="1">
        <f t="shared" si="1"/>
        <v>3.17</v>
      </c>
    </row>
    <row r="42" spans="1:16">
      <c r="A42" t="s">
        <v>13</v>
      </c>
      <c r="B42" s="1">
        <f>MEDIAN(B5:B36)</f>
        <v>6</v>
      </c>
      <c r="C42" s="1">
        <f t="shared" ref="C42:P42" si="2">MEDIAN(C5:C36)</f>
        <v>1.0196099999999999</v>
      </c>
      <c r="D42" s="1">
        <f t="shared" si="2"/>
        <v>0.85499999999999998</v>
      </c>
      <c r="E42" s="1">
        <f t="shared" si="2"/>
        <v>6</v>
      </c>
      <c r="F42" s="1">
        <f t="shared" si="2"/>
        <v>1.94286</v>
      </c>
      <c r="G42" s="1">
        <f t="shared" si="2"/>
        <v>2.7199999999999998</v>
      </c>
      <c r="H42" s="1">
        <f t="shared" si="2"/>
        <v>5</v>
      </c>
      <c r="I42" s="1">
        <f t="shared" si="2"/>
        <v>1.9615400000000001</v>
      </c>
      <c r="J42" s="1">
        <f t="shared" si="2"/>
        <v>5.63</v>
      </c>
      <c r="K42" s="1">
        <f t="shared" si="2"/>
        <v>6</v>
      </c>
      <c r="L42" s="1">
        <f t="shared" si="2"/>
        <v>1</v>
      </c>
      <c r="M42" s="1">
        <f t="shared" si="2"/>
        <v>1.32</v>
      </c>
      <c r="N42" s="1">
        <f t="shared" si="2"/>
        <v>4</v>
      </c>
      <c r="O42" s="1">
        <f t="shared" si="2"/>
        <v>1.8691599999999999</v>
      </c>
      <c r="P42" s="1">
        <f t="shared" si="2"/>
        <v>7.2650000000000006</v>
      </c>
    </row>
    <row r="43" spans="1:16">
      <c r="A43" t="s">
        <v>14</v>
      </c>
      <c r="B43" s="1">
        <f>AVERAGE(B5:B36)</f>
        <v>4.6875</v>
      </c>
      <c r="C43" s="1">
        <f t="shared" ref="C43:P43" si="3">AVERAGE(C5:C36)</f>
        <v>1.0110306250000001</v>
      </c>
      <c r="D43" s="1">
        <f t="shared" si="3"/>
        <v>1.809375</v>
      </c>
      <c r="E43" s="1">
        <f t="shared" si="3"/>
        <v>6</v>
      </c>
      <c r="F43" s="1">
        <f t="shared" si="3"/>
        <v>1.9428600000000014</v>
      </c>
      <c r="G43" s="1">
        <f t="shared" si="3"/>
        <v>3.7181249999999997</v>
      </c>
      <c r="H43" s="1">
        <f t="shared" si="3"/>
        <v>4.78125</v>
      </c>
      <c r="I43" s="1">
        <f t="shared" si="3"/>
        <v>1.8667646874999999</v>
      </c>
      <c r="J43" s="1">
        <f t="shared" si="3"/>
        <v>7.7162499999999996</v>
      </c>
      <c r="K43" s="1">
        <f t="shared" si="3"/>
        <v>4.6875</v>
      </c>
      <c r="L43" s="1">
        <f t="shared" si="3"/>
        <v>1</v>
      </c>
      <c r="M43" s="1">
        <f t="shared" si="3"/>
        <v>2.8853125000000004</v>
      </c>
      <c r="N43" s="1">
        <f t="shared" si="3"/>
        <v>4</v>
      </c>
      <c r="O43" s="1">
        <f t="shared" si="3"/>
        <v>1.8691600000000006</v>
      </c>
      <c r="P43" s="1">
        <f t="shared" si="3"/>
        <v>9.1171875</v>
      </c>
    </row>
    <row r="44" spans="1:16">
      <c r="A44" t="s">
        <v>15</v>
      </c>
      <c r="B44" s="1">
        <f>STDEV(B5:B36)</f>
        <v>1.5120483863225558</v>
      </c>
      <c r="C44" s="1">
        <f t="shared" ref="C44:P44" si="4">STDEV(C5:C36)</f>
        <v>9.8837562852617245E-3</v>
      </c>
      <c r="D44" s="1">
        <f t="shared" si="4"/>
        <v>1.7603114414693046</v>
      </c>
      <c r="E44" s="1">
        <f t="shared" si="4"/>
        <v>0</v>
      </c>
      <c r="F44" s="1">
        <f t="shared" si="4"/>
        <v>1.3535852652089328E-15</v>
      </c>
      <c r="G44" s="1">
        <f t="shared" si="4"/>
        <v>2.8021080054476042</v>
      </c>
      <c r="H44" s="1">
        <f t="shared" si="4"/>
        <v>1.0390558679754394</v>
      </c>
      <c r="I44" s="1">
        <f t="shared" si="4"/>
        <v>0.19448949516344446</v>
      </c>
      <c r="J44" s="1">
        <f t="shared" si="4"/>
        <v>6.2210302797796651</v>
      </c>
      <c r="K44" s="1">
        <f t="shared" si="4"/>
        <v>1.5120483863225558</v>
      </c>
      <c r="L44" s="1">
        <f t="shared" si="4"/>
        <v>0</v>
      </c>
      <c r="M44" s="1">
        <f t="shared" si="4"/>
        <v>3.2795111598499926</v>
      </c>
      <c r="N44" s="1">
        <f t="shared" si="4"/>
        <v>0</v>
      </c>
      <c r="O44" s="1">
        <f t="shared" si="4"/>
        <v>6.767926326044664E-16</v>
      </c>
      <c r="P44" s="1">
        <f t="shared" si="4"/>
        <v>5.9050641111894819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23</v>
      </c>
      <c r="C1" t="s">
        <v>1</v>
      </c>
      <c r="D1">
        <v>3003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</v>
      </c>
      <c r="C5">
        <v>1</v>
      </c>
      <c r="D5">
        <v>15.51</v>
      </c>
      <c r="E5">
        <v>6</v>
      </c>
      <c r="F5">
        <v>1.99403</v>
      </c>
      <c r="G5">
        <v>51.14</v>
      </c>
      <c r="H5">
        <v>5</v>
      </c>
      <c r="I5">
        <v>1.9960199999999999</v>
      </c>
      <c r="J5">
        <v>55.3</v>
      </c>
      <c r="K5">
        <v>3</v>
      </c>
      <c r="L5">
        <v>1</v>
      </c>
      <c r="M5">
        <v>54.33</v>
      </c>
      <c r="N5">
        <v>4</v>
      </c>
      <c r="O5">
        <v>1.9861</v>
      </c>
      <c r="P5">
        <v>136.06</v>
      </c>
    </row>
    <row r="6" spans="1:16">
      <c r="A6">
        <v>1</v>
      </c>
      <c r="B6">
        <v>6</v>
      </c>
      <c r="C6">
        <v>1.002</v>
      </c>
      <c r="D6">
        <v>24.95</v>
      </c>
      <c r="E6">
        <v>6</v>
      </c>
      <c r="F6">
        <v>1.99403</v>
      </c>
      <c r="G6">
        <v>24.62</v>
      </c>
      <c r="H6">
        <v>3</v>
      </c>
      <c r="I6">
        <v>1.8547</v>
      </c>
      <c r="J6">
        <v>60.81</v>
      </c>
      <c r="K6">
        <v>6</v>
      </c>
      <c r="L6">
        <v>1</v>
      </c>
      <c r="M6">
        <v>33.33</v>
      </c>
      <c r="N6">
        <v>4</v>
      </c>
      <c r="O6">
        <v>1.9861</v>
      </c>
      <c r="P6">
        <v>81.510000000000005</v>
      </c>
    </row>
    <row r="7" spans="1:16">
      <c r="A7">
        <v>2</v>
      </c>
      <c r="B7">
        <v>3</v>
      </c>
      <c r="C7">
        <v>1</v>
      </c>
      <c r="D7">
        <v>9.98</v>
      </c>
      <c r="E7">
        <v>6</v>
      </c>
      <c r="F7">
        <v>1.99403</v>
      </c>
      <c r="G7">
        <v>40.369999999999997</v>
      </c>
      <c r="H7">
        <v>5</v>
      </c>
      <c r="I7">
        <v>1.9960199999999999</v>
      </c>
      <c r="J7">
        <v>63.25</v>
      </c>
      <c r="K7">
        <v>3</v>
      </c>
      <c r="L7">
        <v>1</v>
      </c>
      <c r="M7">
        <v>46.47</v>
      </c>
      <c r="N7">
        <v>4</v>
      </c>
      <c r="O7">
        <v>1.9861</v>
      </c>
      <c r="P7">
        <v>64.81</v>
      </c>
    </row>
    <row r="8" spans="1:16">
      <c r="A8">
        <v>3</v>
      </c>
      <c r="B8">
        <v>3</v>
      </c>
      <c r="C8">
        <v>1</v>
      </c>
      <c r="D8">
        <v>11.98</v>
      </c>
      <c r="E8">
        <v>6</v>
      </c>
      <c r="F8">
        <v>1.99403</v>
      </c>
      <c r="G8">
        <v>20.59</v>
      </c>
      <c r="H8">
        <v>6</v>
      </c>
      <c r="I8">
        <v>1.99403</v>
      </c>
      <c r="J8">
        <v>66.03</v>
      </c>
      <c r="K8">
        <v>3</v>
      </c>
      <c r="L8">
        <v>1</v>
      </c>
      <c r="M8">
        <v>82.65</v>
      </c>
      <c r="N8">
        <v>4</v>
      </c>
      <c r="O8">
        <v>1.9861</v>
      </c>
      <c r="P8">
        <v>39.44</v>
      </c>
    </row>
    <row r="9" spans="1:16">
      <c r="A9">
        <v>4</v>
      </c>
      <c r="B9">
        <v>6</v>
      </c>
      <c r="C9">
        <v>1.002</v>
      </c>
      <c r="D9">
        <v>13.61</v>
      </c>
      <c r="E9">
        <v>6</v>
      </c>
      <c r="F9">
        <v>1.99403</v>
      </c>
      <c r="G9">
        <v>20.93</v>
      </c>
      <c r="H9">
        <v>5</v>
      </c>
      <c r="I9">
        <v>1.9960199999999999</v>
      </c>
      <c r="J9">
        <v>24.32</v>
      </c>
      <c r="K9">
        <v>6</v>
      </c>
      <c r="L9">
        <v>1</v>
      </c>
      <c r="M9">
        <v>9.17</v>
      </c>
      <c r="N9">
        <v>4</v>
      </c>
      <c r="O9">
        <v>1.9861</v>
      </c>
      <c r="P9">
        <v>89.01</v>
      </c>
    </row>
    <row r="10" spans="1:16">
      <c r="A10">
        <v>5</v>
      </c>
      <c r="B10">
        <v>6</v>
      </c>
      <c r="C10">
        <v>1.002</v>
      </c>
      <c r="D10">
        <v>13.7</v>
      </c>
      <c r="E10">
        <v>6</v>
      </c>
      <c r="F10">
        <v>1.99403</v>
      </c>
      <c r="G10">
        <v>22.57</v>
      </c>
      <c r="H10">
        <v>3</v>
      </c>
      <c r="I10">
        <v>1.4558800000000001</v>
      </c>
      <c r="J10">
        <v>20.12</v>
      </c>
      <c r="K10">
        <v>6</v>
      </c>
      <c r="L10">
        <v>1</v>
      </c>
      <c r="M10">
        <v>6.81</v>
      </c>
      <c r="N10">
        <v>4</v>
      </c>
      <c r="O10">
        <v>1.9861</v>
      </c>
      <c r="P10">
        <v>52.63</v>
      </c>
    </row>
    <row r="11" spans="1:16">
      <c r="A11">
        <v>6</v>
      </c>
      <c r="B11">
        <v>3</v>
      </c>
      <c r="C11">
        <v>1</v>
      </c>
      <c r="D11">
        <v>13.53</v>
      </c>
      <c r="E11">
        <v>6</v>
      </c>
      <c r="F11">
        <v>1.99403</v>
      </c>
      <c r="G11">
        <v>12.23</v>
      </c>
      <c r="H11">
        <v>6</v>
      </c>
      <c r="I11">
        <v>1.99403</v>
      </c>
      <c r="J11">
        <v>27.01</v>
      </c>
      <c r="K11">
        <v>3</v>
      </c>
      <c r="L11">
        <v>1</v>
      </c>
      <c r="M11">
        <v>5.97</v>
      </c>
      <c r="N11">
        <v>4</v>
      </c>
      <c r="O11">
        <v>1.9861</v>
      </c>
      <c r="P11">
        <v>28.48</v>
      </c>
    </row>
    <row r="12" spans="1:16">
      <c r="A12">
        <v>7</v>
      </c>
      <c r="B12">
        <v>3</v>
      </c>
      <c r="C12">
        <v>1</v>
      </c>
      <c r="D12">
        <v>4.84</v>
      </c>
      <c r="E12">
        <v>6</v>
      </c>
      <c r="F12">
        <v>1.99403</v>
      </c>
      <c r="G12">
        <v>10.23</v>
      </c>
      <c r="H12">
        <v>5</v>
      </c>
      <c r="I12">
        <v>1.9960199999999999</v>
      </c>
      <c r="J12">
        <v>18.239999999999998</v>
      </c>
      <c r="K12">
        <v>3</v>
      </c>
      <c r="L12">
        <v>1</v>
      </c>
      <c r="M12">
        <v>6.6</v>
      </c>
      <c r="N12">
        <v>4</v>
      </c>
      <c r="O12">
        <v>1.9861</v>
      </c>
      <c r="P12">
        <v>16.82</v>
      </c>
    </row>
    <row r="13" spans="1:16">
      <c r="A13">
        <v>8</v>
      </c>
      <c r="B13">
        <v>3</v>
      </c>
      <c r="C13">
        <v>1</v>
      </c>
      <c r="D13">
        <v>3.38</v>
      </c>
      <c r="E13">
        <v>6</v>
      </c>
      <c r="F13">
        <v>1.99403</v>
      </c>
      <c r="G13">
        <v>8.02</v>
      </c>
      <c r="H13">
        <v>6</v>
      </c>
      <c r="I13">
        <v>1.99403</v>
      </c>
      <c r="J13">
        <v>10.119999999999999</v>
      </c>
      <c r="K13">
        <v>3</v>
      </c>
      <c r="L13">
        <v>1</v>
      </c>
      <c r="M13">
        <v>5.0999999999999996</v>
      </c>
      <c r="N13">
        <v>4</v>
      </c>
      <c r="O13">
        <v>1.9861</v>
      </c>
      <c r="P13">
        <v>61.25</v>
      </c>
    </row>
    <row r="14" spans="1:16">
      <c r="A14">
        <v>9</v>
      </c>
      <c r="B14">
        <v>6</v>
      </c>
      <c r="C14">
        <v>1.002</v>
      </c>
      <c r="D14">
        <v>5.58</v>
      </c>
      <c r="E14">
        <v>6</v>
      </c>
      <c r="F14">
        <v>1.99403</v>
      </c>
      <c r="G14">
        <v>36.659999999999997</v>
      </c>
      <c r="H14">
        <v>3</v>
      </c>
      <c r="I14">
        <v>1.6719999999999999</v>
      </c>
      <c r="J14">
        <v>22.89</v>
      </c>
      <c r="K14">
        <v>6</v>
      </c>
      <c r="L14">
        <v>1</v>
      </c>
      <c r="M14">
        <v>11.65</v>
      </c>
      <c r="N14">
        <v>4</v>
      </c>
      <c r="O14">
        <v>1.9861</v>
      </c>
      <c r="P14">
        <v>24.95</v>
      </c>
    </row>
    <row r="15" spans="1:16">
      <c r="A15">
        <v>10</v>
      </c>
      <c r="B15">
        <v>3</v>
      </c>
      <c r="C15">
        <v>1</v>
      </c>
      <c r="D15">
        <v>4.0199999999999996</v>
      </c>
      <c r="E15">
        <v>6</v>
      </c>
      <c r="F15">
        <v>1.99403</v>
      </c>
      <c r="G15">
        <v>8.81</v>
      </c>
      <c r="H15">
        <v>6</v>
      </c>
      <c r="I15">
        <v>1.99403</v>
      </c>
      <c r="J15">
        <v>11.82</v>
      </c>
      <c r="K15">
        <v>3</v>
      </c>
      <c r="L15">
        <v>1</v>
      </c>
      <c r="M15">
        <v>7.6</v>
      </c>
      <c r="N15">
        <v>4</v>
      </c>
      <c r="O15">
        <v>1.9861</v>
      </c>
      <c r="P15">
        <v>52.31</v>
      </c>
    </row>
    <row r="16" spans="1:16">
      <c r="A16">
        <v>11</v>
      </c>
      <c r="B16">
        <v>6</v>
      </c>
      <c r="C16">
        <v>1.002</v>
      </c>
      <c r="D16">
        <v>12.32</v>
      </c>
      <c r="E16">
        <v>6</v>
      </c>
      <c r="F16">
        <v>1.99403</v>
      </c>
      <c r="G16">
        <v>9.81</v>
      </c>
      <c r="H16">
        <v>5</v>
      </c>
      <c r="I16">
        <v>1.9960199999999999</v>
      </c>
      <c r="J16">
        <v>16.72</v>
      </c>
      <c r="K16">
        <v>6</v>
      </c>
      <c r="L16">
        <v>1</v>
      </c>
      <c r="M16">
        <v>23.79</v>
      </c>
      <c r="N16">
        <v>4</v>
      </c>
      <c r="O16">
        <v>1.9861</v>
      </c>
      <c r="P16">
        <v>18.760000000000002</v>
      </c>
    </row>
    <row r="17" spans="1:16">
      <c r="A17">
        <v>12</v>
      </c>
      <c r="B17">
        <v>3</v>
      </c>
      <c r="C17">
        <v>1</v>
      </c>
      <c r="D17">
        <v>3.93</v>
      </c>
      <c r="E17">
        <v>6</v>
      </c>
      <c r="F17">
        <v>1.99403</v>
      </c>
      <c r="G17">
        <v>7.05</v>
      </c>
      <c r="H17">
        <v>6</v>
      </c>
      <c r="I17">
        <v>1.99403</v>
      </c>
      <c r="J17">
        <v>9.8699999999999992</v>
      </c>
      <c r="K17">
        <v>3</v>
      </c>
      <c r="L17">
        <v>1</v>
      </c>
      <c r="M17">
        <v>5.94</v>
      </c>
      <c r="N17">
        <v>4</v>
      </c>
      <c r="O17">
        <v>1.9861</v>
      </c>
      <c r="P17">
        <v>20.100000000000001</v>
      </c>
    </row>
    <row r="18" spans="1:16">
      <c r="A18">
        <v>13</v>
      </c>
      <c r="B18">
        <v>6</v>
      </c>
      <c r="C18">
        <v>1.002</v>
      </c>
      <c r="D18">
        <v>9.82</v>
      </c>
      <c r="E18">
        <v>6</v>
      </c>
      <c r="F18">
        <v>1.99403</v>
      </c>
      <c r="G18">
        <v>22.8</v>
      </c>
      <c r="H18">
        <v>5</v>
      </c>
      <c r="I18">
        <v>1.9960199999999999</v>
      </c>
      <c r="J18">
        <v>18.09</v>
      </c>
      <c r="K18">
        <v>6</v>
      </c>
      <c r="L18">
        <v>1</v>
      </c>
      <c r="M18">
        <v>27.6</v>
      </c>
      <c r="N18">
        <v>4</v>
      </c>
      <c r="O18">
        <v>1.9861</v>
      </c>
      <c r="P18">
        <v>34.380000000000003</v>
      </c>
    </row>
    <row r="19" spans="1:16">
      <c r="A19">
        <v>14</v>
      </c>
      <c r="B19">
        <v>3</v>
      </c>
      <c r="C19">
        <v>1</v>
      </c>
      <c r="D19">
        <v>4.13</v>
      </c>
      <c r="E19">
        <v>6</v>
      </c>
      <c r="F19">
        <v>1.99403</v>
      </c>
      <c r="G19">
        <v>8.06</v>
      </c>
      <c r="H19">
        <v>6</v>
      </c>
      <c r="I19">
        <v>1.99403</v>
      </c>
      <c r="J19">
        <v>11.02</v>
      </c>
      <c r="K19">
        <v>3</v>
      </c>
      <c r="L19">
        <v>1</v>
      </c>
      <c r="M19">
        <v>9.1999999999999993</v>
      </c>
      <c r="N19">
        <v>4</v>
      </c>
      <c r="O19">
        <v>1.9861</v>
      </c>
      <c r="P19">
        <v>19.79</v>
      </c>
    </row>
    <row r="20" spans="1:16">
      <c r="A20">
        <v>15</v>
      </c>
      <c r="B20">
        <v>3</v>
      </c>
      <c r="C20">
        <v>1</v>
      </c>
      <c r="D20">
        <v>7.97</v>
      </c>
      <c r="E20">
        <v>6</v>
      </c>
      <c r="F20">
        <v>1.99403</v>
      </c>
      <c r="G20">
        <v>34.31</v>
      </c>
      <c r="H20">
        <v>6</v>
      </c>
      <c r="I20">
        <v>1.99403</v>
      </c>
      <c r="J20">
        <v>33.130000000000003</v>
      </c>
      <c r="K20">
        <v>3</v>
      </c>
      <c r="L20">
        <v>1</v>
      </c>
      <c r="M20">
        <v>14.17</v>
      </c>
      <c r="N20">
        <v>4</v>
      </c>
      <c r="O20">
        <v>1.9861</v>
      </c>
      <c r="P20">
        <v>30.89</v>
      </c>
    </row>
    <row r="21" spans="1:16">
      <c r="A21">
        <v>16</v>
      </c>
      <c r="B21">
        <v>6</v>
      </c>
      <c r="C21">
        <v>1.002</v>
      </c>
      <c r="D21">
        <v>3.93</v>
      </c>
      <c r="E21">
        <v>6</v>
      </c>
      <c r="F21">
        <v>1.99403</v>
      </c>
      <c r="G21">
        <v>7.49</v>
      </c>
      <c r="H21">
        <v>5</v>
      </c>
      <c r="I21">
        <v>1.9960199999999999</v>
      </c>
      <c r="J21">
        <v>10.039999999999999</v>
      </c>
      <c r="K21">
        <v>6</v>
      </c>
      <c r="L21">
        <v>1</v>
      </c>
      <c r="M21">
        <v>5.35</v>
      </c>
      <c r="N21">
        <v>4</v>
      </c>
      <c r="O21">
        <v>1.9861</v>
      </c>
      <c r="P21">
        <v>16.48</v>
      </c>
    </row>
    <row r="22" spans="1:16">
      <c r="A22">
        <v>17</v>
      </c>
      <c r="B22">
        <v>6</v>
      </c>
      <c r="C22">
        <v>1.002</v>
      </c>
      <c r="D22">
        <v>3.39</v>
      </c>
      <c r="E22">
        <v>6</v>
      </c>
      <c r="F22">
        <v>1.99403</v>
      </c>
      <c r="G22">
        <v>9.8000000000000007</v>
      </c>
      <c r="H22">
        <v>3</v>
      </c>
      <c r="I22">
        <v>1.43204</v>
      </c>
      <c r="J22">
        <v>18.97</v>
      </c>
      <c r="K22">
        <v>6</v>
      </c>
      <c r="L22">
        <v>1</v>
      </c>
      <c r="M22">
        <v>20.98</v>
      </c>
      <c r="N22">
        <v>4</v>
      </c>
      <c r="O22">
        <v>1.9861</v>
      </c>
      <c r="P22">
        <v>54.07</v>
      </c>
    </row>
    <row r="23" spans="1:16">
      <c r="A23">
        <v>18</v>
      </c>
      <c r="B23">
        <v>6</v>
      </c>
      <c r="C23">
        <v>1.002</v>
      </c>
      <c r="D23">
        <v>12.71</v>
      </c>
      <c r="E23">
        <v>6</v>
      </c>
      <c r="F23">
        <v>1.99403</v>
      </c>
      <c r="G23">
        <v>12.41</v>
      </c>
      <c r="H23">
        <v>5</v>
      </c>
      <c r="I23">
        <v>1.9960199999999999</v>
      </c>
      <c r="J23">
        <v>16.98</v>
      </c>
      <c r="K23">
        <v>6</v>
      </c>
      <c r="L23">
        <v>1</v>
      </c>
      <c r="M23">
        <v>8.35</v>
      </c>
      <c r="N23">
        <v>4</v>
      </c>
      <c r="O23">
        <v>1.9861</v>
      </c>
      <c r="P23">
        <v>32.44</v>
      </c>
    </row>
    <row r="24" spans="1:16">
      <c r="A24">
        <v>19</v>
      </c>
      <c r="B24">
        <v>3</v>
      </c>
      <c r="C24">
        <v>1</v>
      </c>
      <c r="D24">
        <v>6.18</v>
      </c>
      <c r="E24">
        <v>6</v>
      </c>
      <c r="F24">
        <v>1.99403</v>
      </c>
      <c r="G24">
        <v>21.42</v>
      </c>
      <c r="H24">
        <v>6</v>
      </c>
      <c r="I24">
        <v>1.99403</v>
      </c>
      <c r="J24">
        <v>26.74</v>
      </c>
      <c r="K24">
        <v>3</v>
      </c>
      <c r="L24">
        <v>1</v>
      </c>
      <c r="M24">
        <v>17.190000000000001</v>
      </c>
      <c r="N24">
        <v>4</v>
      </c>
      <c r="O24">
        <v>1.9861</v>
      </c>
      <c r="P24">
        <v>39.049999999999997</v>
      </c>
    </row>
    <row r="25" spans="1:16">
      <c r="A25">
        <v>20</v>
      </c>
      <c r="B25">
        <v>3</v>
      </c>
      <c r="C25">
        <v>1</v>
      </c>
      <c r="D25">
        <v>7.65</v>
      </c>
      <c r="E25">
        <v>6</v>
      </c>
      <c r="F25">
        <v>1.99403</v>
      </c>
      <c r="G25">
        <v>9.99</v>
      </c>
      <c r="H25">
        <v>6</v>
      </c>
      <c r="I25">
        <v>1.99403</v>
      </c>
      <c r="J25">
        <v>8.36</v>
      </c>
      <c r="K25">
        <v>3</v>
      </c>
      <c r="L25">
        <v>1</v>
      </c>
      <c r="M25">
        <v>4.1399999999999997</v>
      </c>
      <c r="N25">
        <v>4</v>
      </c>
      <c r="O25">
        <v>1.9861</v>
      </c>
      <c r="P25">
        <v>15.57</v>
      </c>
    </row>
    <row r="26" spans="1:16">
      <c r="A26">
        <v>21</v>
      </c>
      <c r="B26">
        <v>6</v>
      </c>
      <c r="C26">
        <v>1.002</v>
      </c>
      <c r="D26">
        <v>3.7</v>
      </c>
      <c r="E26">
        <v>6</v>
      </c>
      <c r="F26">
        <v>1.99403</v>
      </c>
      <c r="G26">
        <v>6.56</v>
      </c>
      <c r="H26">
        <v>3</v>
      </c>
      <c r="I26">
        <v>1.11392</v>
      </c>
      <c r="J26">
        <v>9.3000000000000007</v>
      </c>
      <c r="K26">
        <v>6</v>
      </c>
      <c r="L26">
        <v>1</v>
      </c>
      <c r="M26">
        <v>5.14</v>
      </c>
      <c r="N26">
        <v>4</v>
      </c>
      <c r="O26">
        <v>1.9861</v>
      </c>
      <c r="P26">
        <v>15.33</v>
      </c>
    </row>
    <row r="27" spans="1:16">
      <c r="A27">
        <v>22</v>
      </c>
      <c r="B27">
        <v>6</v>
      </c>
      <c r="C27">
        <v>1.002</v>
      </c>
      <c r="D27">
        <v>3.25</v>
      </c>
      <c r="E27">
        <v>6</v>
      </c>
      <c r="F27">
        <v>1.99403</v>
      </c>
      <c r="G27">
        <v>7.05</v>
      </c>
      <c r="H27">
        <v>5</v>
      </c>
      <c r="I27">
        <v>1.9960199999999999</v>
      </c>
      <c r="J27">
        <v>10.1</v>
      </c>
      <c r="K27">
        <v>6</v>
      </c>
      <c r="L27">
        <v>1</v>
      </c>
      <c r="M27">
        <v>5.64</v>
      </c>
      <c r="N27">
        <v>4</v>
      </c>
      <c r="O27">
        <v>1.9861</v>
      </c>
      <c r="P27">
        <v>36.700000000000003</v>
      </c>
    </row>
    <row r="28" spans="1:16">
      <c r="A28">
        <v>23</v>
      </c>
      <c r="B28">
        <v>6</v>
      </c>
      <c r="C28">
        <v>1.002</v>
      </c>
      <c r="D28">
        <v>4.75</v>
      </c>
      <c r="E28">
        <v>6</v>
      </c>
      <c r="F28">
        <v>1.99403</v>
      </c>
      <c r="G28">
        <v>15.97</v>
      </c>
      <c r="H28">
        <v>3</v>
      </c>
      <c r="I28">
        <v>1.10504</v>
      </c>
      <c r="J28">
        <v>34.99</v>
      </c>
      <c r="K28">
        <v>6</v>
      </c>
      <c r="L28">
        <v>1</v>
      </c>
      <c r="M28">
        <v>12.12</v>
      </c>
      <c r="N28">
        <v>4</v>
      </c>
      <c r="O28">
        <v>1.9861</v>
      </c>
      <c r="P28">
        <v>16.14</v>
      </c>
    </row>
    <row r="29" spans="1:16">
      <c r="A29">
        <v>24</v>
      </c>
      <c r="B29">
        <v>3</v>
      </c>
      <c r="C29">
        <v>1</v>
      </c>
      <c r="D29">
        <v>3.65</v>
      </c>
      <c r="E29">
        <v>6</v>
      </c>
      <c r="F29">
        <v>1.99403</v>
      </c>
      <c r="G29">
        <v>7.23</v>
      </c>
      <c r="H29">
        <v>5</v>
      </c>
      <c r="I29">
        <v>1.9960199999999999</v>
      </c>
      <c r="J29">
        <v>10.33</v>
      </c>
      <c r="K29">
        <v>3</v>
      </c>
      <c r="L29">
        <v>1</v>
      </c>
      <c r="M29">
        <v>5.27</v>
      </c>
      <c r="N29">
        <v>4</v>
      </c>
      <c r="O29">
        <v>1.9861</v>
      </c>
      <c r="P29">
        <v>15.32</v>
      </c>
    </row>
    <row r="30" spans="1:16">
      <c r="A30">
        <v>25</v>
      </c>
      <c r="B30">
        <v>6</v>
      </c>
      <c r="C30">
        <v>1.002</v>
      </c>
      <c r="D30">
        <v>5.32</v>
      </c>
      <c r="E30">
        <v>6</v>
      </c>
      <c r="F30">
        <v>1.99403</v>
      </c>
      <c r="G30">
        <v>7.51</v>
      </c>
      <c r="H30">
        <v>5</v>
      </c>
      <c r="I30">
        <v>1.9960199999999999</v>
      </c>
      <c r="J30">
        <v>20.81</v>
      </c>
      <c r="K30">
        <v>6</v>
      </c>
      <c r="L30">
        <v>1</v>
      </c>
      <c r="M30">
        <v>16.27</v>
      </c>
      <c r="N30">
        <v>4</v>
      </c>
      <c r="O30">
        <v>1.9861</v>
      </c>
      <c r="P30">
        <v>45.52</v>
      </c>
    </row>
    <row r="31" spans="1:16">
      <c r="A31">
        <v>26</v>
      </c>
      <c r="B31">
        <v>3</v>
      </c>
      <c r="C31">
        <v>1</v>
      </c>
      <c r="D31">
        <v>7.41</v>
      </c>
      <c r="E31">
        <v>6</v>
      </c>
      <c r="F31">
        <v>1.99403</v>
      </c>
      <c r="G31">
        <v>15.39</v>
      </c>
      <c r="H31">
        <v>5</v>
      </c>
      <c r="I31">
        <v>1.9960199999999999</v>
      </c>
      <c r="J31">
        <v>9.19</v>
      </c>
      <c r="K31">
        <v>3</v>
      </c>
      <c r="L31">
        <v>1</v>
      </c>
      <c r="M31">
        <v>4.13</v>
      </c>
      <c r="N31">
        <v>4</v>
      </c>
      <c r="O31">
        <v>1.9861</v>
      </c>
      <c r="P31">
        <v>15.61</v>
      </c>
    </row>
    <row r="32" spans="1:16">
      <c r="A32">
        <v>27</v>
      </c>
      <c r="B32">
        <v>6</v>
      </c>
      <c r="C32">
        <v>1.002</v>
      </c>
      <c r="D32">
        <v>3.33</v>
      </c>
      <c r="E32">
        <v>6</v>
      </c>
      <c r="F32">
        <v>1.99403</v>
      </c>
      <c r="G32">
        <v>6.9</v>
      </c>
      <c r="H32">
        <v>5</v>
      </c>
      <c r="I32">
        <v>1.9960199999999999</v>
      </c>
      <c r="J32">
        <v>8.91</v>
      </c>
      <c r="K32">
        <v>6</v>
      </c>
      <c r="L32">
        <v>1</v>
      </c>
      <c r="M32">
        <v>4.6900000000000004</v>
      </c>
      <c r="N32">
        <v>4</v>
      </c>
      <c r="O32">
        <v>1.9861</v>
      </c>
      <c r="P32">
        <v>15.13</v>
      </c>
    </row>
    <row r="33" spans="1:16">
      <c r="A33">
        <v>28</v>
      </c>
      <c r="B33">
        <v>6</v>
      </c>
      <c r="C33">
        <v>1.002</v>
      </c>
      <c r="D33">
        <v>3.67</v>
      </c>
      <c r="E33">
        <v>6</v>
      </c>
      <c r="F33">
        <v>1.99403</v>
      </c>
      <c r="G33">
        <v>13.71</v>
      </c>
      <c r="H33">
        <v>3</v>
      </c>
      <c r="I33">
        <v>1.10504</v>
      </c>
      <c r="J33">
        <v>26.92</v>
      </c>
      <c r="K33">
        <v>6</v>
      </c>
      <c r="L33">
        <v>1</v>
      </c>
      <c r="M33">
        <v>16.66</v>
      </c>
      <c r="N33">
        <v>4</v>
      </c>
      <c r="O33">
        <v>1.9861</v>
      </c>
      <c r="P33">
        <v>38.19</v>
      </c>
    </row>
    <row r="34" spans="1:16">
      <c r="A34">
        <v>29</v>
      </c>
      <c r="B34">
        <v>6</v>
      </c>
      <c r="C34">
        <v>1.002</v>
      </c>
      <c r="D34">
        <v>6.2</v>
      </c>
      <c r="E34">
        <v>6</v>
      </c>
      <c r="F34">
        <v>1.99403</v>
      </c>
      <c r="G34">
        <v>10.050000000000001</v>
      </c>
      <c r="H34">
        <v>5</v>
      </c>
      <c r="I34">
        <v>1.9960199999999999</v>
      </c>
      <c r="J34">
        <v>10.54</v>
      </c>
      <c r="K34">
        <v>6</v>
      </c>
      <c r="L34">
        <v>1</v>
      </c>
      <c r="M34">
        <v>4.54</v>
      </c>
      <c r="N34">
        <v>4</v>
      </c>
      <c r="O34">
        <v>1.9861</v>
      </c>
      <c r="P34">
        <v>15.12</v>
      </c>
    </row>
    <row r="35" spans="1:16">
      <c r="A35">
        <v>30</v>
      </c>
      <c r="B35">
        <v>3</v>
      </c>
      <c r="C35">
        <v>1</v>
      </c>
      <c r="D35">
        <v>3.13</v>
      </c>
      <c r="E35">
        <v>6</v>
      </c>
      <c r="F35">
        <v>1.99403</v>
      </c>
      <c r="G35">
        <v>11.26</v>
      </c>
      <c r="H35">
        <v>6</v>
      </c>
      <c r="I35">
        <v>1.99403</v>
      </c>
      <c r="J35">
        <v>12.43</v>
      </c>
      <c r="K35">
        <v>3</v>
      </c>
      <c r="L35">
        <v>1</v>
      </c>
      <c r="M35">
        <v>5.34</v>
      </c>
      <c r="N35">
        <v>4</v>
      </c>
      <c r="O35">
        <v>1.9861</v>
      </c>
      <c r="P35">
        <v>47.28</v>
      </c>
    </row>
    <row r="36" spans="1:16">
      <c r="A36">
        <v>31</v>
      </c>
      <c r="B36">
        <v>3</v>
      </c>
      <c r="C36">
        <v>1</v>
      </c>
      <c r="D36">
        <v>16.989999999999998</v>
      </c>
      <c r="E36">
        <v>6</v>
      </c>
      <c r="F36">
        <v>1.99403</v>
      </c>
      <c r="G36">
        <v>31.6</v>
      </c>
      <c r="H36">
        <v>6</v>
      </c>
      <c r="I36">
        <v>1.99403</v>
      </c>
      <c r="J36">
        <v>31.81</v>
      </c>
      <c r="K36">
        <v>3</v>
      </c>
      <c r="L36">
        <v>1</v>
      </c>
      <c r="M36">
        <v>8.42</v>
      </c>
      <c r="N36">
        <v>4</v>
      </c>
      <c r="O36">
        <v>1.9861</v>
      </c>
      <c r="P36">
        <v>33.979999999999997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P40" si="0">MAX(C5:C36)</f>
        <v>1.002</v>
      </c>
      <c r="D40" s="1">
        <f t="shared" si="0"/>
        <v>24.95</v>
      </c>
      <c r="E40" s="1">
        <f t="shared" si="0"/>
        <v>6</v>
      </c>
      <c r="F40" s="1">
        <f t="shared" si="0"/>
        <v>1.99403</v>
      </c>
      <c r="G40" s="1">
        <f t="shared" si="0"/>
        <v>51.14</v>
      </c>
      <c r="H40" s="1">
        <f t="shared" si="0"/>
        <v>6</v>
      </c>
      <c r="I40" s="1">
        <f t="shared" si="0"/>
        <v>1.9960199999999999</v>
      </c>
      <c r="J40" s="1">
        <f t="shared" si="0"/>
        <v>66.03</v>
      </c>
      <c r="K40" s="1">
        <f t="shared" si="0"/>
        <v>6</v>
      </c>
      <c r="L40" s="1">
        <f t="shared" si="0"/>
        <v>1</v>
      </c>
      <c r="M40" s="1">
        <f t="shared" si="0"/>
        <v>82.65</v>
      </c>
      <c r="N40" s="1">
        <f t="shared" si="0"/>
        <v>4</v>
      </c>
      <c r="O40" s="1">
        <f t="shared" si="0"/>
        <v>1.9861</v>
      </c>
      <c r="P40" s="1">
        <f t="shared" si="0"/>
        <v>136.06</v>
      </c>
    </row>
    <row r="41" spans="1:16">
      <c r="A41" t="s">
        <v>12</v>
      </c>
      <c r="B41" s="1">
        <f>MIN(B5:B36)</f>
        <v>3</v>
      </c>
      <c r="C41" s="1">
        <f t="shared" ref="C41:P41" si="1">MIN(C5:C36)</f>
        <v>1</v>
      </c>
      <c r="D41" s="1">
        <f t="shared" si="1"/>
        <v>3.13</v>
      </c>
      <c r="E41" s="1">
        <f t="shared" si="1"/>
        <v>6</v>
      </c>
      <c r="F41" s="1">
        <f t="shared" si="1"/>
        <v>1.99403</v>
      </c>
      <c r="G41" s="1">
        <f t="shared" si="1"/>
        <v>6.56</v>
      </c>
      <c r="H41" s="1">
        <f t="shared" si="1"/>
        <v>3</v>
      </c>
      <c r="I41" s="1">
        <f t="shared" si="1"/>
        <v>1.10504</v>
      </c>
      <c r="J41" s="1">
        <f t="shared" si="1"/>
        <v>8.36</v>
      </c>
      <c r="K41" s="1">
        <f t="shared" si="1"/>
        <v>3</v>
      </c>
      <c r="L41" s="1">
        <f t="shared" si="1"/>
        <v>1</v>
      </c>
      <c r="M41" s="1">
        <f t="shared" si="1"/>
        <v>4.13</v>
      </c>
      <c r="N41" s="1">
        <f t="shared" si="1"/>
        <v>4</v>
      </c>
      <c r="O41" s="1">
        <f t="shared" si="1"/>
        <v>1.9861</v>
      </c>
      <c r="P41" s="1">
        <f t="shared" si="1"/>
        <v>15.12</v>
      </c>
    </row>
    <row r="42" spans="1:16">
      <c r="A42" t="s">
        <v>13</v>
      </c>
      <c r="B42" s="1">
        <f>MEDIAN(B5:B36)</f>
        <v>4.5</v>
      </c>
      <c r="C42" s="1">
        <f t="shared" ref="C42:P42" si="2">MEDIAN(C5:C36)</f>
        <v>1.0009999999999999</v>
      </c>
      <c r="D42" s="1">
        <f t="shared" si="2"/>
        <v>5.88</v>
      </c>
      <c r="E42" s="1">
        <f t="shared" si="2"/>
        <v>6</v>
      </c>
      <c r="F42" s="1">
        <f t="shared" si="2"/>
        <v>1.99403</v>
      </c>
      <c r="G42" s="1">
        <f t="shared" si="2"/>
        <v>11.745000000000001</v>
      </c>
      <c r="H42" s="1">
        <f t="shared" si="2"/>
        <v>5</v>
      </c>
      <c r="I42" s="1">
        <f t="shared" si="2"/>
        <v>1.99403</v>
      </c>
      <c r="J42" s="1">
        <f t="shared" si="2"/>
        <v>18.164999999999999</v>
      </c>
      <c r="K42" s="1">
        <f t="shared" si="2"/>
        <v>4.5</v>
      </c>
      <c r="L42" s="1">
        <f t="shared" si="2"/>
        <v>1</v>
      </c>
      <c r="M42" s="1">
        <f t="shared" si="2"/>
        <v>8.3849999999999998</v>
      </c>
      <c r="N42" s="1">
        <f t="shared" si="2"/>
        <v>4</v>
      </c>
      <c r="O42" s="1">
        <f t="shared" si="2"/>
        <v>1.9861</v>
      </c>
      <c r="P42" s="1">
        <f t="shared" si="2"/>
        <v>33.209999999999994</v>
      </c>
    </row>
    <row r="43" spans="1:16">
      <c r="A43" t="s">
        <v>14</v>
      </c>
      <c r="B43" s="1">
        <f>AVERAGE(B5:B36)</f>
        <v>4.5</v>
      </c>
      <c r="C43" s="1">
        <f t="shared" ref="C43:P43" si="3">AVERAGE(C5:C36)</f>
        <v>1.0009999999999997</v>
      </c>
      <c r="D43" s="1">
        <f t="shared" si="3"/>
        <v>7.9534374999999997</v>
      </c>
      <c r="E43" s="1">
        <f t="shared" si="3"/>
        <v>6</v>
      </c>
      <c r="F43" s="1">
        <f t="shared" si="3"/>
        <v>1.9940300000000009</v>
      </c>
      <c r="G43" s="1">
        <f t="shared" si="3"/>
        <v>16.641875000000002</v>
      </c>
      <c r="H43" s="1">
        <f t="shared" si="3"/>
        <v>4.90625</v>
      </c>
      <c r="I43" s="1">
        <f t="shared" si="3"/>
        <v>1.8630384375000006</v>
      </c>
      <c r="J43" s="1">
        <f t="shared" si="3"/>
        <v>22.973749999999995</v>
      </c>
      <c r="K43" s="1">
        <f t="shared" si="3"/>
        <v>4.5</v>
      </c>
      <c r="L43" s="1">
        <f t="shared" si="3"/>
        <v>1</v>
      </c>
      <c r="M43" s="1">
        <f t="shared" si="3"/>
        <v>15.456562500000002</v>
      </c>
      <c r="N43" s="1">
        <f t="shared" si="3"/>
        <v>4</v>
      </c>
      <c r="O43" s="1">
        <f t="shared" si="3"/>
        <v>1.9861000000000002</v>
      </c>
      <c r="P43" s="1">
        <f t="shared" si="3"/>
        <v>38.222500000000004</v>
      </c>
    </row>
    <row r="44" spans="1:16">
      <c r="A44" t="s">
        <v>15</v>
      </c>
      <c r="B44" s="1">
        <f>STDEV(B5:B36)</f>
        <v>1.5240015240022859</v>
      </c>
      <c r="C44" s="1">
        <f t="shared" ref="C44:P44" si="4">STDEV(C5:C36)</f>
        <v>1.0160010160015251E-3</v>
      </c>
      <c r="D44" s="1">
        <f t="shared" si="4"/>
        <v>5.2496393789355658</v>
      </c>
      <c r="E44" s="1">
        <f t="shared" si="4"/>
        <v>0</v>
      </c>
      <c r="F44" s="1">
        <f t="shared" si="4"/>
        <v>9.0239017680595527E-16</v>
      </c>
      <c r="G44" s="1">
        <f t="shared" si="4"/>
        <v>11.399153742641909</v>
      </c>
      <c r="H44" s="1">
        <f t="shared" si="4"/>
        <v>1.1175830776653122</v>
      </c>
      <c r="I44" s="1">
        <f t="shared" si="4"/>
        <v>0.28594656526666051</v>
      </c>
      <c r="J44" s="1">
        <f t="shared" si="4"/>
        <v>16.682432279922313</v>
      </c>
      <c r="K44" s="1">
        <f t="shared" si="4"/>
        <v>1.5240015240022859</v>
      </c>
      <c r="L44" s="1">
        <f t="shared" si="4"/>
        <v>0</v>
      </c>
      <c r="M44" s="1">
        <f t="shared" si="4"/>
        <v>17.293601764698053</v>
      </c>
      <c r="N44" s="1">
        <f t="shared" si="4"/>
        <v>0</v>
      </c>
      <c r="O44" s="1">
        <f t="shared" si="4"/>
        <v>2.2559754420148882E-16</v>
      </c>
      <c r="P44" s="1">
        <f t="shared" si="4"/>
        <v>26.673633350727314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24</v>
      </c>
      <c r="C1" t="s">
        <v>1</v>
      </c>
      <c r="D1">
        <v>30003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</v>
      </c>
      <c r="C5">
        <v>1</v>
      </c>
      <c r="D5">
        <v>102.96</v>
      </c>
      <c r="E5">
        <v>6</v>
      </c>
      <c r="F5">
        <v>1.9994000000000001</v>
      </c>
      <c r="G5">
        <v>254.35</v>
      </c>
      <c r="H5">
        <v>6</v>
      </c>
      <c r="I5">
        <v>1.9994000000000001</v>
      </c>
      <c r="J5">
        <v>134.66</v>
      </c>
      <c r="K5">
        <v>3</v>
      </c>
      <c r="L5">
        <v>1</v>
      </c>
      <c r="M5">
        <v>87.5</v>
      </c>
      <c r="N5">
        <v>4</v>
      </c>
      <c r="O5">
        <v>1.9985999999999999</v>
      </c>
      <c r="P5">
        <v>257.67</v>
      </c>
    </row>
    <row r="6" spans="1:16">
      <c r="A6">
        <v>1</v>
      </c>
      <c r="B6">
        <v>3</v>
      </c>
      <c r="C6">
        <v>1</v>
      </c>
      <c r="D6">
        <v>51.64</v>
      </c>
      <c r="E6">
        <v>6</v>
      </c>
      <c r="F6">
        <v>1.9994000000000001</v>
      </c>
      <c r="G6">
        <v>118.54</v>
      </c>
      <c r="H6">
        <v>6</v>
      </c>
      <c r="I6">
        <v>1.9994000000000001</v>
      </c>
      <c r="J6">
        <v>212.51</v>
      </c>
      <c r="K6">
        <v>3</v>
      </c>
      <c r="L6">
        <v>1</v>
      </c>
      <c r="M6">
        <v>75.319999999999993</v>
      </c>
      <c r="N6">
        <v>4</v>
      </c>
      <c r="O6">
        <v>1.9985999999999999</v>
      </c>
      <c r="P6">
        <v>318.85000000000002</v>
      </c>
    </row>
    <row r="7" spans="1:16">
      <c r="A7">
        <v>2</v>
      </c>
      <c r="B7">
        <v>3</v>
      </c>
      <c r="C7">
        <v>1</v>
      </c>
      <c r="D7">
        <v>56.33</v>
      </c>
      <c r="E7">
        <v>6</v>
      </c>
      <c r="F7">
        <v>1.9994000000000001</v>
      </c>
      <c r="G7">
        <v>128.97</v>
      </c>
      <c r="H7">
        <v>6</v>
      </c>
      <c r="I7">
        <v>1.9994000000000001</v>
      </c>
      <c r="J7">
        <v>192.58</v>
      </c>
      <c r="K7">
        <v>3</v>
      </c>
      <c r="L7">
        <v>1</v>
      </c>
      <c r="M7">
        <v>81.36</v>
      </c>
      <c r="N7">
        <v>4</v>
      </c>
      <c r="O7">
        <v>1.9985999999999999</v>
      </c>
      <c r="P7">
        <v>327.63</v>
      </c>
    </row>
    <row r="8" spans="1:16">
      <c r="A8">
        <v>3</v>
      </c>
      <c r="B8">
        <v>3</v>
      </c>
      <c r="C8">
        <v>1</v>
      </c>
      <c r="D8">
        <v>46.56</v>
      </c>
      <c r="E8">
        <v>6</v>
      </c>
      <c r="F8">
        <v>1.9994000000000001</v>
      </c>
      <c r="G8">
        <v>129.06</v>
      </c>
      <c r="H8">
        <v>6</v>
      </c>
      <c r="I8">
        <v>1.9994000000000001</v>
      </c>
      <c r="J8">
        <v>177.21</v>
      </c>
      <c r="K8">
        <v>3</v>
      </c>
      <c r="L8">
        <v>1</v>
      </c>
      <c r="M8">
        <v>79.23</v>
      </c>
      <c r="N8">
        <v>4</v>
      </c>
      <c r="O8">
        <v>1.9985999999999999</v>
      </c>
      <c r="P8">
        <v>268.07</v>
      </c>
    </row>
    <row r="9" spans="1:16">
      <c r="A9">
        <v>4</v>
      </c>
      <c r="B9">
        <v>6</v>
      </c>
      <c r="C9">
        <v>1.0002</v>
      </c>
      <c r="D9">
        <v>46.8</v>
      </c>
      <c r="E9">
        <v>6</v>
      </c>
      <c r="F9">
        <v>1.9994000000000001</v>
      </c>
      <c r="G9">
        <v>119.9</v>
      </c>
      <c r="H9">
        <v>5</v>
      </c>
      <c r="I9">
        <v>1.9996</v>
      </c>
      <c r="J9">
        <v>211.55</v>
      </c>
      <c r="K9">
        <v>6</v>
      </c>
      <c r="L9">
        <v>1</v>
      </c>
      <c r="M9">
        <v>75.680000000000007</v>
      </c>
      <c r="N9">
        <v>4</v>
      </c>
      <c r="O9">
        <v>1.9985999999999999</v>
      </c>
      <c r="P9">
        <v>246.47</v>
      </c>
    </row>
    <row r="10" spans="1:16">
      <c r="A10">
        <v>5</v>
      </c>
      <c r="B10">
        <v>3</v>
      </c>
      <c r="C10">
        <v>1</v>
      </c>
      <c r="D10">
        <v>58.74</v>
      </c>
      <c r="E10">
        <v>6</v>
      </c>
      <c r="F10">
        <v>1.9994000000000001</v>
      </c>
      <c r="G10">
        <v>108.77</v>
      </c>
      <c r="H10">
        <v>6</v>
      </c>
      <c r="I10">
        <v>1.9994000000000001</v>
      </c>
      <c r="J10">
        <v>174.03</v>
      </c>
      <c r="K10">
        <v>3</v>
      </c>
      <c r="L10">
        <v>1</v>
      </c>
      <c r="M10">
        <v>85.3</v>
      </c>
      <c r="N10">
        <v>4</v>
      </c>
      <c r="O10">
        <v>1.9985999999999999</v>
      </c>
      <c r="P10">
        <v>241.41</v>
      </c>
    </row>
    <row r="11" spans="1:16">
      <c r="A11">
        <v>6</v>
      </c>
      <c r="B11">
        <v>3</v>
      </c>
      <c r="C11">
        <v>1</v>
      </c>
      <c r="D11">
        <v>45.82</v>
      </c>
      <c r="E11">
        <v>6</v>
      </c>
      <c r="F11">
        <v>1.9994000000000001</v>
      </c>
      <c r="G11">
        <v>112.72</v>
      </c>
      <c r="H11">
        <v>5</v>
      </c>
      <c r="I11">
        <v>1.9996</v>
      </c>
      <c r="J11">
        <v>202.23</v>
      </c>
      <c r="K11">
        <v>3</v>
      </c>
      <c r="L11">
        <v>1</v>
      </c>
      <c r="M11">
        <v>73.69</v>
      </c>
      <c r="N11">
        <v>4</v>
      </c>
      <c r="O11">
        <v>1.9985999999999999</v>
      </c>
      <c r="P11">
        <v>243.65</v>
      </c>
    </row>
    <row r="12" spans="1:16">
      <c r="A12">
        <v>7</v>
      </c>
      <c r="B12">
        <v>3</v>
      </c>
      <c r="C12">
        <v>1</v>
      </c>
      <c r="D12">
        <v>53.88</v>
      </c>
      <c r="E12">
        <v>6</v>
      </c>
      <c r="F12">
        <v>1.9994000000000001</v>
      </c>
      <c r="G12">
        <v>123.25</v>
      </c>
      <c r="H12">
        <v>6</v>
      </c>
      <c r="I12">
        <v>1.9994000000000001</v>
      </c>
      <c r="J12">
        <v>167.67</v>
      </c>
      <c r="K12">
        <v>3</v>
      </c>
      <c r="L12">
        <v>1</v>
      </c>
      <c r="M12">
        <v>80.36</v>
      </c>
      <c r="N12">
        <v>4</v>
      </c>
      <c r="O12">
        <v>1.9985999999999999</v>
      </c>
      <c r="P12">
        <v>244.56</v>
      </c>
    </row>
    <row r="13" spans="1:16">
      <c r="A13">
        <v>8</v>
      </c>
      <c r="B13">
        <v>3</v>
      </c>
      <c r="C13">
        <v>1</v>
      </c>
      <c r="D13">
        <v>50.57</v>
      </c>
      <c r="E13">
        <v>6</v>
      </c>
      <c r="F13">
        <v>1.9994000000000001</v>
      </c>
      <c r="G13">
        <v>116.24</v>
      </c>
      <c r="H13">
        <v>5</v>
      </c>
      <c r="I13">
        <v>1.9996</v>
      </c>
      <c r="J13">
        <v>208.36</v>
      </c>
      <c r="K13">
        <v>3</v>
      </c>
      <c r="L13">
        <v>1</v>
      </c>
      <c r="M13">
        <v>80.489999999999995</v>
      </c>
      <c r="N13">
        <v>4</v>
      </c>
      <c r="O13">
        <v>1.9985999999999999</v>
      </c>
      <c r="P13">
        <v>233.09</v>
      </c>
    </row>
    <row r="14" spans="1:16">
      <c r="A14">
        <v>9</v>
      </c>
      <c r="B14">
        <v>3</v>
      </c>
      <c r="C14">
        <v>1</v>
      </c>
      <c r="D14">
        <v>49.05</v>
      </c>
      <c r="E14">
        <v>6</v>
      </c>
      <c r="F14">
        <v>1.9994000000000001</v>
      </c>
      <c r="G14">
        <v>119.09</v>
      </c>
      <c r="H14">
        <v>5</v>
      </c>
      <c r="I14">
        <v>1.9996</v>
      </c>
      <c r="J14">
        <v>190.62</v>
      </c>
      <c r="K14">
        <v>3</v>
      </c>
      <c r="L14">
        <v>1</v>
      </c>
      <c r="M14">
        <v>80.36</v>
      </c>
      <c r="N14">
        <v>4</v>
      </c>
      <c r="O14">
        <v>1.9985999999999999</v>
      </c>
      <c r="P14">
        <v>264.81</v>
      </c>
    </row>
    <row r="15" spans="1:16">
      <c r="A15">
        <v>10</v>
      </c>
      <c r="B15">
        <v>6</v>
      </c>
      <c r="C15">
        <v>1.0002</v>
      </c>
      <c r="D15">
        <v>48.13</v>
      </c>
      <c r="E15">
        <v>6</v>
      </c>
      <c r="F15">
        <v>1.9994000000000001</v>
      </c>
      <c r="G15">
        <v>118.16</v>
      </c>
      <c r="H15">
        <v>5</v>
      </c>
      <c r="I15">
        <v>1.9996</v>
      </c>
      <c r="J15">
        <v>200.76</v>
      </c>
      <c r="K15">
        <v>6</v>
      </c>
      <c r="L15">
        <v>1</v>
      </c>
      <c r="M15">
        <v>74.86</v>
      </c>
      <c r="N15">
        <v>4</v>
      </c>
      <c r="O15">
        <v>1.9985999999999999</v>
      </c>
      <c r="P15">
        <v>239.24</v>
      </c>
    </row>
    <row r="16" spans="1:16">
      <c r="A16">
        <v>11</v>
      </c>
      <c r="B16">
        <v>3</v>
      </c>
      <c r="C16">
        <v>1</v>
      </c>
      <c r="D16">
        <v>62.07</v>
      </c>
      <c r="E16">
        <v>6</v>
      </c>
      <c r="F16">
        <v>1.9994000000000001</v>
      </c>
      <c r="G16">
        <v>110.92</v>
      </c>
      <c r="H16">
        <v>6</v>
      </c>
      <c r="I16">
        <v>1.9994000000000001</v>
      </c>
      <c r="J16">
        <v>174.23</v>
      </c>
      <c r="K16">
        <v>3</v>
      </c>
      <c r="L16">
        <v>1</v>
      </c>
      <c r="M16">
        <v>79.83</v>
      </c>
      <c r="N16">
        <v>4</v>
      </c>
      <c r="O16">
        <v>1.9985999999999999</v>
      </c>
      <c r="P16">
        <v>246.75</v>
      </c>
    </row>
    <row r="17" spans="1:16">
      <c r="A17">
        <v>12</v>
      </c>
      <c r="B17">
        <v>6</v>
      </c>
      <c r="C17">
        <v>1.0002</v>
      </c>
      <c r="D17">
        <v>48.43</v>
      </c>
      <c r="E17">
        <v>6</v>
      </c>
      <c r="F17">
        <v>1.9994000000000001</v>
      </c>
      <c r="G17">
        <v>113.46</v>
      </c>
      <c r="H17">
        <v>3</v>
      </c>
      <c r="I17">
        <v>1.4593100000000001</v>
      </c>
      <c r="J17">
        <v>195.81</v>
      </c>
      <c r="K17">
        <v>6</v>
      </c>
      <c r="L17">
        <v>1</v>
      </c>
      <c r="M17">
        <v>74.790000000000006</v>
      </c>
      <c r="N17">
        <v>4</v>
      </c>
      <c r="O17">
        <v>1.9985999999999999</v>
      </c>
      <c r="P17">
        <v>230.24</v>
      </c>
    </row>
    <row r="18" spans="1:16">
      <c r="A18">
        <v>13</v>
      </c>
      <c r="B18">
        <v>3</v>
      </c>
      <c r="C18">
        <v>1</v>
      </c>
      <c r="D18">
        <v>54.94</v>
      </c>
      <c r="E18">
        <v>6</v>
      </c>
      <c r="F18">
        <v>1.9994000000000001</v>
      </c>
      <c r="G18">
        <v>110.8</v>
      </c>
      <c r="H18">
        <v>6</v>
      </c>
      <c r="I18">
        <v>1.9994000000000001</v>
      </c>
      <c r="J18">
        <v>182</v>
      </c>
      <c r="K18">
        <v>3</v>
      </c>
      <c r="L18">
        <v>1</v>
      </c>
      <c r="M18">
        <v>80.11</v>
      </c>
      <c r="N18">
        <v>4</v>
      </c>
      <c r="O18">
        <v>1.9985999999999999</v>
      </c>
      <c r="P18">
        <v>240.85</v>
      </c>
    </row>
    <row r="19" spans="1:16">
      <c r="A19">
        <v>14</v>
      </c>
      <c r="B19">
        <v>3</v>
      </c>
      <c r="C19">
        <v>1</v>
      </c>
      <c r="D19">
        <v>47.97</v>
      </c>
      <c r="E19">
        <v>6</v>
      </c>
      <c r="F19">
        <v>1.9994000000000001</v>
      </c>
      <c r="G19">
        <v>116.51</v>
      </c>
      <c r="H19">
        <v>6</v>
      </c>
      <c r="I19">
        <v>1.9994000000000001</v>
      </c>
      <c r="J19">
        <v>180.3</v>
      </c>
      <c r="K19">
        <v>3</v>
      </c>
      <c r="L19">
        <v>1</v>
      </c>
      <c r="M19">
        <v>76.040000000000006</v>
      </c>
      <c r="N19">
        <v>4</v>
      </c>
      <c r="O19">
        <v>1.9985999999999999</v>
      </c>
      <c r="P19">
        <v>239.13</v>
      </c>
    </row>
    <row r="20" spans="1:16">
      <c r="A20">
        <v>15</v>
      </c>
      <c r="B20">
        <v>6</v>
      </c>
      <c r="C20">
        <v>1.0002</v>
      </c>
      <c r="D20">
        <v>50.05</v>
      </c>
      <c r="E20">
        <v>6</v>
      </c>
      <c r="F20">
        <v>1.9994000000000001</v>
      </c>
      <c r="G20">
        <v>120.9</v>
      </c>
      <c r="H20">
        <v>3</v>
      </c>
      <c r="I20">
        <v>1.45207</v>
      </c>
      <c r="J20">
        <v>186.82</v>
      </c>
      <c r="K20">
        <v>6</v>
      </c>
      <c r="L20">
        <v>1</v>
      </c>
      <c r="M20">
        <v>80.89</v>
      </c>
      <c r="N20">
        <v>4</v>
      </c>
      <c r="O20">
        <v>1.9985999999999999</v>
      </c>
      <c r="P20">
        <v>238.97</v>
      </c>
    </row>
    <row r="21" spans="1:16">
      <c r="A21">
        <v>16</v>
      </c>
      <c r="B21">
        <v>6</v>
      </c>
      <c r="C21">
        <v>1.0002</v>
      </c>
      <c r="D21">
        <v>48.01</v>
      </c>
      <c r="E21">
        <v>6</v>
      </c>
      <c r="F21">
        <v>1.9994000000000001</v>
      </c>
      <c r="G21">
        <v>111.81</v>
      </c>
      <c r="H21">
        <v>3</v>
      </c>
      <c r="I21">
        <v>1.3201099999999999</v>
      </c>
      <c r="J21">
        <v>198.78</v>
      </c>
      <c r="K21">
        <v>6</v>
      </c>
      <c r="L21">
        <v>1</v>
      </c>
      <c r="M21">
        <v>75.66</v>
      </c>
      <c r="N21">
        <v>4</v>
      </c>
      <c r="O21">
        <v>1.9985999999999999</v>
      </c>
      <c r="P21">
        <v>235.19</v>
      </c>
    </row>
    <row r="22" spans="1:16">
      <c r="A22">
        <v>17</v>
      </c>
      <c r="B22">
        <v>3</v>
      </c>
      <c r="C22">
        <v>1</v>
      </c>
      <c r="D22">
        <v>49.03</v>
      </c>
      <c r="E22">
        <v>6</v>
      </c>
      <c r="F22">
        <v>1.9994000000000001</v>
      </c>
      <c r="G22">
        <v>116.32</v>
      </c>
      <c r="H22">
        <v>5</v>
      </c>
      <c r="I22">
        <v>1.9996</v>
      </c>
      <c r="J22">
        <v>189.99</v>
      </c>
      <c r="K22">
        <v>3</v>
      </c>
      <c r="L22">
        <v>1</v>
      </c>
      <c r="M22">
        <v>81.27</v>
      </c>
      <c r="N22">
        <v>4</v>
      </c>
      <c r="O22">
        <v>1.9985999999999999</v>
      </c>
      <c r="P22">
        <v>238.59</v>
      </c>
    </row>
    <row r="23" spans="1:16">
      <c r="A23">
        <v>18</v>
      </c>
      <c r="B23">
        <v>3</v>
      </c>
      <c r="C23">
        <v>1</v>
      </c>
      <c r="D23">
        <v>46.64</v>
      </c>
      <c r="E23">
        <v>6</v>
      </c>
      <c r="F23">
        <v>1.9994000000000001</v>
      </c>
      <c r="G23">
        <v>110.27</v>
      </c>
      <c r="H23">
        <v>6</v>
      </c>
      <c r="I23">
        <v>1.9994000000000001</v>
      </c>
      <c r="J23">
        <v>185.29</v>
      </c>
      <c r="K23">
        <v>3</v>
      </c>
      <c r="L23">
        <v>1</v>
      </c>
      <c r="M23">
        <v>73.819999999999993</v>
      </c>
      <c r="N23">
        <v>4</v>
      </c>
      <c r="O23">
        <v>1.9985999999999999</v>
      </c>
      <c r="P23">
        <v>251.95</v>
      </c>
    </row>
    <row r="24" spans="1:16">
      <c r="A24">
        <v>19</v>
      </c>
      <c r="B24">
        <v>3</v>
      </c>
      <c r="C24">
        <v>1</v>
      </c>
      <c r="D24">
        <v>48.09</v>
      </c>
      <c r="E24">
        <v>6</v>
      </c>
      <c r="F24">
        <v>1.9994000000000001</v>
      </c>
      <c r="G24">
        <v>126.66</v>
      </c>
      <c r="H24">
        <v>6</v>
      </c>
      <c r="I24">
        <v>1.9994000000000001</v>
      </c>
      <c r="J24">
        <v>196.25</v>
      </c>
      <c r="K24">
        <v>3</v>
      </c>
      <c r="L24">
        <v>1</v>
      </c>
      <c r="M24">
        <v>88.52</v>
      </c>
      <c r="N24">
        <v>4</v>
      </c>
      <c r="O24">
        <v>1.9985999999999999</v>
      </c>
      <c r="P24">
        <v>252.14</v>
      </c>
    </row>
    <row r="25" spans="1:16">
      <c r="A25">
        <v>20</v>
      </c>
      <c r="B25">
        <v>6</v>
      </c>
      <c r="C25">
        <v>1.0002</v>
      </c>
      <c r="D25">
        <v>48.1</v>
      </c>
      <c r="E25">
        <v>6</v>
      </c>
      <c r="F25">
        <v>1.9994000000000001</v>
      </c>
      <c r="G25">
        <v>111.82</v>
      </c>
      <c r="H25">
        <v>3</v>
      </c>
      <c r="I25">
        <v>1.5366500000000001</v>
      </c>
      <c r="J25">
        <v>202.36</v>
      </c>
      <c r="K25">
        <v>6</v>
      </c>
      <c r="L25">
        <v>1</v>
      </c>
      <c r="M25">
        <v>75.23</v>
      </c>
      <c r="N25">
        <v>4</v>
      </c>
      <c r="O25">
        <v>1.9985999999999999</v>
      </c>
      <c r="P25">
        <v>231.44</v>
      </c>
    </row>
    <row r="26" spans="1:16">
      <c r="A26">
        <v>21</v>
      </c>
      <c r="B26">
        <v>6</v>
      </c>
      <c r="C26">
        <v>1.0002</v>
      </c>
      <c r="D26">
        <v>47.51</v>
      </c>
      <c r="E26">
        <v>6</v>
      </c>
      <c r="F26">
        <v>1.9994000000000001</v>
      </c>
      <c r="G26">
        <v>116.61</v>
      </c>
      <c r="H26">
        <v>5</v>
      </c>
      <c r="I26">
        <v>1.9996</v>
      </c>
      <c r="J26">
        <v>191.16</v>
      </c>
      <c r="K26">
        <v>6</v>
      </c>
      <c r="L26">
        <v>1</v>
      </c>
      <c r="M26">
        <v>81.37</v>
      </c>
      <c r="N26">
        <v>4</v>
      </c>
      <c r="O26">
        <v>1.9985999999999999</v>
      </c>
      <c r="P26">
        <v>240.73</v>
      </c>
    </row>
    <row r="27" spans="1:16">
      <c r="A27">
        <v>22</v>
      </c>
      <c r="B27">
        <v>3</v>
      </c>
      <c r="C27">
        <v>1</v>
      </c>
      <c r="D27">
        <v>47.57</v>
      </c>
      <c r="E27">
        <v>6</v>
      </c>
      <c r="F27">
        <v>1.9994000000000001</v>
      </c>
      <c r="G27">
        <v>110.37</v>
      </c>
      <c r="H27">
        <v>6</v>
      </c>
      <c r="I27">
        <v>1.9994000000000001</v>
      </c>
      <c r="J27">
        <v>182.24</v>
      </c>
      <c r="K27">
        <v>3</v>
      </c>
      <c r="L27">
        <v>1</v>
      </c>
      <c r="M27">
        <v>80.08</v>
      </c>
      <c r="N27">
        <v>4</v>
      </c>
      <c r="O27">
        <v>1.9985999999999999</v>
      </c>
      <c r="P27">
        <v>235.89</v>
      </c>
    </row>
    <row r="28" spans="1:16">
      <c r="A28">
        <v>23</v>
      </c>
      <c r="B28">
        <v>6</v>
      </c>
      <c r="C28">
        <v>1.0002</v>
      </c>
      <c r="D28">
        <v>48.46</v>
      </c>
      <c r="E28">
        <v>6</v>
      </c>
      <c r="F28">
        <v>1.9994000000000001</v>
      </c>
      <c r="G28">
        <v>118.98</v>
      </c>
      <c r="H28">
        <v>3</v>
      </c>
      <c r="I28">
        <v>1.14635</v>
      </c>
      <c r="J28">
        <v>198.25</v>
      </c>
      <c r="K28">
        <v>6</v>
      </c>
      <c r="L28">
        <v>1</v>
      </c>
      <c r="M28">
        <v>79.66</v>
      </c>
      <c r="N28">
        <v>4</v>
      </c>
      <c r="O28">
        <v>1.9985999999999999</v>
      </c>
      <c r="P28">
        <v>231.04</v>
      </c>
    </row>
    <row r="29" spans="1:16">
      <c r="A29">
        <v>24</v>
      </c>
      <c r="B29">
        <v>6</v>
      </c>
      <c r="C29">
        <v>1.0002</v>
      </c>
      <c r="D29">
        <v>47.41</v>
      </c>
      <c r="E29">
        <v>6</v>
      </c>
      <c r="F29">
        <v>1.9994000000000001</v>
      </c>
      <c r="G29">
        <v>106.24</v>
      </c>
      <c r="H29">
        <v>3</v>
      </c>
      <c r="I29">
        <v>1.5573999999999999</v>
      </c>
      <c r="J29">
        <v>199.25</v>
      </c>
      <c r="K29">
        <v>6</v>
      </c>
      <c r="L29">
        <v>1</v>
      </c>
      <c r="M29">
        <v>78.459999999999994</v>
      </c>
      <c r="N29">
        <v>4</v>
      </c>
      <c r="O29">
        <v>1.9985999999999999</v>
      </c>
      <c r="P29">
        <v>234.63</v>
      </c>
    </row>
    <row r="30" spans="1:16">
      <c r="A30">
        <v>25</v>
      </c>
      <c r="B30">
        <v>6</v>
      </c>
      <c r="C30">
        <v>1.0002</v>
      </c>
      <c r="D30">
        <v>47.83</v>
      </c>
      <c r="E30">
        <v>6</v>
      </c>
      <c r="F30">
        <v>1.9994000000000001</v>
      </c>
      <c r="G30">
        <v>117.32</v>
      </c>
      <c r="H30">
        <v>5</v>
      </c>
      <c r="I30">
        <v>1.9996</v>
      </c>
      <c r="J30">
        <v>191.2</v>
      </c>
      <c r="K30">
        <v>6</v>
      </c>
      <c r="L30">
        <v>1</v>
      </c>
      <c r="M30">
        <v>72.59</v>
      </c>
      <c r="N30">
        <v>4</v>
      </c>
      <c r="O30">
        <v>1.9985999999999999</v>
      </c>
      <c r="P30">
        <v>240.84</v>
      </c>
    </row>
    <row r="31" spans="1:16">
      <c r="A31">
        <v>26</v>
      </c>
      <c r="B31">
        <v>3</v>
      </c>
      <c r="C31">
        <v>1</v>
      </c>
      <c r="D31">
        <v>48.43</v>
      </c>
      <c r="E31">
        <v>6</v>
      </c>
      <c r="F31">
        <v>1.9994000000000001</v>
      </c>
      <c r="G31">
        <v>107.94</v>
      </c>
      <c r="H31">
        <v>6</v>
      </c>
      <c r="I31">
        <v>1.9994000000000001</v>
      </c>
      <c r="J31">
        <v>173.13</v>
      </c>
      <c r="K31">
        <v>3</v>
      </c>
      <c r="L31">
        <v>1</v>
      </c>
      <c r="M31">
        <v>86.35</v>
      </c>
      <c r="N31">
        <v>4</v>
      </c>
      <c r="O31">
        <v>1.9985999999999999</v>
      </c>
      <c r="P31">
        <v>258.63</v>
      </c>
    </row>
    <row r="32" spans="1:16">
      <c r="A32">
        <v>27</v>
      </c>
      <c r="B32">
        <v>3</v>
      </c>
      <c r="C32">
        <v>1</v>
      </c>
      <c r="D32">
        <v>49.11</v>
      </c>
      <c r="E32">
        <v>6</v>
      </c>
      <c r="F32">
        <v>1.9994000000000001</v>
      </c>
      <c r="G32">
        <v>118.88</v>
      </c>
      <c r="H32">
        <v>6</v>
      </c>
      <c r="I32">
        <v>1.9994000000000001</v>
      </c>
      <c r="J32">
        <v>169.99</v>
      </c>
      <c r="K32">
        <v>3</v>
      </c>
      <c r="L32">
        <v>1</v>
      </c>
      <c r="M32">
        <v>75.709999999999994</v>
      </c>
      <c r="N32">
        <v>4</v>
      </c>
      <c r="O32">
        <v>1.9985999999999999</v>
      </c>
      <c r="P32">
        <v>245.65</v>
      </c>
    </row>
    <row r="33" spans="1:16">
      <c r="A33">
        <v>28</v>
      </c>
      <c r="B33">
        <v>3</v>
      </c>
      <c r="C33">
        <v>1</v>
      </c>
      <c r="D33">
        <v>47.89</v>
      </c>
      <c r="E33">
        <v>6</v>
      </c>
      <c r="F33">
        <v>1.9994000000000001</v>
      </c>
      <c r="G33">
        <v>109.15</v>
      </c>
      <c r="H33">
        <v>6</v>
      </c>
      <c r="I33">
        <v>1.9994000000000001</v>
      </c>
      <c r="J33">
        <v>181.27</v>
      </c>
      <c r="K33">
        <v>3</v>
      </c>
      <c r="L33">
        <v>1</v>
      </c>
      <c r="M33">
        <v>85.81</v>
      </c>
      <c r="N33">
        <v>4</v>
      </c>
      <c r="O33">
        <v>1.9985999999999999</v>
      </c>
      <c r="P33">
        <v>236.91</v>
      </c>
    </row>
    <row r="34" spans="1:16">
      <c r="A34">
        <v>29</v>
      </c>
      <c r="B34">
        <v>6</v>
      </c>
      <c r="C34">
        <v>1.0002</v>
      </c>
      <c r="D34">
        <v>48.36</v>
      </c>
      <c r="E34">
        <v>6</v>
      </c>
      <c r="F34">
        <v>1.9994000000000001</v>
      </c>
      <c r="G34">
        <v>116.05</v>
      </c>
      <c r="H34">
        <v>3</v>
      </c>
      <c r="I34">
        <v>1.53793</v>
      </c>
      <c r="J34">
        <v>180.9</v>
      </c>
      <c r="K34">
        <v>6</v>
      </c>
      <c r="L34">
        <v>1</v>
      </c>
      <c r="M34">
        <v>77.760000000000005</v>
      </c>
      <c r="N34">
        <v>4</v>
      </c>
      <c r="O34">
        <v>1.9985999999999999</v>
      </c>
      <c r="P34">
        <v>251.49</v>
      </c>
    </row>
    <row r="35" spans="1:16">
      <c r="A35">
        <v>30</v>
      </c>
      <c r="B35">
        <v>3</v>
      </c>
      <c r="C35">
        <v>1</v>
      </c>
      <c r="D35">
        <v>47.33</v>
      </c>
      <c r="E35">
        <v>6</v>
      </c>
      <c r="F35">
        <v>1.9994000000000001</v>
      </c>
      <c r="G35">
        <v>105.89</v>
      </c>
      <c r="H35">
        <v>6</v>
      </c>
      <c r="I35">
        <v>1.9994000000000001</v>
      </c>
      <c r="J35">
        <v>172.77</v>
      </c>
      <c r="K35">
        <v>3</v>
      </c>
      <c r="L35">
        <v>1</v>
      </c>
      <c r="M35">
        <v>84.81</v>
      </c>
      <c r="N35">
        <v>4</v>
      </c>
      <c r="O35">
        <v>1.9985999999999999</v>
      </c>
      <c r="P35">
        <v>240.5</v>
      </c>
    </row>
    <row r="36" spans="1:16">
      <c r="A36">
        <v>31</v>
      </c>
      <c r="B36">
        <v>3</v>
      </c>
      <c r="C36">
        <v>1</v>
      </c>
      <c r="D36">
        <v>50.1</v>
      </c>
      <c r="E36">
        <v>6</v>
      </c>
      <c r="F36">
        <v>1.9994000000000001</v>
      </c>
      <c r="G36">
        <v>121.38</v>
      </c>
      <c r="H36">
        <v>5</v>
      </c>
      <c r="I36">
        <v>1.9996</v>
      </c>
      <c r="J36">
        <v>192.1</v>
      </c>
      <c r="K36">
        <v>3</v>
      </c>
      <c r="L36">
        <v>1</v>
      </c>
      <c r="M36">
        <v>76.03</v>
      </c>
      <c r="N36">
        <v>4</v>
      </c>
      <c r="O36">
        <v>1.9985999999999999</v>
      </c>
      <c r="P36">
        <v>242.89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I40" si="0">MAX(C5:C36)</f>
        <v>1.0002</v>
      </c>
      <c r="D40" s="1">
        <f t="shared" si="0"/>
        <v>102.96</v>
      </c>
      <c r="E40" s="1">
        <f t="shared" si="0"/>
        <v>6</v>
      </c>
      <c r="F40" s="1">
        <f t="shared" si="0"/>
        <v>1.9994000000000001</v>
      </c>
      <c r="G40" s="1">
        <f t="shared" si="0"/>
        <v>254.35</v>
      </c>
      <c r="H40" s="1">
        <f t="shared" si="0"/>
        <v>6</v>
      </c>
      <c r="I40" s="1">
        <f t="shared" si="0"/>
        <v>1.9996</v>
      </c>
      <c r="J40" s="1">
        <f t="shared" ref="J40:P40" si="1">MAX(J5:J36)</f>
        <v>212.51</v>
      </c>
      <c r="K40" s="1">
        <f t="shared" si="1"/>
        <v>6</v>
      </c>
      <c r="L40" s="1">
        <f t="shared" si="1"/>
        <v>1</v>
      </c>
      <c r="M40" s="1">
        <f t="shared" si="1"/>
        <v>88.52</v>
      </c>
      <c r="N40" s="1">
        <f t="shared" si="1"/>
        <v>4</v>
      </c>
      <c r="O40" s="1">
        <f t="shared" si="1"/>
        <v>1.9985999999999999</v>
      </c>
      <c r="P40" s="1">
        <f t="shared" si="1"/>
        <v>327.63</v>
      </c>
    </row>
    <row r="41" spans="1:16">
      <c r="A41" t="s">
        <v>12</v>
      </c>
      <c r="B41" s="1">
        <f>MIN(B5:B36)</f>
        <v>3</v>
      </c>
      <c r="C41" s="1">
        <f t="shared" ref="C41:I41" si="2">MIN(C5:C36)</f>
        <v>1</v>
      </c>
      <c r="D41" s="1">
        <f t="shared" si="2"/>
        <v>45.82</v>
      </c>
      <c r="E41" s="1">
        <f t="shared" si="2"/>
        <v>6</v>
      </c>
      <c r="F41" s="1">
        <f t="shared" si="2"/>
        <v>1.9994000000000001</v>
      </c>
      <c r="G41" s="1">
        <f t="shared" si="2"/>
        <v>105.89</v>
      </c>
      <c r="H41" s="1">
        <f t="shared" si="2"/>
        <v>3</v>
      </c>
      <c r="I41" s="1">
        <f t="shared" si="2"/>
        <v>1.14635</v>
      </c>
      <c r="J41" s="1">
        <f t="shared" ref="J41:P41" si="3">MIN(J5:J36)</f>
        <v>134.66</v>
      </c>
      <c r="K41" s="1">
        <f t="shared" si="3"/>
        <v>3</v>
      </c>
      <c r="L41" s="1">
        <f t="shared" si="3"/>
        <v>1</v>
      </c>
      <c r="M41" s="1">
        <f t="shared" si="3"/>
        <v>72.59</v>
      </c>
      <c r="N41" s="1">
        <f t="shared" si="3"/>
        <v>4</v>
      </c>
      <c r="O41" s="1">
        <f t="shared" si="3"/>
        <v>1.9985999999999999</v>
      </c>
      <c r="P41" s="1">
        <f t="shared" si="3"/>
        <v>230.24</v>
      </c>
    </row>
    <row r="42" spans="1:16">
      <c r="A42" t="s">
        <v>13</v>
      </c>
      <c r="B42" s="1">
        <f>MEDIAN(B5:B36)</f>
        <v>3</v>
      </c>
      <c r="C42" s="1">
        <f t="shared" ref="C42:I42" si="4">MEDIAN(C5:C36)</f>
        <v>1</v>
      </c>
      <c r="D42" s="1">
        <f t="shared" si="4"/>
        <v>48.394999999999996</v>
      </c>
      <c r="E42" s="1">
        <f t="shared" si="4"/>
        <v>6</v>
      </c>
      <c r="F42" s="1">
        <f t="shared" si="4"/>
        <v>1.9994000000000001</v>
      </c>
      <c r="G42" s="1">
        <f t="shared" si="4"/>
        <v>116.41499999999999</v>
      </c>
      <c r="H42" s="1">
        <f t="shared" si="4"/>
        <v>5.5</v>
      </c>
      <c r="I42" s="1">
        <f t="shared" si="4"/>
        <v>1.9994000000000001</v>
      </c>
      <c r="J42" s="1">
        <f t="shared" ref="J42:P42" si="5">MEDIAN(J5:J36)</f>
        <v>190.30500000000001</v>
      </c>
      <c r="K42" s="1">
        <f t="shared" si="5"/>
        <v>3</v>
      </c>
      <c r="L42" s="1">
        <f t="shared" si="5"/>
        <v>1</v>
      </c>
      <c r="M42" s="1">
        <f t="shared" si="5"/>
        <v>79.745000000000005</v>
      </c>
      <c r="N42" s="1">
        <f t="shared" si="5"/>
        <v>4</v>
      </c>
      <c r="O42" s="1">
        <f t="shared" si="5"/>
        <v>1.9985999999999999</v>
      </c>
      <c r="P42" s="1">
        <f t="shared" si="5"/>
        <v>241.13</v>
      </c>
    </row>
    <row r="43" spans="1:16">
      <c r="A43" t="s">
        <v>14</v>
      </c>
      <c r="B43" s="1">
        <f>AVERAGE(B5:B36)</f>
        <v>4.03125</v>
      </c>
      <c r="C43" s="1">
        <f t="shared" ref="C43:I43" si="6">AVERAGE(C5:C36)</f>
        <v>1.0000687499999998</v>
      </c>
      <c r="D43" s="1">
        <f t="shared" si="6"/>
        <v>51.369062499999991</v>
      </c>
      <c r="E43" s="1">
        <f t="shared" si="6"/>
        <v>6</v>
      </c>
      <c r="F43" s="1">
        <f t="shared" si="6"/>
        <v>1.999400000000001</v>
      </c>
      <c r="G43" s="1">
        <f t="shared" si="6"/>
        <v>120.22906250000003</v>
      </c>
      <c r="H43" s="1">
        <f t="shared" si="6"/>
        <v>5.0625</v>
      </c>
      <c r="I43" s="1">
        <f t="shared" si="6"/>
        <v>1.8748943750000007</v>
      </c>
      <c r="J43" s="1">
        <f t="shared" ref="J43:P43" si="7">AVERAGE(J5:J36)</f>
        <v>187.38343750000004</v>
      </c>
      <c r="K43" s="1">
        <f t="shared" si="7"/>
        <v>4.03125</v>
      </c>
      <c r="L43" s="1">
        <f t="shared" si="7"/>
        <v>1</v>
      </c>
      <c r="M43" s="1">
        <f t="shared" si="7"/>
        <v>79.341875000000016</v>
      </c>
      <c r="N43" s="1">
        <f t="shared" si="7"/>
        <v>4</v>
      </c>
      <c r="O43" s="1">
        <f t="shared" si="7"/>
        <v>1.9986000000000015</v>
      </c>
      <c r="P43" s="1">
        <f t="shared" si="7"/>
        <v>248.43437499999999</v>
      </c>
    </row>
    <row r="44" spans="1:16">
      <c r="A44" t="s">
        <v>15</v>
      </c>
      <c r="B44" s="1">
        <f>STDEV(B5:B36)</f>
        <v>1.4476761133044429</v>
      </c>
      <c r="C44" s="1">
        <f t="shared" ref="C44:I44" si="8">STDEV(C5:C36)</f>
        <v>9.6511740886952237E-5</v>
      </c>
      <c r="D44" s="1">
        <f t="shared" si="8"/>
        <v>10.107184400815965</v>
      </c>
      <c r="E44" s="1">
        <f t="shared" si="8"/>
        <v>0</v>
      </c>
      <c r="F44" s="1">
        <f t="shared" si="8"/>
        <v>9.0239017680595527E-16</v>
      </c>
      <c r="G44" s="1">
        <f t="shared" si="8"/>
        <v>25.217231098081005</v>
      </c>
      <c r="H44" s="1">
        <f t="shared" si="8"/>
        <v>1.189673308368798</v>
      </c>
      <c r="I44" s="1">
        <f t="shared" si="8"/>
        <v>0.24801145954191767</v>
      </c>
      <c r="J44" s="1">
        <f t="shared" ref="J44:P44" si="9">STDEV(J5:J36)</f>
        <v>15.497091633359529</v>
      </c>
      <c r="K44" s="1">
        <f t="shared" si="9"/>
        <v>1.4476761133044429</v>
      </c>
      <c r="L44" s="1">
        <f t="shared" si="9"/>
        <v>0</v>
      </c>
      <c r="M44" s="1">
        <f t="shared" si="9"/>
        <v>4.3013167057571806</v>
      </c>
      <c r="N44" s="1">
        <f t="shared" si="9"/>
        <v>0</v>
      </c>
      <c r="O44" s="1">
        <f t="shared" si="9"/>
        <v>1.5791828094104216E-15</v>
      </c>
      <c r="P44" s="1">
        <f t="shared" si="9"/>
        <v>21.739099150030082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25</v>
      </c>
      <c r="C1" t="s">
        <v>1</v>
      </c>
      <c r="D1">
        <v>300003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6</v>
      </c>
      <c r="C5">
        <v>1.0000199999999999</v>
      </c>
      <c r="D5">
        <v>1835.05</v>
      </c>
      <c r="E5">
        <v>6</v>
      </c>
      <c r="F5">
        <v>1.9999400000000001</v>
      </c>
      <c r="G5">
        <v>1706.68</v>
      </c>
      <c r="H5">
        <v>3</v>
      </c>
      <c r="I5">
        <v>1.93089</v>
      </c>
      <c r="J5">
        <v>2508.6999999999998</v>
      </c>
      <c r="K5">
        <v>6</v>
      </c>
      <c r="L5">
        <v>1</v>
      </c>
      <c r="M5">
        <v>967.24</v>
      </c>
      <c r="N5">
        <v>4</v>
      </c>
      <c r="O5">
        <v>1.99986</v>
      </c>
      <c r="P5">
        <v>4121.3900000000003</v>
      </c>
    </row>
    <row r="6" spans="1:16">
      <c r="A6">
        <v>1</v>
      </c>
      <c r="B6">
        <v>6</v>
      </c>
      <c r="C6">
        <v>1.0000199999999999</v>
      </c>
      <c r="D6">
        <v>707.95</v>
      </c>
      <c r="E6">
        <v>6</v>
      </c>
      <c r="F6">
        <v>1.9999400000000001</v>
      </c>
      <c r="G6">
        <v>1628.2</v>
      </c>
      <c r="H6">
        <v>3</v>
      </c>
      <c r="I6">
        <v>1.4554800000000001</v>
      </c>
      <c r="J6">
        <v>2006.75</v>
      </c>
      <c r="K6">
        <v>6</v>
      </c>
      <c r="L6">
        <v>1</v>
      </c>
      <c r="M6">
        <v>973.69</v>
      </c>
      <c r="N6">
        <v>4</v>
      </c>
      <c r="O6">
        <v>1.99986</v>
      </c>
      <c r="P6">
        <v>3434.19</v>
      </c>
    </row>
    <row r="7" spans="1:16">
      <c r="A7">
        <v>2</v>
      </c>
      <c r="B7">
        <v>6</v>
      </c>
      <c r="C7">
        <v>1.0000199999999999</v>
      </c>
      <c r="D7">
        <v>716.8</v>
      </c>
      <c r="E7">
        <v>6</v>
      </c>
      <c r="F7">
        <v>1.9999400000000001</v>
      </c>
      <c r="G7">
        <v>2068.23</v>
      </c>
      <c r="H7">
        <v>5</v>
      </c>
      <c r="I7">
        <v>1.99996</v>
      </c>
      <c r="J7">
        <v>3184.27</v>
      </c>
      <c r="K7">
        <v>6</v>
      </c>
      <c r="L7">
        <v>1</v>
      </c>
      <c r="M7">
        <v>982.81</v>
      </c>
      <c r="N7">
        <v>4</v>
      </c>
      <c r="O7">
        <v>1.99986</v>
      </c>
      <c r="P7">
        <v>3856.52</v>
      </c>
    </row>
    <row r="8" spans="1:16">
      <c r="A8">
        <v>3</v>
      </c>
      <c r="B8">
        <v>3</v>
      </c>
      <c r="C8">
        <v>1</v>
      </c>
      <c r="D8">
        <v>655.87</v>
      </c>
      <c r="E8">
        <v>6</v>
      </c>
      <c r="F8">
        <v>1.9999400000000001</v>
      </c>
      <c r="G8">
        <v>2240.83</v>
      </c>
      <c r="H8">
        <v>6</v>
      </c>
      <c r="I8">
        <v>1.9999400000000001</v>
      </c>
      <c r="J8">
        <v>2016</v>
      </c>
      <c r="K8">
        <v>3</v>
      </c>
      <c r="L8">
        <v>1</v>
      </c>
      <c r="M8">
        <v>963.36</v>
      </c>
      <c r="N8">
        <v>4</v>
      </c>
      <c r="O8">
        <v>1.99986</v>
      </c>
      <c r="P8">
        <v>3289.45</v>
      </c>
    </row>
    <row r="9" spans="1:16">
      <c r="A9">
        <v>4</v>
      </c>
      <c r="B9">
        <v>6</v>
      </c>
      <c r="C9">
        <v>1.0000199999999999</v>
      </c>
      <c r="D9">
        <v>755.35</v>
      </c>
      <c r="E9">
        <v>6</v>
      </c>
      <c r="F9">
        <v>1.9999400000000001</v>
      </c>
      <c r="G9">
        <v>2227.17</v>
      </c>
      <c r="H9">
        <v>5</v>
      </c>
      <c r="I9">
        <v>1.99996</v>
      </c>
      <c r="J9">
        <v>2365.4499999999998</v>
      </c>
      <c r="K9">
        <v>6</v>
      </c>
      <c r="L9">
        <v>1</v>
      </c>
      <c r="M9">
        <v>1000.34</v>
      </c>
      <c r="N9">
        <v>4</v>
      </c>
      <c r="O9">
        <v>1.99986</v>
      </c>
      <c r="P9">
        <v>3375.13</v>
      </c>
    </row>
    <row r="10" spans="1:16">
      <c r="A10">
        <v>5</v>
      </c>
      <c r="B10">
        <v>3</v>
      </c>
      <c r="C10">
        <v>1</v>
      </c>
      <c r="D10">
        <v>1080.72</v>
      </c>
      <c r="E10">
        <v>6</v>
      </c>
      <c r="F10">
        <v>1.9999400000000001</v>
      </c>
      <c r="G10">
        <v>1671.18</v>
      </c>
      <c r="H10">
        <v>6</v>
      </c>
      <c r="I10">
        <v>1.9999400000000001</v>
      </c>
      <c r="J10">
        <v>2059.46</v>
      </c>
      <c r="K10">
        <v>3</v>
      </c>
      <c r="L10">
        <v>1</v>
      </c>
      <c r="M10">
        <v>985.68</v>
      </c>
      <c r="N10">
        <v>4</v>
      </c>
      <c r="O10">
        <v>1.99986</v>
      </c>
      <c r="P10">
        <v>3257.28</v>
      </c>
    </row>
    <row r="11" spans="1:16">
      <c r="A11">
        <v>6</v>
      </c>
      <c r="B11">
        <v>6</v>
      </c>
      <c r="C11">
        <v>1.0000199999999999</v>
      </c>
      <c r="D11">
        <v>669.7</v>
      </c>
      <c r="E11">
        <v>6</v>
      </c>
      <c r="F11">
        <v>1.9999400000000001</v>
      </c>
      <c r="G11">
        <v>1803.05</v>
      </c>
      <c r="H11">
        <v>5</v>
      </c>
      <c r="I11">
        <v>1.99996</v>
      </c>
      <c r="J11">
        <v>3588.69</v>
      </c>
      <c r="K11">
        <v>6</v>
      </c>
      <c r="L11">
        <v>1</v>
      </c>
      <c r="M11">
        <v>1152.4100000000001</v>
      </c>
      <c r="N11">
        <v>4</v>
      </c>
      <c r="O11">
        <v>1.99986</v>
      </c>
      <c r="P11">
        <v>3219.93</v>
      </c>
    </row>
    <row r="12" spans="1:16">
      <c r="A12">
        <v>7</v>
      </c>
      <c r="B12">
        <v>6</v>
      </c>
      <c r="C12">
        <v>1.0000199999999999</v>
      </c>
      <c r="D12">
        <v>663.53</v>
      </c>
      <c r="E12">
        <v>6</v>
      </c>
      <c r="F12">
        <v>1.9999400000000001</v>
      </c>
      <c r="G12">
        <v>2055.0500000000002</v>
      </c>
      <c r="H12">
        <v>3</v>
      </c>
      <c r="I12">
        <v>1.1637</v>
      </c>
      <c r="J12">
        <v>3582.31</v>
      </c>
      <c r="K12">
        <v>6</v>
      </c>
      <c r="L12">
        <v>1</v>
      </c>
      <c r="M12">
        <v>1324.9</v>
      </c>
      <c r="N12">
        <v>4</v>
      </c>
      <c r="O12">
        <v>1.99986</v>
      </c>
      <c r="P12">
        <v>3323.66</v>
      </c>
    </row>
    <row r="13" spans="1:16">
      <c r="A13">
        <v>8</v>
      </c>
      <c r="B13">
        <v>3</v>
      </c>
      <c r="C13">
        <v>1</v>
      </c>
      <c r="D13">
        <v>695.45</v>
      </c>
      <c r="E13">
        <v>6</v>
      </c>
      <c r="F13">
        <v>1.9999400000000001</v>
      </c>
      <c r="G13">
        <v>1745.7</v>
      </c>
      <c r="H13">
        <v>6</v>
      </c>
      <c r="I13">
        <v>1.9999400000000001</v>
      </c>
      <c r="J13">
        <v>2580.9</v>
      </c>
      <c r="K13">
        <v>3</v>
      </c>
      <c r="L13">
        <v>1</v>
      </c>
      <c r="M13">
        <v>1171.26</v>
      </c>
      <c r="N13">
        <v>4</v>
      </c>
      <c r="O13">
        <v>1.99986</v>
      </c>
      <c r="P13">
        <v>3209.87</v>
      </c>
    </row>
    <row r="14" spans="1:16">
      <c r="A14">
        <v>9</v>
      </c>
      <c r="B14">
        <v>3</v>
      </c>
      <c r="C14">
        <v>1</v>
      </c>
      <c r="D14">
        <v>974.3</v>
      </c>
      <c r="E14">
        <v>6</v>
      </c>
      <c r="F14">
        <v>1.9999400000000001</v>
      </c>
      <c r="G14">
        <v>1455.96</v>
      </c>
      <c r="H14">
        <v>6</v>
      </c>
      <c r="I14">
        <v>1.9999400000000001</v>
      </c>
      <c r="J14">
        <v>1817.03</v>
      </c>
      <c r="K14">
        <v>3</v>
      </c>
      <c r="L14">
        <v>1</v>
      </c>
      <c r="M14">
        <v>1004.17</v>
      </c>
      <c r="N14">
        <v>4</v>
      </c>
      <c r="O14">
        <v>1.99986</v>
      </c>
      <c r="P14">
        <v>3168.65</v>
      </c>
    </row>
    <row r="15" spans="1:16">
      <c r="A15">
        <v>10</v>
      </c>
      <c r="B15">
        <v>3</v>
      </c>
      <c r="C15">
        <v>1</v>
      </c>
      <c r="D15">
        <v>656.67</v>
      </c>
      <c r="E15">
        <v>6</v>
      </c>
      <c r="F15">
        <v>1.9999400000000001</v>
      </c>
      <c r="G15">
        <v>1594.94</v>
      </c>
      <c r="H15">
        <v>5</v>
      </c>
      <c r="I15">
        <v>1.99996</v>
      </c>
      <c r="J15">
        <v>2697.88</v>
      </c>
      <c r="K15">
        <v>3</v>
      </c>
      <c r="L15">
        <v>1</v>
      </c>
      <c r="M15">
        <v>913.35</v>
      </c>
      <c r="N15">
        <v>4</v>
      </c>
      <c r="O15">
        <v>1.99986</v>
      </c>
      <c r="P15">
        <v>3129.8</v>
      </c>
    </row>
    <row r="16" spans="1:16">
      <c r="A16">
        <v>11</v>
      </c>
      <c r="B16">
        <v>6</v>
      </c>
      <c r="C16">
        <v>1.0000199999999999</v>
      </c>
      <c r="D16">
        <v>646.16999999999996</v>
      </c>
      <c r="E16">
        <v>6</v>
      </c>
      <c r="F16">
        <v>1.9999400000000001</v>
      </c>
      <c r="G16">
        <v>1519.25</v>
      </c>
      <c r="H16">
        <v>5</v>
      </c>
      <c r="I16">
        <v>1.99996</v>
      </c>
      <c r="J16">
        <v>2919.23</v>
      </c>
      <c r="K16">
        <v>6</v>
      </c>
      <c r="L16">
        <v>1</v>
      </c>
      <c r="M16">
        <v>927.16</v>
      </c>
      <c r="N16">
        <v>4</v>
      </c>
      <c r="O16">
        <v>1.99986</v>
      </c>
      <c r="P16">
        <v>3057.55</v>
      </c>
    </row>
    <row r="17" spans="1:16">
      <c r="A17">
        <v>12</v>
      </c>
      <c r="B17">
        <v>3</v>
      </c>
      <c r="C17">
        <v>1</v>
      </c>
      <c r="D17">
        <v>665.32</v>
      </c>
      <c r="E17">
        <v>6</v>
      </c>
      <c r="F17">
        <v>1.9999400000000001</v>
      </c>
      <c r="G17">
        <v>1583.56</v>
      </c>
      <c r="H17">
        <v>5</v>
      </c>
      <c r="I17">
        <v>1.99996</v>
      </c>
      <c r="J17">
        <v>2855.38</v>
      </c>
      <c r="K17">
        <v>3</v>
      </c>
      <c r="L17">
        <v>1</v>
      </c>
      <c r="M17">
        <v>1007.84</v>
      </c>
      <c r="N17">
        <v>4</v>
      </c>
      <c r="O17">
        <v>1.99986</v>
      </c>
      <c r="P17">
        <v>3124.99</v>
      </c>
    </row>
    <row r="18" spans="1:16">
      <c r="A18">
        <v>13</v>
      </c>
      <c r="B18">
        <v>3</v>
      </c>
      <c r="C18">
        <v>1</v>
      </c>
      <c r="D18">
        <v>662.64</v>
      </c>
      <c r="E18">
        <v>6</v>
      </c>
      <c r="F18">
        <v>1.9999400000000001</v>
      </c>
      <c r="G18">
        <v>1533.69</v>
      </c>
      <c r="H18">
        <v>5</v>
      </c>
      <c r="I18">
        <v>1.99996</v>
      </c>
      <c r="J18">
        <v>2910.77</v>
      </c>
      <c r="K18">
        <v>3</v>
      </c>
      <c r="L18">
        <v>1</v>
      </c>
      <c r="M18">
        <v>898.74</v>
      </c>
      <c r="N18">
        <v>4</v>
      </c>
      <c r="O18">
        <v>1.99986</v>
      </c>
      <c r="P18">
        <v>2923.14</v>
      </c>
    </row>
    <row r="19" spans="1:16">
      <c r="A19">
        <v>14</v>
      </c>
      <c r="B19">
        <v>6</v>
      </c>
      <c r="C19">
        <v>1.0000199999999999</v>
      </c>
      <c r="D19">
        <v>651.16999999999996</v>
      </c>
      <c r="E19">
        <v>6</v>
      </c>
      <c r="F19">
        <v>1.9999400000000001</v>
      </c>
      <c r="G19">
        <v>1512.94</v>
      </c>
      <c r="H19">
        <v>5</v>
      </c>
      <c r="I19">
        <v>1.99996</v>
      </c>
      <c r="J19">
        <v>2735.07</v>
      </c>
      <c r="K19">
        <v>6</v>
      </c>
      <c r="L19">
        <v>1</v>
      </c>
      <c r="M19">
        <v>954.44</v>
      </c>
      <c r="N19">
        <v>4</v>
      </c>
      <c r="O19">
        <v>1.99986</v>
      </c>
      <c r="P19">
        <v>3168.7</v>
      </c>
    </row>
    <row r="20" spans="1:16">
      <c r="A20">
        <v>15</v>
      </c>
      <c r="B20">
        <v>6</v>
      </c>
      <c r="C20">
        <v>1.0000199999999999</v>
      </c>
      <c r="D20">
        <v>691.1</v>
      </c>
      <c r="E20">
        <v>6</v>
      </c>
      <c r="F20">
        <v>1.9999400000000001</v>
      </c>
      <c r="G20">
        <v>1575.41</v>
      </c>
      <c r="H20">
        <v>5</v>
      </c>
      <c r="I20">
        <v>1.99996</v>
      </c>
      <c r="J20">
        <v>2318.83</v>
      </c>
      <c r="K20">
        <v>6</v>
      </c>
      <c r="L20">
        <v>1</v>
      </c>
      <c r="M20">
        <v>963.82</v>
      </c>
      <c r="N20">
        <v>4</v>
      </c>
      <c r="O20">
        <v>1.99986</v>
      </c>
      <c r="P20">
        <v>4069.79</v>
      </c>
    </row>
    <row r="21" spans="1:16">
      <c r="A21">
        <v>16</v>
      </c>
      <c r="B21">
        <v>6</v>
      </c>
      <c r="C21">
        <v>1.0000199999999999</v>
      </c>
      <c r="D21">
        <v>617.89</v>
      </c>
      <c r="E21">
        <v>6</v>
      </c>
      <c r="F21">
        <v>1.9999400000000001</v>
      </c>
      <c r="G21">
        <v>1470.22</v>
      </c>
      <c r="H21">
        <v>3</v>
      </c>
      <c r="I21">
        <v>1.78914</v>
      </c>
      <c r="J21">
        <v>1913.39</v>
      </c>
      <c r="K21">
        <v>6</v>
      </c>
      <c r="L21">
        <v>1</v>
      </c>
      <c r="M21">
        <v>1059.6199999999999</v>
      </c>
      <c r="N21">
        <v>4</v>
      </c>
      <c r="O21">
        <v>1.99986</v>
      </c>
      <c r="P21">
        <v>3133.37</v>
      </c>
    </row>
    <row r="22" spans="1:16">
      <c r="A22">
        <v>17</v>
      </c>
      <c r="B22">
        <v>3</v>
      </c>
      <c r="C22">
        <v>1</v>
      </c>
      <c r="D22">
        <v>655.58</v>
      </c>
      <c r="E22">
        <v>6</v>
      </c>
      <c r="F22">
        <v>1.9999400000000001</v>
      </c>
      <c r="G22">
        <v>1515.45</v>
      </c>
      <c r="H22">
        <v>5</v>
      </c>
      <c r="I22">
        <v>1.99996</v>
      </c>
      <c r="J22">
        <v>2214.5700000000002</v>
      </c>
      <c r="K22">
        <v>3</v>
      </c>
      <c r="L22">
        <v>1</v>
      </c>
      <c r="M22">
        <v>1022.09</v>
      </c>
      <c r="N22">
        <v>4</v>
      </c>
      <c r="O22">
        <v>1.99986</v>
      </c>
      <c r="P22">
        <v>3937</v>
      </c>
    </row>
    <row r="23" spans="1:16">
      <c r="A23">
        <v>18</v>
      </c>
      <c r="B23">
        <v>6</v>
      </c>
      <c r="C23">
        <v>1.0000199999999999</v>
      </c>
      <c r="D23">
        <v>666.08</v>
      </c>
      <c r="E23">
        <v>6</v>
      </c>
      <c r="F23">
        <v>1.9999400000000001</v>
      </c>
      <c r="G23">
        <v>1582.54</v>
      </c>
      <c r="H23">
        <v>3</v>
      </c>
      <c r="I23">
        <v>1.5646100000000001</v>
      </c>
      <c r="J23">
        <v>2444.5500000000002</v>
      </c>
      <c r="K23">
        <v>6</v>
      </c>
      <c r="L23">
        <v>1</v>
      </c>
      <c r="M23">
        <v>1250.54</v>
      </c>
      <c r="N23">
        <v>4</v>
      </c>
      <c r="O23">
        <v>1.99986</v>
      </c>
      <c r="P23">
        <v>3518.07</v>
      </c>
    </row>
    <row r="24" spans="1:16">
      <c r="A24">
        <v>19</v>
      </c>
      <c r="B24">
        <v>6</v>
      </c>
      <c r="C24">
        <v>1.0000199999999999</v>
      </c>
      <c r="D24">
        <v>1475.87</v>
      </c>
      <c r="E24">
        <v>6</v>
      </c>
      <c r="F24">
        <v>1.9999400000000001</v>
      </c>
      <c r="G24">
        <v>1609.2</v>
      </c>
      <c r="H24">
        <v>5</v>
      </c>
      <c r="I24">
        <v>1.99996</v>
      </c>
      <c r="J24">
        <v>2365.4699999999998</v>
      </c>
      <c r="K24">
        <v>6</v>
      </c>
      <c r="L24">
        <v>1</v>
      </c>
      <c r="M24">
        <v>959.34</v>
      </c>
      <c r="N24">
        <v>4</v>
      </c>
      <c r="O24">
        <v>1.99986</v>
      </c>
      <c r="P24">
        <v>3411.95</v>
      </c>
    </row>
    <row r="25" spans="1:16">
      <c r="A25">
        <v>20</v>
      </c>
      <c r="B25">
        <v>3</v>
      </c>
      <c r="C25">
        <v>1</v>
      </c>
      <c r="D25">
        <v>695.73</v>
      </c>
      <c r="E25">
        <v>6</v>
      </c>
      <c r="F25">
        <v>1.9999400000000001</v>
      </c>
      <c r="G25">
        <v>1476.61</v>
      </c>
      <c r="H25">
        <v>6</v>
      </c>
      <c r="I25">
        <v>1.9999400000000001</v>
      </c>
      <c r="J25">
        <v>2083.37</v>
      </c>
      <c r="K25">
        <v>3</v>
      </c>
      <c r="L25">
        <v>1</v>
      </c>
      <c r="M25">
        <v>1011.32</v>
      </c>
      <c r="N25">
        <v>4</v>
      </c>
      <c r="O25">
        <v>1.99986</v>
      </c>
      <c r="P25">
        <v>4525.41</v>
      </c>
    </row>
    <row r="26" spans="1:16">
      <c r="A26">
        <v>21</v>
      </c>
      <c r="B26">
        <v>6</v>
      </c>
      <c r="C26">
        <v>1.0000199999999999</v>
      </c>
      <c r="D26">
        <v>728.47</v>
      </c>
      <c r="E26">
        <v>6</v>
      </c>
      <c r="F26">
        <v>1.9999400000000001</v>
      </c>
      <c r="G26">
        <v>1536.01</v>
      </c>
      <c r="H26">
        <v>3</v>
      </c>
      <c r="I26">
        <v>1.5268999999999999</v>
      </c>
      <c r="J26">
        <v>2149.2600000000002</v>
      </c>
      <c r="K26">
        <v>6</v>
      </c>
      <c r="L26">
        <v>1</v>
      </c>
      <c r="M26">
        <v>964.37</v>
      </c>
      <c r="N26">
        <v>4</v>
      </c>
      <c r="O26">
        <v>1.99986</v>
      </c>
      <c r="P26">
        <v>3105.58</v>
      </c>
    </row>
    <row r="27" spans="1:16">
      <c r="A27">
        <v>22</v>
      </c>
      <c r="B27">
        <v>6</v>
      </c>
      <c r="C27">
        <v>1.0000199999999999</v>
      </c>
      <c r="D27">
        <v>660.23</v>
      </c>
      <c r="E27">
        <v>6</v>
      </c>
      <c r="F27">
        <v>1.9999400000000001</v>
      </c>
      <c r="G27">
        <v>1488.45</v>
      </c>
      <c r="H27">
        <v>3</v>
      </c>
      <c r="I27">
        <v>1.1581900000000001</v>
      </c>
      <c r="J27">
        <v>2638.16</v>
      </c>
      <c r="K27">
        <v>6</v>
      </c>
      <c r="L27">
        <v>1</v>
      </c>
      <c r="M27">
        <v>915.79</v>
      </c>
      <c r="N27">
        <v>4</v>
      </c>
      <c r="O27">
        <v>1.99986</v>
      </c>
      <c r="P27">
        <v>3071.11</v>
      </c>
    </row>
    <row r="28" spans="1:16">
      <c r="A28">
        <v>23</v>
      </c>
      <c r="B28">
        <v>6</v>
      </c>
      <c r="C28">
        <v>1.0000199999999999</v>
      </c>
      <c r="D28">
        <v>674.99</v>
      </c>
      <c r="E28">
        <v>6</v>
      </c>
      <c r="F28">
        <v>1.9999400000000001</v>
      </c>
      <c r="G28">
        <v>1517.05</v>
      </c>
      <c r="H28">
        <v>3</v>
      </c>
      <c r="I28">
        <v>1.3156099999999999</v>
      </c>
      <c r="J28">
        <v>2053.12</v>
      </c>
      <c r="K28">
        <v>6</v>
      </c>
      <c r="L28">
        <v>1</v>
      </c>
      <c r="M28">
        <v>1016.89</v>
      </c>
      <c r="N28">
        <v>4</v>
      </c>
      <c r="O28">
        <v>1.99986</v>
      </c>
      <c r="P28">
        <v>3251.75</v>
      </c>
    </row>
    <row r="29" spans="1:16">
      <c r="A29">
        <v>24</v>
      </c>
      <c r="B29">
        <v>3</v>
      </c>
      <c r="C29">
        <v>1</v>
      </c>
      <c r="D29">
        <v>1469.61</v>
      </c>
      <c r="E29">
        <v>6</v>
      </c>
      <c r="F29">
        <v>1.9999400000000001</v>
      </c>
      <c r="G29">
        <v>1747.54</v>
      </c>
      <c r="H29">
        <v>6</v>
      </c>
      <c r="I29">
        <v>1.9999400000000001</v>
      </c>
      <c r="J29">
        <v>2194.04</v>
      </c>
      <c r="K29">
        <v>3</v>
      </c>
      <c r="L29">
        <v>1</v>
      </c>
      <c r="M29">
        <v>1148.45</v>
      </c>
      <c r="N29">
        <v>4</v>
      </c>
      <c r="O29">
        <v>1.99986</v>
      </c>
      <c r="P29">
        <v>3307.84</v>
      </c>
    </row>
    <row r="30" spans="1:16">
      <c r="A30">
        <v>25</v>
      </c>
      <c r="B30">
        <v>3</v>
      </c>
      <c r="C30">
        <v>1</v>
      </c>
      <c r="D30">
        <v>665.36</v>
      </c>
      <c r="E30">
        <v>6</v>
      </c>
      <c r="F30">
        <v>1.9999400000000001</v>
      </c>
      <c r="G30">
        <v>1813.6</v>
      </c>
      <c r="H30">
        <v>6</v>
      </c>
      <c r="I30">
        <v>1.9999400000000001</v>
      </c>
      <c r="J30">
        <v>2212.1</v>
      </c>
      <c r="K30">
        <v>3</v>
      </c>
      <c r="L30">
        <v>1</v>
      </c>
      <c r="M30">
        <v>925.42</v>
      </c>
      <c r="N30">
        <v>4</v>
      </c>
      <c r="O30">
        <v>1.99986</v>
      </c>
      <c r="P30">
        <v>4019.64</v>
      </c>
    </row>
    <row r="31" spans="1:16">
      <c r="A31">
        <v>26</v>
      </c>
      <c r="B31">
        <v>3</v>
      </c>
      <c r="C31">
        <v>1</v>
      </c>
      <c r="D31">
        <v>629.12</v>
      </c>
      <c r="E31">
        <v>6</v>
      </c>
      <c r="F31">
        <v>1.9999400000000001</v>
      </c>
      <c r="G31">
        <v>1469.49</v>
      </c>
      <c r="H31">
        <v>6</v>
      </c>
      <c r="I31">
        <v>1.9999400000000001</v>
      </c>
      <c r="J31">
        <v>2166.88</v>
      </c>
      <c r="K31">
        <v>3</v>
      </c>
      <c r="L31">
        <v>1</v>
      </c>
      <c r="M31">
        <v>1458.7</v>
      </c>
      <c r="N31">
        <v>4</v>
      </c>
      <c r="O31">
        <v>1.99986</v>
      </c>
      <c r="P31">
        <v>3424.79</v>
      </c>
    </row>
    <row r="32" spans="1:16">
      <c r="A32">
        <v>27</v>
      </c>
      <c r="B32">
        <v>6</v>
      </c>
      <c r="C32">
        <v>1.0000199999999999</v>
      </c>
      <c r="D32">
        <v>704.1</v>
      </c>
      <c r="E32">
        <v>6</v>
      </c>
      <c r="F32">
        <v>1.9999400000000001</v>
      </c>
      <c r="G32">
        <v>1575.74</v>
      </c>
      <c r="H32">
        <v>3</v>
      </c>
      <c r="I32">
        <v>1.2755099999999999</v>
      </c>
      <c r="J32">
        <v>2098.58</v>
      </c>
      <c r="K32">
        <v>6</v>
      </c>
      <c r="L32">
        <v>1</v>
      </c>
      <c r="M32">
        <v>1005.9</v>
      </c>
      <c r="N32">
        <v>4</v>
      </c>
      <c r="O32">
        <v>1.99986</v>
      </c>
      <c r="P32">
        <v>3950.89</v>
      </c>
    </row>
    <row r="33" spans="1:16">
      <c r="A33">
        <v>28</v>
      </c>
      <c r="B33">
        <v>6</v>
      </c>
      <c r="C33">
        <v>1.0000199999999999</v>
      </c>
      <c r="D33">
        <v>700.95</v>
      </c>
      <c r="E33">
        <v>6</v>
      </c>
      <c r="F33">
        <v>1.9999400000000001</v>
      </c>
      <c r="G33">
        <v>1551.47</v>
      </c>
      <c r="H33">
        <v>3</v>
      </c>
      <c r="I33">
        <v>1.2866500000000001</v>
      </c>
      <c r="J33">
        <v>2127.14</v>
      </c>
      <c r="K33">
        <v>6</v>
      </c>
      <c r="L33">
        <v>1</v>
      </c>
      <c r="M33">
        <v>917.85</v>
      </c>
      <c r="N33">
        <v>4</v>
      </c>
      <c r="O33">
        <v>1.99986</v>
      </c>
      <c r="P33">
        <v>3047.36</v>
      </c>
    </row>
    <row r="34" spans="1:16">
      <c r="A34">
        <v>29</v>
      </c>
      <c r="B34">
        <v>6</v>
      </c>
      <c r="C34">
        <v>1.0000199999999999</v>
      </c>
      <c r="D34">
        <v>651.28</v>
      </c>
      <c r="E34">
        <v>6</v>
      </c>
      <c r="F34">
        <v>1.9999400000000001</v>
      </c>
      <c r="G34">
        <v>1493.37</v>
      </c>
      <c r="H34">
        <v>5</v>
      </c>
      <c r="I34">
        <v>1.99996</v>
      </c>
      <c r="J34">
        <v>2298.1799999999998</v>
      </c>
      <c r="K34">
        <v>6</v>
      </c>
      <c r="L34">
        <v>1</v>
      </c>
      <c r="M34">
        <v>931.87</v>
      </c>
      <c r="N34">
        <v>4</v>
      </c>
      <c r="O34">
        <v>1.99986</v>
      </c>
      <c r="P34">
        <v>3082.74</v>
      </c>
    </row>
    <row r="35" spans="1:16">
      <c r="A35">
        <v>30</v>
      </c>
      <c r="B35">
        <v>3</v>
      </c>
      <c r="C35">
        <v>1</v>
      </c>
      <c r="D35">
        <v>679.65</v>
      </c>
      <c r="E35">
        <v>6</v>
      </c>
      <c r="F35">
        <v>1.9999400000000001</v>
      </c>
      <c r="G35">
        <v>1565.14</v>
      </c>
      <c r="H35">
        <v>6</v>
      </c>
      <c r="I35">
        <v>1.9999400000000001</v>
      </c>
      <c r="J35">
        <v>1906</v>
      </c>
      <c r="K35">
        <v>3</v>
      </c>
      <c r="L35">
        <v>1</v>
      </c>
      <c r="M35">
        <v>1074.0999999999999</v>
      </c>
      <c r="N35">
        <v>4</v>
      </c>
      <c r="O35">
        <v>1.99986</v>
      </c>
      <c r="P35">
        <v>3119.2</v>
      </c>
    </row>
    <row r="36" spans="1:16">
      <c r="A36">
        <v>31</v>
      </c>
      <c r="B36">
        <v>6</v>
      </c>
      <c r="C36">
        <v>1.0000199999999999</v>
      </c>
      <c r="D36">
        <v>714.01</v>
      </c>
      <c r="E36">
        <v>6</v>
      </c>
      <c r="F36">
        <v>1.9999400000000001</v>
      </c>
      <c r="G36">
        <v>1486.94</v>
      </c>
      <c r="H36">
        <v>3</v>
      </c>
      <c r="I36">
        <v>1.34263</v>
      </c>
      <c r="J36">
        <v>2165.7600000000002</v>
      </c>
      <c r="K36">
        <v>6</v>
      </c>
      <c r="L36">
        <v>1</v>
      </c>
      <c r="M36">
        <v>1081.06</v>
      </c>
      <c r="N36">
        <v>4</v>
      </c>
      <c r="O36">
        <v>1.99986</v>
      </c>
      <c r="P36">
        <v>4266.5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20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P40" si="0">MAX(C5:C36)</f>
        <v>1.0000199999999999</v>
      </c>
      <c r="D40" s="1">
        <f t="shared" si="0"/>
        <v>1835.05</v>
      </c>
      <c r="E40" s="1">
        <f t="shared" si="0"/>
        <v>6</v>
      </c>
      <c r="F40" s="1">
        <f t="shared" si="0"/>
        <v>1.9999400000000001</v>
      </c>
      <c r="G40" s="1">
        <f t="shared" si="0"/>
        <v>2240.83</v>
      </c>
      <c r="H40" s="1">
        <f t="shared" si="0"/>
        <v>6</v>
      </c>
      <c r="I40" s="1">
        <f t="shared" si="0"/>
        <v>1.99996</v>
      </c>
      <c r="J40" s="1">
        <f t="shared" si="0"/>
        <v>3588.69</v>
      </c>
      <c r="K40" s="1">
        <f t="shared" si="0"/>
        <v>6</v>
      </c>
      <c r="L40" s="1">
        <f t="shared" si="0"/>
        <v>1</v>
      </c>
      <c r="M40" s="1">
        <f t="shared" si="0"/>
        <v>1458.7</v>
      </c>
      <c r="N40" s="1">
        <f t="shared" si="0"/>
        <v>4</v>
      </c>
      <c r="O40" s="1">
        <f t="shared" si="0"/>
        <v>1.99986</v>
      </c>
      <c r="P40" s="1">
        <f t="shared" si="0"/>
        <v>4525.41</v>
      </c>
    </row>
    <row r="41" spans="1:16">
      <c r="A41" t="s">
        <v>12</v>
      </c>
      <c r="B41" s="1">
        <f>MIN(B5:B36)</f>
        <v>3</v>
      </c>
      <c r="C41" s="1">
        <f t="shared" ref="C41:P41" si="1">MIN(C5:C36)</f>
        <v>1</v>
      </c>
      <c r="D41" s="1">
        <f t="shared" si="1"/>
        <v>617.89</v>
      </c>
      <c r="E41" s="1">
        <f t="shared" si="1"/>
        <v>6</v>
      </c>
      <c r="F41" s="1">
        <f t="shared" si="1"/>
        <v>1.9999400000000001</v>
      </c>
      <c r="G41" s="1">
        <f t="shared" si="1"/>
        <v>1455.96</v>
      </c>
      <c r="H41" s="1">
        <f t="shared" si="1"/>
        <v>3</v>
      </c>
      <c r="I41" s="1">
        <f t="shared" si="1"/>
        <v>1.1581900000000001</v>
      </c>
      <c r="J41" s="1">
        <f t="shared" si="1"/>
        <v>1817.03</v>
      </c>
      <c r="K41" s="1">
        <f t="shared" si="1"/>
        <v>3</v>
      </c>
      <c r="L41" s="1">
        <f t="shared" si="1"/>
        <v>1</v>
      </c>
      <c r="M41" s="1">
        <f t="shared" si="1"/>
        <v>898.74</v>
      </c>
      <c r="N41" s="1">
        <f t="shared" si="1"/>
        <v>4</v>
      </c>
      <c r="O41" s="1">
        <f t="shared" si="1"/>
        <v>1.99986</v>
      </c>
      <c r="P41" s="1">
        <f t="shared" si="1"/>
        <v>2923.14</v>
      </c>
    </row>
    <row r="42" spans="1:16">
      <c r="A42" t="s">
        <v>13</v>
      </c>
      <c r="B42" s="1">
        <f>MEDIAN(B5:B36)</f>
        <v>6</v>
      </c>
      <c r="C42" s="1">
        <f t="shared" ref="C42:P42" si="2">MEDIAN(C5:C36)</f>
        <v>1.0000199999999999</v>
      </c>
      <c r="D42" s="1">
        <f t="shared" si="2"/>
        <v>677.31999999999994</v>
      </c>
      <c r="E42" s="1">
        <f t="shared" si="2"/>
        <v>6</v>
      </c>
      <c r="F42" s="1">
        <f t="shared" si="2"/>
        <v>1.9999400000000001</v>
      </c>
      <c r="G42" s="1">
        <f t="shared" si="2"/>
        <v>1575.575</v>
      </c>
      <c r="H42" s="1">
        <f t="shared" si="2"/>
        <v>5</v>
      </c>
      <c r="I42" s="1">
        <f t="shared" si="2"/>
        <v>1.9999400000000001</v>
      </c>
      <c r="J42" s="1">
        <f t="shared" si="2"/>
        <v>2256.375</v>
      </c>
      <c r="K42" s="1">
        <f t="shared" si="2"/>
        <v>6</v>
      </c>
      <c r="L42" s="1">
        <f t="shared" si="2"/>
        <v>1</v>
      </c>
      <c r="M42" s="1">
        <f t="shared" si="2"/>
        <v>993.01</v>
      </c>
      <c r="N42" s="1">
        <f t="shared" si="2"/>
        <v>4</v>
      </c>
      <c r="O42" s="1">
        <f t="shared" si="2"/>
        <v>1.99986</v>
      </c>
      <c r="P42" s="1">
        <f t="shared" si="2"/>
        <v>3273.3649999999998</v>
      </c>
    </row>
    <row r="43" spans="1:16">
      <c r="A43" t="s">
        <v>14</v>
      </c>
      <c r="B43" s="1">
        <f>AVERAGE(B5:B36)</f>
        <v>4.78125</v>
      </c>
      <c r="C43" s="1">
        <f t="shared" ref="C43:P43" si="3">AVERAGE(C5:C36)</f>
        <v>1.0000118749999998</v>
      </c>
      <c r="D43" s="1">
        <f t="shared" si="3"/>
        <v>784.89718749999997</v>
      </c>
      <c r="E43" s="1">
        <f t="shared" si="3"/>
        <v>6</v>
      </c>
      <c r="F43" s="1">
        <f t="shared" si="3"/>
        <v>1.9999400000000009</v>
      </c>
      <c r="G43" s="1">
        <f t="shared" si="3"/>
        <v>1650.6456250000001</v>
      </c>
      <c r="H43" s="1">
        <f t="shared" si="3"/>
        <v>4.59375</v>
      </c>
      <c r="I43" s="1">
        <f t="shared" si="3"/>
        <v>1.8065090625000007</v>
      </c>
      <c r="J43" s="1">
        <f t="shared" si="3"/>
        <v>2411.7903124999998</v>
      </c>
      <c r="K43" s="1">
        <f t="shared" si="3"/>
        <v>4.78125</v>
      </c>
      <c r="L43" s="1">
        <f t="shared" si="3"/>
        <v>1</v>
      </c>
      <c r="M43" s="1">
        <f t="shared" si="3"/>
        <v>1029.2037499999999</v>
      </c>
      <c r="N43" s="1">
        <f t="shared" si="3"/>
        <v>4</v>
      </c>
      <c r="O43" s="1">
        <f t="shared" si="3"/>
        <v>1.9998599999999986</v>
      </c>
      <c r="P43" s="1">
        <f t="shared" si="3"/>
        <v>3434.4762500000002</v>
      </c>
    </row>
    <row r="44" spans="1:16">
      <c r="A44" t="s">
        <v>15</v>
      </c>
      <c r="B44" s="1">
        <f>STDEV(B5:B36)</f>
        <v>1.4969727517075382</v>
      </c>
      <c r="C44" s="1">
        <f t="shared" ref="C44:P44" si="4">STDEV(C5:C36)</f>
        <v>9.9798183446715025E-6</v>
      </c>
      <c r="D44" s="1">
        <f t="shared" si="4"/>
        <v>284.64745625053263</v>
      </c>
      <c r="E44" s="1">
        <f t="shared" si="4"/>
        <v>0</v>
      </c>
      <c r="F44" s="1">
        <f t="shared" si="4"/>
        <v>9.0239017680595527E-16</v>
      </c>
      <c r="G44" s="1">
        <f t="shared" si="4"/>
        <v>215.8137945146741</v>
      </c>
      <c r="H44" s="1">
        <f t="shared" si="4"/>
        <v>1.2406911445355899</v>
      </c>
      <c r="I44" s="1">
        <f t="shared" si="4"/>
        <v>0.30603653802898773</v>
      </c>
      <c r="J44" s="1">
        <f t="shared" si="4"/>
        <v>454.07650594887667</v>
      </c>
      <c r="K44" s="1">
        <f t="shared" si="4"/>
        <v>1.4969727517075382</v>
      </c>
      <c r="L44" s="1">
        <f t="shared" si="4"/>
        <v>0</v>
      </c>
      <c r="M44" s="1">
        <f t="shared" si="4"/>
        <v>126.96191427277181</v>
      </c>
      <c r="N44" s="1">
        <f t="shared" si="4"/>
        <v>0</v>
      </c>
      <c r="O44" s="1">
        <f t="shared" si="4"/>
        <v>1.3535852652089328E-15</v>
      </c>
      <c r="P44" s="1">
        <f t="shared" si="4"/>
        <v>419.54847067239706</v>
      </c>
    </row>
    <row r="45" spans="1:16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A89B3-03C9-DA47-A9FA-6E243CBF952C}">
  <dimension ref="A1:P44"/>
  <sheetViews>
    <sheetView topLeftCell="C14" workbookViewId="0">
      <selection sqref="A1:P36"/>
    </sheetView>
  </sheetViews>
  <sheetFormatPr baseColWidth="10" defaultRowHeight="16"/>
  <sheetData>
    <row r="1" spans="1:16">
      <c r="A1" t="s">
        <v>0</v>
      </c>
      <c r="B1" t="s">
        <v>26</v>
      </c>
      <c r="C1" t="s">
        <v>1</v>
      </c>
      <c r="D1">
        <v>3000003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</v>
      </c>
      <c r="C5">
        <v>1</v>
      </c>
      <c r="D5">
        <v>32057.08</v>
      </c>
      <c r="E5">
        <v>6</v>
      </c>
      <c r="F5">
        <v>1.9999899999999999</v>
      </c>
      <c r="G5">
        <v>77851.59</v>
      </c>
      <c r="H5">
        <v>6</v>
      </c>
      <c r="I5">
        <v>1.9999899999999999</v>
      </c>
      <c r="J5">
        <v>39962.9</v>
      </c>
      <c r="K5">
        <v>3</v>
      </c>
      <c r="L5">
        <v>1</v>
      </c>
      <c r="M5">
        <v>33384.94</v>
      </c>
      <c r="N5">
        <v>4</v>
      </c>
      <c r="O5">
        <v>1.9999899999999999</v>
      </c>
      <c r="P5">
        <v>77354.7</v>
      </c>
    </row>
    <row r="6" spans="1:16">
      <c r="A6">
        <v>1</v>
      </c>
      <c r="B6">
        <v>3</v>
      </c>
      <c r="C6">
        <v>1</v>
      </c>
      <c r="D6">
        <v>22345.52</v>
      </c>
      <c r="E6">
        <v>6</v>
      </c>
      <c r="F6">
        <v>1.9999899999999999</v>
      </c>
      <c r="G6">
        <v>27848.55</v>
      </c>
      <c r="H6">
        <v>6</v>
      </c>
      <c r="I6">
        <v>1.9999899999999999</v>
      </c>
      <c r="J6">
        <v>46349.1</v>
      </c>
      <c r="K6">
        <v>3</v>
      </c>
      <c r="L6">
        <v>1</v>
      </c>
      <c r="M6">
        <v>20892.86</v>
      </c>
      <c r="N6">
        <v>4</v>
      </c>
      <c r="O6">
        <v>1.9999899999999999</v>
      </c>
      <c r="P6">
        <v>99634.32</v>
      </c>
    </row>
    <row r="7" spans="1:16">
      <c r="A7">
        <v>2</v>
      </c>
      <c r="B7">
        <v>3</v>
      </c>
      <c r="C7">
        <v>1</v>
      </c>
      <c r="D7">
        <v>29684.880000000001</v>
      </c>
      <c r="E7">
        <v>6</v>
      </c>
      <c r="F7">
        <v>1.9999899999999999</v>
      </c>
      <c r="G7">
        <v>28376.03</v>
      </c>
      <c r="H7">
        <v>6</v>
      </c>
      <c r="I7">
        <v>1.9999899999999999</v>
      </c>
      <c r="J7">
        <v>51723.18</v>
      </c>
      <c r="K7">
        <v>3</v>
      </c>
      <c r="L7">
        <v>1</v>
      </c>
      <c r="M7">
        <v>28479.59</v>
      </c>
      <c r="N7">
        <v>4</v>
      </c>
      <c r="O7">
        <v>1.9999899999999999</v>
      </c>
      <c r="P7">
        <v>117028.89</v>
      </c>
    </row>
    <row r="8" spans="1:16">
      <c r="A8">
        <v>3</v>
      </c>
      <c r="B8">
        <v>3</v>
      </c>
      <c r="C8">
        <v>1</v>
      </c>
      <c r="D8">
        <v>33513.730000000003</v>
      </c>
      <c r="E8">
        <v>6</v>
      </c>
      <c r="F8">
        <v>1.9999899999999999</v>
      </c>
      <c r="G8">
        <v>42442.31</v>
      </c>
      <c r="H8">
        <v>5</v>
      </c>
      <c r="I8">
        <v>2</v>
      </c>
      <c r="J8">
        <v>61862.27</v>
      </c>
      <c r="K8">
        <v>3</v>
      </c>
      <c r="L8">
        <v>1</v>
      </c>
      <c r="M8">
        <v>20917.8</v>
      </c>
      <c r="N8">
        <v>4</v>
      </c>
      <c r="O8">
        <v>1.9999899999999999</v>
      </c>
      <c r="P8">
        <v>89650.93</v>
      </c>
    </row>
    <row r="9" spans="1:16">
      <c r="A9">
        <v>4</v>
      </c>
      <c r="B9">
        <v>6</v>
      </c>
      <c r="C9">
        <v>1</v>
      </c>
      <c r="D9">
        <v>25616.13</v>
      </c>
      <c r="E9">
        <v>6</v>
      </c>
      <c r="F9">
        <v>1.9999899999999999</v>
      </c>
      <c r="G9">
        <v>28397.7</v>
      </c>
      <c r="H9">
        <v>5</v>
      </c>
      <c r="I9">
        <v>2</v>
      </c>
      <c r="J9">
        <v>50638.93</v>
      </c>
      <c r="K9">
        <v>6</v>
      </c>
      <c r="L9">
        <v>1</v>
      </c>
      <c r="M9">
        <v>17409.169999999998</v>
      </c>
      <c r="N9">
        <v>4</v>
      </c>
      <c r="O9">
        <v>1.9999899999999999</v>
      </c>
      <c r="P9">
        <v>70829.77</v>
      </c>
    </row>
    <row r="10" spans="1:16">
      <c r="A10">
        <v>5</v>
      </c>
      <c r="B10">
        <v>6</v>
      </c>
      <c r="C10">
        <v>1</v>
      </c>
      <c r="D10">
        <v>14470.41</v>
      </c>
      <c r="E10">
        <v>6</v>
      </c>
      <c r="F10">
        <v>1.9999899999999999</v>
      </c>
      <c r="G10">
        <v>32756.35</v>
      </c>
      <c r="H10">
        <v>3</v>
      </c>
      <c r="I10">
        <v>1.1788400000000001</v>
      </c>
      <c r="J10">
        <v>33744.47</v>
      </c>
      <c r="K10">
        <v>6</v>
      </c>
      <c r="L10">
        <v>1</v>
      </c>
      <c r="M10">
        <v>18299.89</v>
      </c>
      <c r="N10">
        <v>4</v>
      </c>
      <c r="O10">
        <v>1.9999899999999999</v>
      </c>
      <c r="P10">
        <v>100893.13</v>
      </c>
    </row>
    <row r="11" spans="1:16">
      <c r="A11">
        <v>6</v>
      </c>
      <c r="B11">
        <v>3</v>
      </c>
      <c r="C11">
        <v>1</v>
      </c>
      <c r="D11">
        <v>44535.88</v>
      </c>
      <c r="E11">
        <v>6</v>
      </c>
      <c r="F11">
        <v>1.9999899999999999</v>
      </c>
      <c r="G11">
        <v>36837.660000000003</v>
      </c>
      <c r="H11">
        <v>6</v>
      </c>
      <c r="I11">
        <v>1.9999899999999999</v>
      </c>
      <c r="J11">
        <v>75707.34</v>
      </c>
      <c r="K11">
        <v>3</v>
      </c>
      <c r="L11">
        <v>1</v>
      </c>
      <c r="M11">
        <v>22585.34</v>
      </c>
      <c r="N11">
        <v>4</v>
      </c>
      <c r="O11">
        <v>1.9999899999999999</v>
      </c>
      <c r="P11">
        <v>109651.93</v>
      </c>
    </row>
    <row r="12" spans="1:16">
      <c r="A12">
        <v>7</v>
      </c>
      <c r="B12">
        <v>3</v>
      </c>
      <c r="C12">
        <v>1</v>
      </c>
      <c r="D12">
        <v>21367.1</v>
      </c>
      <c r="E12">
        <v>6</v>
      </c>
      <c r="F12">
        <v>1.9999899999999999</v>
      </c>
      <c r="G12">
        <v>49083.53</v>
      </c>
      <c r="H12">
        <v>5</v>
      </c>
      <c r="I12">
        <v>2</v>
      </c>
      <c r="J12">
        <v>50060.36</v>
      </c>
      <c r="K12">
        <v>3</v>
      </c>
      <c r="L12">
        <v>1</v>
      </c>
      <c r="M12">
        <v>42479.37</v>
      </c>
      <c r="N12">
        <v>4</v>
      </c>
      <c r="O12">
        <v>1.9999899999999999</v>
      </c>
      <c r="P12">
        <v>96735.09</v>
      </c>
    </row>
    <row r="13" spans="1:16">
      <c r="A13">
        <v>8</v>
      </c>
      <c r="B13">
        <v>6</v>
      </c>
      <c r="C13">
        <v>1</v>
      </c>
      <c r="D13">
        <v>31276.47</v>
      </c>
      <c r="E13">
        <v>6</v>
      </c>
      <c r="F13">
        <v>1.9999899999999999</v>
      </c>
      <c r="G13">
        <v>28828.3</v>
      </c>
      <c r="H13">
        <v>3</v>
      </c>
      <c r="I13">
        <v>1.78766</v>
      </c>
      <c r="J13">
        <v>64933.74</v>
      </c>
      <c r="K13">
        <v>6</v>
      </c>
      <c r="L13">
        <v>1</v>
      </c>
      <c r="M13">
        <v>28191.9</v>
      </c>
      <c r="N13">
        <v>4</v>
      </c>
      <c r="O13">
        <v>1.9999899999999999</v>
      </c>
      <c r="P13">
        <v>114002.88</v>
      </c>
    </row>
    <row r="14" spans="1:16">
      <c r="A14">
        <v>9</v>
      </c>
      <c r="B14">
        <v>6</v>
      </c>
      <c r="C14">
        <v>1</v>
      </c>
      <c r="D14">
        <v>28782.959999999999</v>
      </c>
      <c r="E14">
        <v>6</v>
      </c>
      <c r="F14">
        <v>1.9999899999999999</v>
      </c>
      <c r="G14">
        <v>33996.28</v>
      </c>
      <c r="H14">
        <v>3</v>
      </c>
      <c r="I14">
        <v>1.26366</v>
      </c>
      <c r="J14">
        <v>69939.100000000006</v>
      </c>
      <c r="K14">
        <v>6</v>
      </c>
      <c r="L14">
        <v>1</v>
      </c>
      <c r="M14">
        <v>49337.35</v>
      </c>
      <c r="N14">
        <v>4</v>
      </c>
      <c r="O14">
        <v>1.9999899999999999</v>
      </c>
      <c r="P14">
        <v>104089.17</v>
      </c>
    </row>
    <row r="15" spans="1:16">
      <c r="A15">
        <v>10</v>
      </c>
      <c r="B15">
        <v>3</v>
      </c>
      <c r="C15">
        <v>1</v>
      </c>
      <c r="D15">
        <v>13198.9</v>
      </c>
      <c r="E15">
        <v>6</v>
      </c>
      <c r="F15">
        <v>1.9999899999999999</v>
      </c>
      <c r="G15">
        <v>52274.879999999997</v>
      </c>
      <c r="H15">
        <v>6</v>
      </c>
      <c r="I15">
        <v>1.9999899999999999</v>
      </c>
      <c r="J15">
        <v>41575.19</v>
      </c>
      <c r="K15">
        <v>3</v>
      </c>
      <c r="L15">
        <v>1</v>
      </c>
      <c r="M15">
        <v>41060.629999999997</v>
      </c>
      <c r="N15">
        <v>4</v>
      </c>
      <c r="O15">
        <v>1.9999899999999999</v>
      </c>
      <c r="P15">
        <v>103661.04</v>
      </c>
    </row>
    <row r="16" spans="1:16">
      <c r="A16">
        <v>11</v>
      </c>
      <c r="B16">
        <v>3</v>
      </c>
      <c r="C16">
        <v>1</v>
      </c>
      <c r="D16">
        <v>12973.03</v>
      </c>
      <c r="E16">
        <v>6</v>
      </c>
      <c r="F16">
        <v>1.9999899999999999</v>
      </c>
      <c r="G16">
        <v>52431.89</v>
      </c>
      <c r="H16">
        <v>5</v>
      </c>
      <c r="I16">
        <v>2</v>
      </c>
      <c r="J16">
        <v>48045.57</v>
      </c>
      <c r="K16">
        <v>3</v>
      </c>
      <c r="L16">
        <v>1</v>
      </c>
      <c r="M16">
        <v>36026.959999999999</v>
      </c>
      <c r="N16">
        <v>4</v>
      </c>
      <c r="O16">
        <v>1.9999899999999999</v>
      </c>
      <c r="P16">
        <v>82649.440000000002</v>
      </c>
    </row>
    <row r="17" spans="1:16">
      <c r="A17">
        <v>12</v>
      </c>
      <c r="B17">
        <v>6</v>
      </c>
      <c r="C17">
        <v>1</v>
      </c>
      <c r="D17">
        <v>31202.77</v>
      </c>
      <c r="E17">
        <v>6</v>
      </c>
      <c r="F17">
        <v>1.9999899999999999</v>
      </c>
      <c r="G17">
        <v>36197.19</v>
      </c>
      <c r="H17">
        <v>5</v>
      </c>
      <c r="I17">
        <v>2</v>
      </c>
      <c r="J17">
        <v>60649.599999999999</v>
      </c>
      <c r="K17">
        <v>6</v>
      </c>
      <c r="L17">
        <v>1</v>
      </c>
      <c r="M17">
        <v>21408.69</v>
      </c>
      <c r="N17">
        <v>4</v>
      </c>
      <c r="O17">
        <v>1.9999899999999999</v>
      </c>
      <c r="P17">
        <v>106529.24</v>
      </c>
    </row>
    <row r="18" spans="1:16">
      <c r="A18">
        <v>13</v>
      </c>
      <c r="B18">
        <v>6</v>
      </c>
      <c r="C18">
        <v>1</v>
      </c>
      <c r="D18">
        <v>18765.12</v>
      </c>
      <c r="E18">
        <v>6</v>
      </c>
      <c r="F18">
        <v>1.9999899999999999</v>
      </c>
      <c r="G18">
        <v>48186.53</v>
      </c>
      <c r="H18">
        <v>3</v>
      </c>
      <c r="I18">
        <v>1.3553200000000001</v>
      </c>
      <c r="J18">
        <v>43721.18</v>
      </c>
      <c r="K18">
        <v>6</v>
      </c>
      <c r="L18">
        <v>1</v>
      </c>
      <c r="M18">
        <v>43538.99</v>
      </c>
      <c r="N18">
        <v>4</v>
      </c>
      <c r="O18">
        <v>1.9999899999999999</v>
      </c>
      <c r="P18">
        <v>89475.98</v>
      </c>
    </row>
    <row r="19" spans="1:16">
      <c r="A19">
        <v>14</v>
      </c>
      <c r="B19">
        <v>6</v>
      </c>
      <c r="C19">
        <v>1</v>
      </c>
      <c r="D19">
        <v>32123.35</v>
      </c>
      <c r="E19">
        <v>6</v>
      </c>
      <c r="F19">
        <v>1.9999899999999999</v>
      </c>
      <c r="G19">
        <v>45829.64</v>
      </c>
      <c r="H19">
        <v>3</v>
      </c>
      <c r="I19">
        <v>1.20242</v>
      </c>
      <c r="J19">
        <v>68321.06</v>
      </c>
      <c r="K19">
        <v>6</v>
      </c>
      <c r="L19">
        <v>1</v>
      </c>
      <c r="M19">
        <v>24497.86</v>
      </c>
      <c r="N19">
        <v>4</v>
      </c>
      <c r="O19">
        <v>1.9999899999999999</v>
      </c>
      <c r="P19">
        <v>105359.21</v>
      </c>
    </row>
    <row r="20" spans="1:16">
      <c r="A20">
        <v>15</v>
      </c>
      <c r="B20">
        <v>6</v>
      </c>
      <c r="C20">
        <v>1</v>
      </c>
      <c r="D20">
        <v>34730.28</v>
      </c>
      <c r="E20">
        <v>6</v>
      </c>
      <c r="F20">
        <v>1.9999899999999999</v>
      </c>
      <c r="G20">
        <v>35108.33</v>
      </c>
      <c r="H20">
        <v>5</v>
      </c>
      <c r="I20">
        <v>2</v>
      </c>
      <c r="J20">
        <v>69041.210000000006</v>
      </c>
      <c r="K20">
        <v>6</v>
      </c>
      <c r="L20">
        <v>1</v>
      </c>
      <c r="M20">
        <v>28093.72</v>
      </c>
      <c r="N20">
        <v>4</v>
      </c>
      <c r="O20">
        <v>1.9999899999999999</v>
      </c>
      <c r="P20">
        <v>118564.26</v>
      </c>
    </row>
    <row r="21" spans="1:16">
      <c r="A21">
        <v>16</v>
      </c>
      <c r="B21">
        <v>6</v>
      </c>
      <c r="C21">
        <v>1</v>
      </c>
      <c r="D21">
        <v>33474.800000000003</v>
      </c>
      <c r="E21">
        <v>6</v>
      </c>
      <c r="F21">
        <v>1.9999899999999999</v>
      </c>
      <c r="G21">
        <v>37833.39</v>
      </c>
      <c r="H21">
        <v>3</v>
      </c>
      <c r="I21">
        <v>1.5939399999999999</v>
      </c>
      <c r="J21">
        <v>71913.78</v>
      </c>
      <c r="K21">
        <v>6</v>
      </c>
      <c r="L21">
        <v>1</v>
      </c>
      <c r="M21">
        <v>30624.83</v>
      </c>
      <c r="N21">
        <v>4</v>
      </c>
      <c r="O21">
        <v>1.9999899999999999</v>
      </c>
      <c r="P21">
        <v>121365.43</v>
      </c>
    </row>
    <row r="22" spans="1:16">
      <c r="A22">
        <v>17</v>
      </c>
      <c r="B22">
        <v>3</v>
      </c>
      <c r="C22">
        <v>1</v>
      </c>
      <c r="D22">
        <v>30606.38</v>
      </c>
      <c r="E22">
        <v>6</v>
      </c>
      <c r="F22">
        <v>1.9999899999999999</v>
      </c>
      <c r="G22">
        <v>51317.27</v>
      </c>
      <c r="H22">
        <v>6</v>
      </c>
      <c r="I22">
        <v>1.9999899999999999</v>
      </c>
      <c r="J22">
        <v>51809.8</v>
      </c>
      <c r="K22">
        <v>3</v>
      </c>
      <c r="L22">
        <v>1</v>
      </c>
      <c r="M22">
        <v>28061.62</v>
      </c>
      <c r="N22">
        <v>4</v>
      </c>
      <c r="O22">
        <v>1.9999899999999999</v>
      </c>
      <c r="P22">
        <v>124927.2</v>
      </c>
    </row>
    <row r="23" spans="1:16">
      <c r="A23">
        <v>18</v>
      </c>
      <c r="B23">
        <v>6</v>
      </c>
      <c r="C23">
        <v>1</v>
      </c>
      <c r="D23">
        <v>17191.13</v>
      </c>
      <c r="E23">
        <v>6</v>
      </c>
      <c r="F23">
        <v>1.9999899999999999</v>
      </c>
      <c r="G23">
        <v>46510.35</v>
      </c>
      <c r="H23">
        <v>3</v>
      </c>
      <c r="I23">
        <v>1.86511</v>
      </c>
      <c r="J23">
        <v>52421.35</v>
      </c>
      <c r="K23">
        <v>6</v>
      </c>
      <c r="L23">
        <v>1</v>
      </c>
      <c r="M23">
        <v>40179.82</v>
      </c>
      <c r="N23">
        <v>4</v>
      </c>
      <c r="O23">
        <v>1.9999899999999999</v>
      </c>
      <c r="P23">
        <v>106729.56</v>
      </c>
    </row>
    <row r="24" spans="1:16">
      <c r="A24">
        <v>19</v>
      </c>
      <c r="B24">
        <v>3</v>
      </c>
      <c r="C24">
        <v>1</v>
      </c>
      <c r="D24">
        <v>38935.339999999997</v>
      </c>
      <c r="E24">
        <v>6</v>
      </c>
      <c r="F24">
        <v>1.9999899999999999</v>
      </c>
      <c r="G24">
        <v>49954.9</v>
      </c>
      <c r="H24">
        <v>6</v>
      </c>
      <c r="I24">
        <v>1.9999899999999999</v>
      </c>
      <c r="J24">
        <v>59992.53</v>
      </c>
      <c r="K24">
        <v>3</v>
      </c>
      <c r="L24">
        <v>1</v>
      </c>
      <c r="M24">
        <v>25112.67</v>
      </c>
      <c r="N24">
        <v>4</v>
      </c>
      <c r="O24">
        <v>1.9999899999999999</v>
      </c>
      <c r="P24">
        <v>133391.37</v>
      </c>
    </row>
    <row r="25" spans="1:16">
      <c r="A25">
        <v>20</v>
      </c>
      <c r="B25">
        <v>3</v>
      </c>
      <c r="C25">
        <v>1</v>
      </c>
      <c r="D25">
        <v>37370.6</v>
      </c>
      <c r="E25">
        <v>6</v>
      </c>
      <c r="F25">
        <v>1.9999899999999999</v>
      </c>
      <c r="G25">
        <v>38757.94</v>
      </c>
      <c r="H25">
        <v>5</v>
      </c>
      <c r="I25">
        <v>2</v>
      </c>
      <c r="J25">
        <v>64589.14</v>
      </c>
      <c r="K25">
        <v>3</v>
      </c>
      <c r="L25">
        <v>1</v>
      </c>
      <c r="M25">
        <v>23430.15</v>
      </c>
      <c r="N25">
        <v>4</v>
      </c>
      <c r="O25">
        <v>1.9999899999999999</v>
      </c>
      <c r="P25">
        <v>120022.19</v>
      </c>
    </row>
    <row r="26" spans="1:16">
      <c r="A26">
        <v>21</v>
      </c>
      <c r="B26">
        <v>6</v>
      </c>
      <c r="C26">
        <v>1</v>
      </c>
      <c r="D26">
        <v>35255.94</v>
      </c>
      <c r="E26">
        <v>6</v>
      </c>
      <c r="F26">
        <v>1.9999899999999999</v>
      </c>
      <c r="G26">
        <v>35347.21</v>
      </c>
      <c r="H26">
        <v>3</v>
      </c>
      <c r="I26">
        <v>1.53546</v>
      </c>
      <c r="J26">
        <v>78455.240000000005</v>
      </c>
      <c r="K26">
        <v>6</v>
      </c>
      <c r="L26">
        <v>1</v>
      </c>
      <c r="M26">
        <v>24239.14</v>
      </c>
      <c r="N26">
        <v>4</v>
      </c>
      <c r="O26">
        <v>1.9999899999999999</v>
      </c>
      <c r="P26">
        <v>93257.32</v>
      </c>
    </row>
    <row r="27" spans="1:16">
      <c r="A27">
        <v>22</v>
      </c>
      <c r="B27">
        <v>6</v>
      </c>
      <c r="C27">
        <v>1</v>
      </c>
      <c r="D27">
        <v>14551.51</v>
      </c>
      <c r="E27">
        <v>6</v>
      </c>
      <c r="F27">
        <v>1.9999899999999999</v>
      </c>
      <c r="G27">
        <v>34704.449999999997</v>
      </c>
      <c r="H27">
        <v>5</v>
      </c>
      <c r="I27">
        <v>2</v>
      </c>
      <c r="J27">
        <v>38442.54</v>
      </c>
      <c r="K27">
        <v>6</v>
      </c>
      <c r="L27">
        <v>1</v>
      </c>
      <c r="M27">
        <v>20510.8</v>
      </c>
      <c r="N27">
        <v>4</v>
      </c>
      <c r="O27">
        <v>1.9999899999999999</v>
      </c>
      <c r="P27">
        <v>82493.84</v>
      </c>
    </row>
    <row r="28" spans="1:16">
      <c r="A28">
        <v>23</v>
      </c>
      <c r="B28">
        <v>6</v>
      </c>
      <c r="C28">
        <v>1</v>
      </c>
      <c r="D28">
        <v>17346.22</v>
      </c>
      <c r="E28">
        <v>6</v>
      </c>
      <c r="F28">
        <v>1.9999899999999999</v>
      </c>
      <c r="G28">
        <v>39596.82</v>
      </c>
      <c r="H28">
        <v>3</v>
      </c>
      <c r="I28">
        <v>1.6250899999999999</v>
      </c>
      <c r="J28">
        <v>28978.33</v>
      </c>
      <c r="K28">
        <v>6</v>
      </c>
      <c r="L28">
        <v>1</v>
      </c>
      <c r="M28">
        <v>29279.43</v>
      </c>
      <c r="N28">
        <v>4</v>
      </c>
      <c r="O28">
        <v>1.9999899999999999</v>
      </c>
      <c r="P28">
        <v>61909.25</v>
      </c>
    </row>
    <row r="29" spans="1:16">
      <c r="A29">
        <v>24</v>
      </c>
      <c r="B29">
        <v>3</v>
      </c>
      <c r="C29">
        <v>1</v>
      </c>
      <c r="D29">
        <v>22133.439999999999</v>
      </c>
      <c r="E29">
        <v>6</v>
      </c>
      <c r="F29">
        <v>1.9999899999999999</v>
      </c>
      <c r="G29">
        <v>26730.71</v>
      </c>
      <c r="H29">
        <v>6</v>
      </c>
      <c r="I29">
        <v>1.9999899999999999</v>
      </c>
      <c r="J29">
        <v>38141.519999999997</v>
      </c>
      <c r="K29">
        <v>3</v>
      </c>
      <c r="L29">
        <v>1</v>
      </c>
      <c r="M29">
        <v>16225.11</v>
      </c>
      <c r="N29">
        <v>4</v>
      </c>
      <c r="O29">
        <v>1.9999899999999999</v>
      </c>
      <c r="P29">
        <v>67910.16</v>
      </c>
    </row>
    <row r="30" spans="1:16">
      <c r="A30">
        <v>25</v>
      </c>
      <c r="B30">
        <v>3</v>
      </c>
      <c r="C30">
        <v>1</v>
      </c>
      <c r="D30">
        <v>10161.23</v>
      </c>
      <c r="E30">
        <v>6</v>
      </c>
      <c r="F30">
        <v>1.9999899999999999</v>
      </c>
      <c r="G30">
        <v>31659.71</v>
      </c>
      <c r="H30">
        <v>6</v>
      </c>
      <c r="I30">
        <v>1.9999899999999999</v>
      </c>
      <c r="J30">
        <v>31707.34</v>
      </c>
      <c r="K30">
        <v>3</v>
      </c>
      <c r="L30">
        <v>1</v>
      </c>
      <c r="M30">
        <v>16658.669999999998</v>
      </c>
      <c r="N30">
        <v>4</v>
      </c>
      <c r="O30">
        <v>1.9999899999999999</v>
      </c>
      <c r="P30">
        <v>69324.75</v>
      </c>
    </row>
    <row r="31" spans="1:16">
      <c r="A31">
        <v>26</v>
      </c>
      <c r="B31">
        <v>6</v>
      </c>
      <c r="C31">
        <v>1</v>
      </c>
      <c r="D31">
        <v>10897.05</v>
      </c>
      <c r="E31">
        <v>6</v>
      </c>
      <c r="F31">
        <v>1.9999899999999999</v>
      </c>
      <c r="G31">
        <v>30240.7</v>
      </c>
      <c r="H31">
        <v>5</v>
      </c>
      <c r="I31">
        <v>2</v>
      </c>
      <c r="J31">
        <v>32464.52</v>
      </c>
      <c r="K31">
        <v>6</v>
      </c>
      <c r="L31">
        <v>1</v>
      </c>
      <c r="M31">
        <v>26937.78</v>
      </c>
      <c r="N31">
        <v>4</v>
      </c>
      <c r="O31">
        <v>1.9999899999999999</v>
      </c>
      <c r="P31">
        <v>67357.94</v>
      </c>
    </row>
    <row r="32" spans="1:16">
      <c r="A32">
        <v>27</v>
      </c>
      <c r="B32">
        <v>6</v>
      </c>
      <c r="C32">
        <v>1</v>
      </c>
      <c r="D32">
        <v>20214.13</v>
      </c>
      <c r="E32">
        <v>6</v>
      </c>
      <c r="F32">
        <v>1.9999899999999999</v>
      </c>
      <c r="G32">
        <v>24982.9</v>
      </c>
      <c r="H32">
        <v>3</v>
      </c>
      <c r="I32">
        <v>1.14557</v>
      </c>
      <c r="J32">
        <v>42508.97</v>
      </c>
      <c r="K32">
        <v>6</v>
      </c>
      <c r="L32">
        <v>1</v>
      </c>
      <c r="M32">
        <v>16042.84</v>
      </c>
      <c r="N32">
        <v>4</v>
      </c>
      <c r="O32">
        <v>1.9999899999999999</v>
      </c>
      <c r="P32">
        <v>78314.77</v>
      </c>
    </row>
    <row r="33" spans="1:16">
      <c r="A33">
        <v>28</v>
      </c>
      <c r="B33">
        <v>3</v>
      </c>
      <c r="C33">
        <v>1</v>
      </c>
      <c r="D33">
        <v>28014.41</v>
      </c>
      <c r="E33">
        <v>6</v>
      </c>
      <c r="F33">
        <v>1.9999899999999999</v>
      </c>
      <c r="G33">
        <v>26703.43</v>
      </c>
      <c r="H33">
        <v>6</v>
      </c>
      <c r="I33">
        <v>1.9999899999999999</v>
      </c>
      <c r="J33">
        <v>43497.14</v>
      </c>
      <c r="K33">
        <v>3</v>
      </c>
      <c r="L33">
        <v>1</v>
      </c>
      <c r="M33">
        <v>16875.59</v>
      </c>
      <c r="N33">
        <v>4</v>
      </c>
      <c r="O33">
        <v>1.9999899999999999</v>
      </c>
      <c r="P33">
        <v>66233.17</v>
      </c>
    </row>
    <row r="34" spans="1:16">
      <c r="A34">
        <v>29</v>
      </c>
      <c r="B34">
        <v>3</v>
      </c>
      <c r="C34">
        <v>1</v>
      </c>
      <c r="D34">
        <v>11643.46</v>
      </c>
      <c r="E34">
        <v>6</v>
      </c>
      <c r="F34">
        <v>1.9999899999999999</v>
      </c>
      <c r="G34">
        <v>31885.81</v>
      </c>
      <c r="H34">
        <v>5</v>
      </c>
      <c r="I34">
        <v>2</v>
      </c>
      <c r="J34">
        <v>34935.01</v>
      </c>
      <c r="K34">
        <v>3</v>
      </c>
      <c r="L34">
        <v>1</v>
      </c>
      <c r="M34">
        <v>16232.14</v>
      </c>
      <c r="N34">
        <v>4</v>
      </c>
      <c r="O34">
        <v>1.9999899999999999</v>
      </c>
      <c r="P34">
        <v>70245.33</v>
      </c>
    </row>
    <row r="35" spans="1:16">
      <c r="A35">
        <v>30</v>
      </c>
      <c r="B35">
        <v>6</v>
      </c>
      <c r="C35">
        <v>1</v>
      </c>
      <c r="D35">
        <v>10963.16</v>
      </c>
      <c r="E35">
        <v>6</v>
      </c>
      <c r="F35">
        <v>1.9999899999999999</v>
      </c>
      <c r="G35">
        <v>30912.79</v>
      </c>
      <c r="H35">
        <v>3</v>
      </c>
      <c r="I35">
        <v>1.7906500000000001</v>
      </c>
      <c r="J35">
        <v>32565.279999999999</v>
      </c>
      <c r="K35">
        <v>6</v>
      </c>
      <c r="L35">
        <v>1</v>
      </c>
      <c r="M35">
        <v>29113.06</v>
      </c>
      <c r="N35">
        <v>4</v>
      </c>
      <c r="O35">
        <v>1.9999899999999999</v>
      </c>
      <c r="P35">
        <v>62136.66</v>
      </c>
    </row>
    <row r="36" spans="1:16">
      <c r="A36">
        <v>31</v>
      </c>
      <c r="B36">
        <v>3</v>
      </c>
      <c r="C36">
        <v>1</v>
      </c>
      <c r="D36">
        <v>23745.43</v>
      </c>
      <c r="E36">
        <v>6</v>
      </c>
      <c r="F36">
        <v>1.9999899999999999</v>
      </c>
      <c r="G36">
        <v>26293</v>
      </c>
      <c r="H36">
        <v>5</v>
      </c>
      <c r="I36">
        <v>2</v>
      </c>
      <c r="J36">
        <v>47745.85</v>
      </c>
      <c r="K36">
        <v>3</v>
      </c>
      <c r="L36">
        <v>1</v>
      </c>
      <c r="M36">
        <v>15447.32</v>
      </c>
      <c r="N36">
        <v>4</v>
      </c>
      <c r="O36">
        <v>1.9999899999999999</v>
      </c>
      <c r="P36">
        <v>66167.23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20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P40" si="0">MAX(C5:C36)</f>
        <v>1</v>
      </c>
      <c r="D40" s="1">
        <f t="shared" si="0"/>
        <v>44535.88</v>
      </c>
      <c r="E40" s="1">
        <f t="shared" si="0"/>
        <v>6</v>
      </c>
      <c r="F40" s="1">
        <f t="shared" si="0"/>
        <v>1.9999899999999999</v>
      </c>
      <c r="G40" s="1">
        <f t="shared" si="0"/>
        <v>77851.59</v>
      </c>
      <c r="H40" s="1">
        <f t="shared" si="0"/>
        <v>6</v>
      </c>
      <c r="I40" s="1">
        <f t="shared" si="0"/>
        <v>2</v>
      </c>
      <c r="J40" s="1">
        <f t="shared" si="0"/>
        <v>78455.240000000005</v>
      </c>
      <c r="K40" s="1">
        <f t="shared" si="0"/>
        <v>6</v>
      </c>
      <c r="L40" s="1">
        <f t="shared" si="0"/>
        <v>1</v>
      </c>
      <c r="M40" s="1">
        <f t="shared" si="0"/>
        <v>49337.35</v>
      </c>
      <c r="N40" s="1">
        <f t="shared" si="0"/>
        <v>4</v>
      </c>
      <c r="O40" s="1">
        <f t="shared" si="0"/>
        <v>1.9999899999999999</v>
      </c>
      <c r="P40" s="1">
        <f t="shared" si="0"/>
        <v>133391.37</v>
      </c>
    </row>
    <row r="41" spans="1:16">
      <c r="A41" t="s">
        <v>12</v>
      </c>
      <c r="B41" s="1">
        <f>MIN(B5:B36)</f>
        <v>3</v>
      </c>
      <c r="C41" s="1">
        <f t="shared" ref="C41:P41" si="1">MIN(C5:C36)</f>
        <v>1</v>
      </c>
      <c r="D41" s="1">
        <f t="shared" si="1"/>
        <v>10161.23</v>
      </c>
      <c r="E41" s="1">
        <f t="shared" si="1"/>
        <v>6</v>
      </c>
      <c r="F41" s="1">
        <f t="shared" si="1"/>
        <v>1.9999899999999999</v>
      </c>
      <c r="G41" s="1">
        <f t="shared" si="1"/>
        <v>24982.9</v>
      </c>
      <c r="H41" s="1">
        <f t="shared" si="1"/>
        <v>3</v>
      </c>
      <c r="I41" s="1">
        <f t="shared" si="1"/>
        <v>1.14557</v>
      </c>
      <c r="J41" s="1">
        <f t="shared" si="1"/>
        <v>28978.33</v>
      </c>
      <c r="K41" s="1">
        <f t="shared" si="1"/>
        <v>3</v>
      </c>
      <c r="L41" s="1">
        <f t="shared" si="1"/>
        <v>1</v>
      </c>
      <c r="M41" s="1">
        <f t="shared" si="1"/>
        <v>15447.32</v>
      </c>
      <c r="N41" s="1">
        <f t="shared" si="1"/>
        <v>4</v>
      </c>
      <c r="O41" s="1">
        <f t="shared" si="1"/>
        <v>1.9999899999999999</v>
      </c>
      <c r="P41" s="1">
        <f t="shared" si="1"/>
        <v>61909.25</v>
      </c>
    </row>
    <row r="42" spans="1:16">
      <c r="A42" t="s">
        <v>13</v>
      </c>
      <c r="B42" s="1">
        <f>MEDIAN(B5:B36)</f>
        <v>4.5</v>
      </c>
      <c r="C42" s="1">
        <f t="shared" ref="C42:P42" si="2">MEDIAN(C5:C36)</f>
        <v>1</v>
      </c>
      <c r="D42" s="1">
        <f t="shared" si="2"/>
        <v>24680.78</v>
      </c>
      <c r="E42" s="1">
        <f t="shared" si="2"/>
        <v>6</v>
      </c>
      <c r="F42" s="1">
        <f t="shared" si="2"/>
        <v>1.9999899999999999</v>
      </c>
      <c r="G42" s="1">
        <f t="shared" si="2"/>
        <v>35227.770000000004</v>
      </c>
      <c r="H42" s="1">
        <f t="shared" si="2"/>
        <v>5</v>
      </c>
      <c r="I42" s="1">
        <f t="shared" si="2"/>
        <v>1.9999899999999999</v>
      </c>
      <c r="J42" s="1">
        <f t="shared" si="2"/>
        <v>49052.964999999997</v>
      </c>
      <c r="K42" s="1">
        <f t="shared" si="2"/>
        <v>4.5</v>
      </c>
      <c r="L42" s="1">
        <f t="shared" si="2"/>
        <v>1</v>
      </c>
      <c r="M42" s="1">
        <f t="shared" si="2"/>
        <v>24805.264999999999</v>
      </c>
      <c r="N42" s="1">
        <f t="shared" si="2"/>
        <v>4</v>
      </c>
      <c r="O42" s="1">
        <f t="shared" si="2"/>
        <v>1.9999899999999999</v>
      </c>
      <c r="P42" s="1">
        <f t="shared" si="2"/>
        <v>94996.205000000002</v>
      </c>
    </row>
    <row r="43" spans="1:16">
      <c r="A43" t="s">
        <v>14</v>
      </c>
      <c r="B43" s="1">
        <f>AVERAGE(B5:B36)</f>
        <v>4.5</v>
      </c>
      <c r="C43" s="1">
        <f t="shared" ref="C43:P43" si="3">AVERAGE(C5:C36)</f>
        <v>1</v>
      </c>
      <c r="D43" s="1">
        <f t="shared" si="3"/>
        <v>24660.870000000003</v>
      </c>
      <c r="E43" s="1">
        <f t="shared" si="3"/>
        <v>6</v>
      </c>
      <c r="F43" s="1">
        <f t="shared" si="3"/>
        <v>1.9999899999999986</v>
      </c>
      <c r="G43" s="1">
        <f t="shared" si="3"/>
        <v>38121.191874999997</v>
      </c>
      <c r="H43" s="1">
        <f t="shared" si="3"/>
        <v>4.625</v>
      </c>
      <c r="I43" s="1">
        <f t="shared" si="3"/>
        <v>1.8232381249999996</v>
      </c>
      <c r="J43" s="1">
        <f t="shared" si="3"/>
        <v>50826.360625000001</v>
      </c>
      <c r="K43" s="1">
        <f t="shared" si="3"/>
        <v>4.5</v>
      </c>
      <c r="L43" s="1">
        <f t="shared" si="3"/>
        <v>1</v>
      </c>
      <c r="M43" s="1">
        <f t="shared" si="3"/>
        <v>26611.750937500005</v>
      </c>
      <c r="N43" s="1">
        <f t="shared" si="3"/>
        <v>4</v>
      </c>
      <c r="O43" s="1">
        <f t="shared" si="3"/>
        <v>1.9999899999999986</v>
      </c>
      <c r="P43" s="1">
        <f t="shared" si="3"/>
        <v>93059.254687499983</v>
      </c>
    </row>
    <row r="44" spans="1:16">
      <c r="A44" t="s">
        <v>15</v>
      </c>
      <c r="B44" s="1">
        <f>STDEV(B5:B36)</f>
        <v>1.5240015240022859</v>
      </c>
      <c r="C44" s="1">
        <f t="shared" ref="C44:P44" si="4">STDEV(C5:C36)</f>
        <v>0</v>
      </c>
      <c r="D44" s="1">
        <f t="shared" si="4"/>
        <v>9562.6554662958097</v>
      </c>
      <c r="E44" s="1">
        <f t="shared" si="4"/>
        <v>0</v>
      </c>
      <c r="F44" s="1">
        <f t="shared" si="4"/>
        <v>1.3535852652089328E-15</v>
      </c>
      <c r="G44" s="1">
        <f t="shared" si="4"/>
        <v>11214.528614490921</v>
      </c>
      <c r="H44" s="1">
        <f t="shared" si="4"/>
        <v>1.2636353087613479</v>
      </c>
      <c r="I44" s="1">
        <f t="shared" si="4"/>
        <v>0.29109445562076136</v>
      </c>
      <c r="J44" s="1">
        <f t="shared" si="4"/>
        <v>14269.581926331379</v>
      </c>
      <c r="K44" s="1">
        <f t="shared" si="4"/>
        <v>1.5240015240022859</v>
      </c>
      <c r="L44" s="1">
        <f t="shared" si="4"/>
        <v>0</v>
      </c>
      <c r="M44" s="1">
        <f t="shared" si="4"/>
        <v>9139.9773138266828</v>
      </c>
      <c r="N44" s="1">
        <f t="shared" si="4"/>
        <v>0</v>
      </c>
      <c r="O44" s="1">
        <f t="shared" si="4"/>
        <v>1.3535852652089328E-15</v>
      </c>
      <c r="P44" s="1">
        <f t="shared" si="4"/>
        <v>21198.081965576064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H37"/>
  <sheetViews>
    <sheetView tabSelected="1" topLeftCell="A2" workbookViewId="0">
      <selection activeCell="K10" sqref="K10"/>
    </sheetView>
  </sheetViews>
  <sheetFormatPr baseColWidth="10" defaultRowHeight="16"/>
  <cols>
    <col min="1" max="1" width="17.33203125" bestFit="1" customWidth="1"/>
    <col min="2" max="2" width="7.6640625" bestFit="1" customWidth="1"/>
    <col min="3" max="3" width="13" bestFit="1" customWidth="1"/>
    <col min="4" max="4" width="6.83203125" bestFit="1" customWidth="1"/>
    <col min="5" max="5" width="9.1640625" bestFit="1" customWidth="1"/>
    <col min="6" max="6" width="12.1640625" bestFit="1" customWidth="1"/>
    <col min="7" max="7" width="11.5" bestFit="1" customWidth="1"/>
    <col min="8" max="8" width="6.83203125" customWidth="1"/>
    <col min="9" max="9" width="11.1640625" bestFit="1" customWidth="1"/>
    <col min="10" max="10" width="12.1640625" bestFit="1" customWidth="1"/>
    <col min="11" max="11" width="20.1640625" bestFit="1" customWidth="1"/>
    <col min="12" max="12" width="6.83203125" bestFit="1" customWidth="1"/>
    <col min="13" max="13" width="12.5" bestFit="1" customWidth="1"/>
    <col min="14" max="18" width="12.1640625" bestFit="1" customWidth="1"/>
    <col min="19" max="22" width="6.83203125" customWidth="1"/>
    <col min="23" max="23" width="12.5" bestFit="1" customWidth="1"/>
    <col min="24" max="28" width="12.1640625" bestFit="1" customWidth="1"/>
    <col min="29" max="32" width="6.83203125" customWidth="1"/>
    <col min="34" max="34" width="9.1640625" bestFit="1" customWidth="1"/>
  </cols>
  <sheetData>
    <row r="1" spans="1:34">
      <c r="A1" t="s">
        <v>17</v>
      </c>
      <c r="C1" t="s">
        <v>7</v>
      </c>
      <c r="M1" t="s">
        <v>8</v>
      </c>
      <c r="W1" t="s">
        <v>9</v>
      </c>
    </row>
    <row r="2" spans="1:34">
      <c r="A2">
        <v>6</v>
      </c>
      <c r="C2" s="4" t="s">
        <v>4</v>
      </c>
      <c r="D2" s="4"/>
      <c r="E2" s="4" t="s">
        <v>5</v>
      </c>
      <c r="F2" s="4"/>
      <c r="G2" t="s">
        <v>19</v>
      </c>
      <c r="I2" s="4" t="s">
        <v>6</v>
      </c>
      <c r="J2" s="4"/>
      <c r="K2" t="s">
        <v>20</v>
      </c>
      <c r="M2" s="4" t="s">
        <v>4</v>
      </c>
      <c r="N2" s="4"/>
      <c r="O2" s="4" t="s">
        <v>5</v>
      </c>
      <c r="P2" s="4"/>
      <c r="Q2" t="s">
        <v>19</v>
      </c>
      <c r="S2" s="4" t="s">
        <v>6</v>
      </c>
      <c r="T2" s="4"/>
      <c r="U2" t="s">
        <v>20</v>
      </c>
      <c r="W2" s="4" t="s">
        <v>4</v>
      </c>
      <c r="X2" s="4"/>
      <c r="Y2" s="4" t="s">
        <v>5</v>
      </c>
      <c r="Z2" s="4"/>
      <c r="AA2" t="s">
        <v>19</v>
      </c>
      <c r="AC2" s="4" t="s">
        <v>6</v>
      </c>
      <c r="AD2" s="4"/>
      <c r="AE2" t="s">
        <v>20</v>
      </c>
    </row>
    <row r="3" spans="1:34">
      <c r="A3" t="s">
        <v>1</v>
      </c>
      <c r="B3" t="s">
        <v>18</v>
      </c>
      <c r="C3" t="s">
        <v>14</v>
      </c>
      <c r="D3" t="s">
        <v>16</v>
      </c>
      <c r="E3" t="s">
        <v>14</v>
      </c>
      <c r="F3" t="s">
        <v>16</v>
      </c>
      <c r="G3" t="s">
        <v>14</v>
      </c>
      <c r="H3" t="s">
        <v>16</v>
      </c>
      <c r="I3" t="s">
        <v>14</v>
      </c>
      <c r="J3" t="s">
        <v>16</v>
      </c>
      <c r="K3" t="s">
        <v>14</v>
      </c>
      <c r="L3" t="s">
        <v>16</v>
      </c>
      <c r="M3" t="s">
        <v>14</v>
      </c>
      <c r="N3" t="s">
        <v>16</v>
      </c>
      <c r="O3" t="s">
        <v>14</v>
      </c>
      <c r="P3" t="s">
        <v>16</v>
      </c>
      <c r="Q3" t="s">
        <v>14</v>
      </c>
      <c r="R3" t="s">
        <v>16</v>
      </c>
      <c r="S3" t="s">
        <v>14</v>
      </c>
      <c r="T3" t="s">
        <v>16</v>
      </c>
      <c r="U3" t="s">
        <v>14</v>
      </c>
      <c r="V3" t="s">
        <v>16</v>
      </c>
      <c r="W3" t="s">
        <v>14</v>
      </c>
      <c r="X3" t="s">
        <v>16</v>
      </c>
      <c r="Y3" t="s">
        <v>14</v>
      </c>
      <c r="Z3" t="s">
        <v>16</v>
      </c>
      <c r="AA3" t="s">
        <v>14</v>
      </c>
      <c r="AB3" t="s">
        <v>16</v>
      </c>
      <c r="AC3" t="s">
        <v>14</v>
      </c>
      <c r="AD3" t="s">
        <v>16</v>
      </c>
      <c r="AE3" t="s">
        <v>14</v>
      </c>
      <c r="AF3" t="s">
        <v>16</v>
      </c>
    </row>
    <row r="4" spans="1:34">
      <c r="A4">
        <v>33</v>
      </c>
      <c r="B4" s="2">
        <f>SQRT(A4)</f>
        <v>5.7445626465380286</v>
      </c>
      <c r="C4" s="1">
        <v>4.6875</v>
      </c>
      <c r="D4" s="1">
        <v>1.5120483863225558</v>
      </c>
      <c r="E4">
        <v>6</v>
      </c>
      <c r="F4">
        <v>0</v>
      </c>
      <c r="G4">
        <v>4.34375</v>
      </c>
      <c r="H4">
        <v>0.97084515891085599</v>
      </c>
      <c r="I4">
        <v>4.6875</v>
      </c>
      <c r="J4">
        <v>1.5120483863225558</v>
      </c>
      <c r="K4">
        <v>4</v>
      </c>
      <c r="L4">
        <v>0</v>
      </c>
      <c r="M4">
        <v>1.0937518750000002</v>
      </c>
      <c r="N4">
        <v>8.4004368182793526E-2</v>
      </c>
      <c r="O4">
        <v>1.6000000000000008</v>
      </c>
      <c r="P4">
        <v>6.767926326044664E-16</v>
      </c>
      <c r="Q4">
        <v>1.5486631249999996</v>
      </c>
      <c r="R4">
        <v>0.18683553928069557</v>
      </c>
      <c r="S4">
        <v>1</v>
      </c>
      <c r="T4">
        <v>0</v>
      </c>
      <c r="U4">
        <v>1.1764699999999995</v>
      </c>
      <c r="V4">
        <v>4.5119508840297763E-16</v>
      </c>
      <c r="W4">
        <v>1.125</v>
      </c>
      <c r="X4">
        <v>2.2782435226259499</v>
      </c>
      <c r="Y4">
        <v>1.1796875000000002</v>
      </c>
      <c r="Z4">
        <v>1.9715631335354513</v>
      </c>
      <c r="AA4">
        <v>1.1887500000000002</v>
      </c>
      <c r="AB4">
        <v>0.72601763952622034</v>
      </c>
      <c r="AC4">
        <v>0.90125000000000022</v>
      </c>
      <c r="AD4">
        <v>1.497274405431847</v>
      </c>
      <c r="AE4">
        <v>1.858125</v>
      </c>
      <c r="AF4">
        <v>1.5647785322015089</v>
      </c>
      <c r="AH4">
        <f>A4/30</f>
        <v>1.1000000000000001</v>
      </c>
    </row>
    <row r="5" spans="1:34">
      <c r="A5">
        <v>303</v>
      </c>
      <c r="B5" s="2">
        <f t="shared" ref="B5:B9" si="0">SQRT(A5)</f>
        <v>17.406895185529212</v>
      </c>
      <c r="C5" s="1">
        <v>4.6875</v>
      </c>
      <c r="D5" s="1">
        <v>1.5120483863225558</v>
      </c>
      <c r="E5">
        <v>6</v>
      </c>
      <c r="F5">
        <v>0</v>
      </c>
      <c r="G5">
        <v>4.78125</v>
      </c>
      <c r="H5">
        <v>1.0390558679754394</v>
      </c>
      <c r="I5">
        <v>4.6875</v>
      </c>
      <c r="J5">
        <v>1.5120483863225558</v>
      </c>
      <c r="K5">
        <v>4</v>
      </c>
      <c r="L5">
        <v>0</v>
      </c>
      <c r="M5">
        <v>1.0110306250000001</v>
      </c>
      <c r="N5">
        <v>9.8837562852617245E-3</v>
      </c>
      <c r="O5">
        <v>1.9428600000000014</v>
      </c>
      <c r="P5">
        <v>1.3535852652089328E-15</v>
      </c>
      <c r="Q5">
        <v>1.8667646874999999</v>
      </c>
      <c r="R5">
        <v>0.19448949516344446</v>
      </c>
      <c r="S5">
        <v>1</v>
      </c>
      <c r="T5">
        <v>0</v>
      </c>
      <c r="U5">
        <v>1.8691600000000006</v>
      </c>
      <c r="V5">
        <v>6.767926326044664E-16</v>
      </c>
      <c r="W5">
        <v>1.809375</v>
      </c>
      <c r="X5">
        <v>1.7603114414693046</v>
      </c>
      <c r="Y5">
        <v>3.7181249999999997</v>
      </c>
      <c r="Z5">
        <v>2.8021080054476042</v>
      </c>
      <c r="AA5">
        <v>7.7162499999999996</v>
      </c>
      <c r="AB5">
        <v>6.2210302797796651</v>
      </c>
      <c r="AC5">
        <v>2.8853125000000004</v>
      </c>
      <c r="AD5">
        <v>3.2795111598499926</v>
      </c>
      <c r="AE5">
        <v>9.1171875</v>
      </c>
      <c r="AF5">
        <v>5.9050641111894819</v>
      </c>
      <c r="AH5">
        <f t="shared" ref="AH5:AH9" si="1">A5/30</f>
        <v>10.1</v>
      </c>
    </row>
    <row r="6" spans="1:34">
      <c r="A6">
        <v>3003</v>
      </c>
      <c r="B6" s="2">
        <f t="shared" si="0"/>
        <v>54.799635035281028</v>
      </c>
      <c r="C6" s="1">
        <v>4.5</v>
      </c>
      <c r="D6" s="1">
        <v>1.5240015240022859</v>
      </c>
      <c r="E6">
        <v>6</v>
      </c>
      <c r="F6">
        <v>0</v>
      </c>
      <c r="G6">
        <v>4.90625</v>
      </c>
      <c r="H6">
        <v>1.1175830776653122</v>
      </c>
      <c r="I6">
        <v>4.5</v>
      </c>
      <c r="J6">
        <v>1.5240015240022859</v>
      </c>
      <c r="K6">
        <v>4</v>
      </c>
      <c r="L6">
        <v>0</v>
      </c>
      <c r="M6">
        <v>1.0009999999999997</v>
      </c>
      <c r="N6">
        <v>1.0160010160015251E-3</v>
      </c>
      <c r="O6">
        <v>1.9940300000000009</v>
      </c>
      <c r="P6">
        <v>9.0239017680595527E-16</v>
      </c>
      <c r="Q6">
        <v>1.8630384375000006</v>
      </c>
      <c r="R6">
        <v>0.28594656526666051</v>
      </c>
      <c r="S6">
        <v>1</v>
      </c>
      <c r="T6">
        <v>0</v>
      </c>
      <c r="U6">
        <v>1.9861000000000002</v>
      </c>
      <c r="V6">
        <v>2.2559754420148882E-16</v>
      </c>
      <c r="W6">
        <v>7.9534374999999997</v>
      </c>
      <c r="X6">
        <v>5.2496393789355658</v>
      </c>
      <c r="Y6">
        <v>16.641875000000002</v>
      </c>
      <c r="Z6">
        <v>11.399153742641909</v>
      </c>
      <c r="AA6">
        <v>22.973749999999995</v>
      </c>
      <c r="AB6">
        <v>16.682432279922313</v>
      </c>
      <c r="AC6">
        <v>15.456562500000002</v>
      </c>
      <c r="AD6">
        <v>17.293601764698053</v>
      </c>
      <c r="AE6">
        <v>38.222500000000004</v>
      </c>
      <c r="AF6">
        <v>26.673633350727314</v>
      </c>
      <c r="AH6">
        <f t="shared" si="1"/>
        <v>100.1</v>
      </c>
    </row>
    <row r="7" spans="1:34">
      <c r="A7">
        <v>30003</v>
      </c>
      <c r="B7" s="2">
        <f t="shared" si="0"/>
        <v>173.21374079443004</v>
      </c>
      <c r="C7" s="1">
        <v>4.03125</v>
      </c>
      <c r="D7" s="1">
        <v>1.4476761133044429</v>
      </c>
      <c r="E7">
        <v>6</v>
      </c>
      <c r="F7">
        <v>0</v>
      </c>
      <c r="G7">
        <v>5.0625</v>
      </c>
      <c r="H7">
        <v>1.189673308368798</v>
      </c>
      <c r="I7">
        <v>4.03125</v>
      </c>
      <c r="J7">
        <v>1.4476761133044429</v>
      </c>
      <c r="K7">
        <v>4</v>
      </c>
      <c r="L7">
        <v>0</v>
      </c>
      <c r="M7">
        <v>1.0000687499999998</v>
      </c>
      <c r="N7">
        <v>9.6511740886952237E-5</v>
      </c>
      <c r="O7">
        <v>1.999400000000001</v>
      </c>
      <c r="P7">
        <v>9.0239017680595527E-16</v>
      </c>
      <c r="Q7">
        <v>1.8748943750000007</v>
      </c>
      <c r="R7">
        <v>0.24801145954191767</v>
      </c>
      <c r="S7">
        <v>1</v>
      </c>
      <c r="T7">
        <v>0</v>
      </c>
      <c r="U7">
        <v>1.9986000000000015</v>
      </c>
      <c r="V7">
        <v>1.5791828094104216E-15</v>
      </c>
      <c r="W7">
        <v>51.369062499999991</v>
      </c>
      <c r="X7">
        <v>10.107184400815965</v>
      </c>
      <c r="Y7">
        <v>120.22906250000003</v>
      </c>
      <c r="Z7">
        <v>25.217231098081005</v>
      </c>
      <c r="AA7">
        <v>187.38343750000004</v>
      </c>
      <c r="AB7">
        <v>15.497091633359529</v>
      </c>
      <c r="AC7">
        <v>79.341875000000016</v>
      </c>
      <c r="AD7">
        <v>4.3013167057571806</v>
      </c>
      <c r="AE7">
        <v>248.43437499999999</v>
      </c>
      <c r="AF7">
        <v>21.739099150030082</v>
      </c>
      <c r="AH7">
        <f t="shared" si="1"/>
        <v>1000.1</v>
      </c>
    </row>
    <row r="8" spans="1:34">
      <c r="A8">
        <v>300003</v>
      </c>
      <c r="B8" s="2">
        <f t="shared" si="0"/>
        <v>547.72529611110713</v>
      </c>
      <c r="C8" s="1">
        <v>4.78125</v>
      </c>
      <c r="D8" s="1">
        <v>1.4969727517075382</v>
      </c>
      <c r="E8">
        <v>6</v>
      </c>
      <c r="F8">
        <v>0</v>
      </c>
      <c r="G8">
        <v>4.59375</v>
      </c>
      <c r="H8">
        <v>1.2406911445355899</v>
      </c>
      <c r="I8">
        <v>4.78125</v>
      </c>
      <c r="J8">
        <v>1.4969727517075382</v>
      </c>
      <c r="K8">
        <v>4</v>
      </c>
      <c r="L8">
        <v>0</v>
      </c>
      <c r="M8">
        <v>1.0000118749999998</v>
      </c>
      <c r="N8">
        <v>9.9798183446715025E-6</v>
      </c>
      <c r="O8">
        <v>1.9999400000000009</v>
      </c>
      <c r="P8">
        <v>9.0239017680595527E-16</v>
      </c>
      <c r="Q8">
        <v>1.8065090625000007</v>
      </c>
      <c r="R8">
        <v>0.30603653802898773</v>
      </c>
      <c r="S8">
        <v>1</v>
      </c>
      <c r="T8">
        <v>0</v>
      </c>
      <c r="U8">
        <v>1.9998599999999986</v>
      </c>
      <c r="V8">
        <v>1.3535852652089328E-15</v>
      </c>
      <c r="W8">
        <v>784.89718749999997</v>
      </c>
      <c r="X8">
        <v>284.64745625053263</v>
      </c>
      <c r="Y8">
        <v>1650.6456250000001</v>
      </c>
      <c r="Z8">
        <v>215.8137945146741</v>
      </c>
      <c r="AA8">
        <v>2411.7903124999998</v>
      </c>
      <c r="AB8">
        <v>454.07650594887667</v>
      </c>
      <c r="AC8">
        <v>1029.2037499999999</v>
      </c>
      <c r="AD8">
        <v>126.96191427277181</v>
      </c>
      <c r="AE8">
        <v>3434.4762500000002</v>
      </c>
      <c r="AF8">
        <v>419.54847067239706</v>
      </c>
      <c r="AH8">
        <f t="shared" si="1"/>
        <v>10000.1</v>
      </c>
    </row>
    <row r="9" spans="1:34">
      <c r="A9">
        <v>3000003</v>
      </c>
      <c r="B9" s="2">
        <f t="shared" si="0"/>
        <v>1732.0516735940646</v>
      </c>
      <c r="C9" s="1">
        <v>4.5</v>
      </c>
      <c r="D9" s="1">
        <v>1.5240015240022859</v>
      </c>
      <c r="E9" s="1">
        <v>6</v>
      </c>
      <c r="F9" s="1">
        <v>0</v>
      </c>
      <c r="G9" s="1">
        <v>4.625</v>
      </c>
      <c r="H9" s="1">
        <v>1.2636353087613479</v>
      </c>
      <c r="I9">
        <v>4.5</v>
      </c>
      <c r="J9">
        <v>1.5240015240022859</v>
      </c>
      <c r="K9">
        <v>4</v>
      </c>
      <c r="L9">
        <v>0</v>
      </c>
      <c r="M9">
        <v>1</v>
      </c>
      <c r="N9">
        <v>0</v>
      </c>
      <c r="O9">
        <v>1.9999899999999986</v>
      </c>
      <c r="P9">
        <v>1.3535852652089328E-15</v>
      </c>
      <c r="Q9">
        <v>1.8232381249999996</v>
      </c>
      <c r="R9">
        <v>0.29109445562076136</v>
      </c>
      <c r="S9">
        <v>1</v>
      </c>
      <c r="T9">
        <v>0</v>
      </c>
      <c r="U9">
        <v>1.9999899999999986</v>
      </c>
      <c r="V9">
        <v>1.3535852652089328E-15</v>
      </c>
      <c r="W9">
        <v>24660.870000000003</v>
      </c>
      <c r="X9">
        <v>9562.6554662958097</v>
      </c>
      <c r="Y9">
        <v>38121.191874999997</v>
      </c>
      <c r="Z9">
        <v>11214.528614490921</v>
      </c>
      <c r="AA9">
        <v>50826.360625000001</v>
      </c>
      <c r="AB9">
        <v>14269.581926331379</v>
      </c>
      <c r="AC9">
        <v>26611.750937500005</v>
      </c>
      <c r="AD9">
        <v>9139.9773138266828</v>
      </c>
      <c r="AE9">
        <v>93059.254687499983</v>
      </c>
      <c r="AF9">
        <v>21198.081965576064</v>
      </c>
      <c r="AH9">
        <f t="shared" si="1"/>
        <v>100000.1</v>
      </c>
    </row>
    <row r="10" spans="1:34">
      <c r="B10" s="2"/>
      <c r="C10" s="1"/>
      <c r="D10" s="1"/>
      <c r="E10" s="1"/>
      <c r="F10" s="1"/>
      <c r="G10" s="1"/>
      <c r="H10" s="1"/>
    </row>
    <row r="11" spans="1:34">
      <c r="B11" s="2"/>
      <c r="C11" s="1"/>
      <c r="D11" s="1"/>
      <c r="E11" s="1"/>
      <c r="F11" s="1"/>
      <c r="G11" s="1"/>
      <c r="H11" s="1"/>
    </row>
    <row r="12" spans="1:34">
      <c r="B12" s="2"/>
      <c r="C12" s="1"/>
      <c r="D12" s="1"/>
      <c r="E12" s="1"/>
      <c r="F12" s="1"/>
      <c r="G12" s="1"/>
      <c r="H12" s="1"/>
    </row>
    <row r="13" spans="1:34">
      <c r="B13" s="2"/>
      <c r="C13" s="1"/>
      <c r="D13" s="1"/>
      <c r="E13" s="1"/>
      <c r="F13" s="1"/>
      <c r="G13" s="1"/>
      <c r="H13" s="1"/>
    </row>
    <row r="14" spans="1:34">
      <c r="B14" s="2"/>
      <c r="C14" s="1"/>
      <c r="D14" s="1"/>
      <c r="E14" s="1"/>
      <c r="F14" s="1"/>
      <c r="G14" s="1"/>
      <c r="H14" s="1"/>
    </row>
    <row r="15" spans="1:34">
      <c r="B15" s="2"/>
      <c r="C15" s="1"/>
      <c r="D15" s="1"/>
      <c r="E15" s="1"/>
      <c r="F15" s="1"/>
      <c r="G15" s="1"/>
      <c r="H15" s="1"/>
    </row>
    <row r="16" spans="1:34">
      <c r="B16" s="2"/>
      <c r="C16" s="1"/>
      <c r="D16" s="1"/>
      <c r="E16" s="1"/>
      <c r="F16" s="1"/>
      <c r="G16" s="1"/>
      <c r="H16" s="1"/>
    </row>
    <row r="17" spans="2:8">
      <c r="B17" s="2"/>
      <c r="C17" s="1"/>
      <c r="D17" s="1"/>
      <c r="E17" s="1"/>
      <c r="F17" s="1"/>
      <c r="G17" s="1"/>
      <c r="H17" s="1"/>
    </row>
    <row r="18" spans="2:8">
      <c r="B18" s="2"/>
      <c r="C18" s="1"/>
      <c r="D18" s="1"/>
      <c r="E18" s="1"/>
      <c r="F18" s="1"/>
      <c r="G18" s="1"/>
      <c r="H18" s="1"/>
    </row>
    <row r="32" spans="2:8">
      <c r="C32" s="4"/>
      <c r="D32" s="4"/>
      <c r="E32" s="3"/>
      <c r="F32" s="3"/>
      <c r="G32" s="3"/>
      <c r="H32" s="3"/>
    </row>
    <row r="33" spans="1:32">
      <c r="A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>
      <c r="A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>
      <c r="A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>
      <c r="A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>
      <c r="A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</sheetData>
  <mergeCells count="10">
    <mergeCell ref="W2:X2"/>
    <mergeCell ref="Y2:Z2"/>
    <mergeCell ref="AC2:AD2"/>
    <mergeCell ref="C32:D32"/>
    <mergeCell ref="C2:D2"/>
    <mergeCell ref="E2:F2"/>
    <mergeCell ref="I2:J2"/>
    <mergeCell ref="M2:N2"/>
    <mergeCell ref="O2:P2"/>
    <mergeCell ref="S2:T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SummarizeData">
                <anchor moveWithCells="1" sizeWithCells="1">
                  <from>
                    <xdr:col>34</xdr:col>
                    <xdr:colOff>38100</xdr:colOff>
                    <xdr:row>2</xdr:row>
                    <xdr:rowOff>12700</xdr:rowOff>
                  </from>
                  <to>
                    <xdr:col>36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</vt:lpstr>
      <vt:lpstr>2</vt:lpstr>
      <vt:lpstr>3</vt:lpstr>
      <vt:lpstr>4</vt:lpstr>
      <vt:lpstr>5</vt:lpstr>
      <vt:lpstr>6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2018-05-07T03:23:53Z</dcterms:modified>
</cp:coreProperties>
</file>