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cylinder/unsymm/"/>
    </mc:Choice>
  </mc:AlternateContent>
  <xr:revisionPtr revIDLastSave="0" documentId="13_ncr:1_{DBFC5C58-0AC9-CC4F-9500-00948A9664B8}" xr6:coauthVersionLast="32" xr6:coauthVersionMax="32" xr10:uidLastSave="{00000000-0000-0000-0000-000000000000}"/>
  <bookViews>
    <workbookView xWindow="2100" yWindow="460" windowWidth="21800" windowHeight="13940" tabRatio="500" activeTab="6" xr2:uid="{00000000-000D-0000-FFFF-FFFF00000000}"/>
  </bookViews>
  <sheets>
    <sheet name="1" sheetId="1" r:id="rId1"/>
    <sheet name="2" sheetId="5" r:id="rId2"/>
    <sheet name="3" sheetId="4" r:id="rId3"/>
    <sheet name="4" sheetId="3" r:id="rId4"/>
    <sheet name="5" sheetId="2" r:id="rId5"/>
    <sheet name="6" sheetId="7" r:id="rId6"/>
    <sheet name="Summary" sheetId="6" r:id="rId7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AH9" i="6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<sst xmlns="http://schemas.openxmlformats.org/spreadsheetml/2006/main" count="351" uniqueCount="27">
  <si>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</si>
  <si>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</si>
  <si>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</si>
  <si>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</si>
  <si>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</si>
  <si>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</si>
  <si>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</si>
  <si>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</si>
  <si>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</si>
  <si>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</si>
  <si>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</si>
  <si>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</si>
  <si>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</si>
  <si>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</si>
  <si>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</si>
  <si>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</si>
  <si>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</si>
  <si>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</si>
  <si>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</si>
  <si>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</si>
  <si>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</si>
  <si>
    <t>./input_data/cylinder/unsymm/1.txt</t>
  </si>
  <si>
    <t>./input_data/cylinder/unsymm/2.txt</t>
  </si>
  <si>
    <t>./input_data/cylinder/unsymm/3.txt</t>
  </si>
  <si>
    <t>./input_data/cylinder/unsymm/4.txt</t>
  </si>
  <si>
    <t>./input_data/cylinder/unsymm/5.txt</t>
  </si>
  <si>
    <t>./input_data/cylinder/unsymm/6.txt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</si>
</sst>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Random</a:t>
            </a:r>
            <a:r>
              <a:rPr lang="en-US" sz="1800" baseline="0"/>
              <a:t> Cylinder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4.375</c:v>
                </c:pt>
                <c:pt idx="1">
                  <c:v>4.625</c:v>
                </c:pt>
                <c:pt idx="2">
                  <c:v>4.125</c:v>
                </c:pt>
                <c:pt idx="3">
                  <c:v>4.6875</c:v>
                </c:pt>
                <c:pt idx="4">
                  <c:v>4.40625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9.25</c:v>
                </c:pt>
                <c:pt idx="1">
                  <c:v>57.90625</c:v>
                </c:pt>
                <c:pt idx="2">
                  <c:v>945.8125</c:v>
                </c:pt>
                <c:pt idx="3">
                  <c:v>8188.125</c:v>
                </c:pt>
                <c:pt idx="4">
                  <c:v>77789.71875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4.625</c:v>
                </c:pt>
                <c:pt idx="1">
                  <c:v>12.65625</c:v>
                </c:pt>
                <c:pt idx="2">
                  <c:v>317</c:v>
                </c:pt>
                <c:pt idx="3">
                  <c:v>2254</c:v>
                </c:pt>
                <c:pt idx="4">
                  <c:v>17572.1875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4.375</c:v>
                </c:pt>
                <c:pt idx="1">
                  <c:v>4.625</c:v>
                </c:pt>
                <c:pt idx="2">
                  <c:v>4.125</c:v>
                </c:pt>
                <c:pt idx="3">
                  <c:v>4.6875</c:v>
                </c:pt>
                <c:pt idx="4">
                  <c:v>4.40625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5.7445626465380286</c:v>
                </c:pt>
                <c:pt idx="1">
                  <c:v>17.406895185529212</c:v>
                </c:pt>
                <c:pt idx="2">
                  <c:v>54.799635035281028</c:v>
                </c:pt>
                <c:pt idx="3">
                  <c:v>173.21374079443004</c:v>
                </c:pt>
                <c:pt idx="4">
                  <c:v>547.72529611110713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Random Cylinder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1.0781518750000001</c:v>
                </c:pt>
                <c:pt idx="1">
                  <c:v>1.0217909375000005</c:v>
                </c:pt>
                <c:pt idx="2">
                  <c:v>1.0017890624999997</c:v>
                </c:pt>
                <c:pt idx="3">
                  <c:v>1.0002140624999993</c:v>
                </c:pt>
                <c:pt idx="4">
                  <c:v>1.0000165624999997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1.5704615624999996</c:v>
                </c:pt>
                <c:pt idx="1">
                  <c:v>1.7928759374999996</c:v>
                </c:pt>
                <c:pt idx="2">
                  <c:v>1.7258906249999999</c:v>
                </c:pt>
                <c:pt idx="3">
                  <c:v>1.7548946874999998</c:v>
                </c:pt>
                <c:pt idx="4">
                  <c:v>1.7590503125000001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1.3360215624999998</c:v>
                </c:pt>
                <c:pt idx="1">
                  <c:v>1.3515312500000003</c:v>
                </c:pt>
                <c:pt idx="2">
                  <c:v>1.5535481250000001</c:v>
                </c:pt>
                <c:pt idx="3">
                  <c:v>1.4751190624999997</c:v>
                </c:pt>
                <c:pt idx="4">
                  <c:v>1.5435990625000002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Summary!$U$4:$U$8</c:f>
              <c:numCache>
                <c:formatCode>General</c:formatCode>
                <c:ptCount val="5"/>
                <c:pt idx="0">
                  <c:v>1.2484093749999998</c:v>
                </c:pt>
                <c:pt idx="1">
                  <c:v>1.409545625</c:v>
                </c:pt>
                <c:pt idx="2">
                  <c:v>1.2942715625000001</c:v>
                </c:pt>
                <c:pt idx="3">
                  <c:v>1.3309590624999996</c:v>
                </c:pt>
                <c:pt idx="4">
                  <c:v>1.3122071875000001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Random Cylinder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Summary!$W$4:$W$8</c:f>
              <c:numCache>
                <c:formatCode>General</c:formatCode>
                <c:ptCount val="5"/>
                <c:pt idx="0">
                  <c:v>4.0625000000000022E-2</c:v>
                </c:pt>
                <c:pt idx="1">
                  <c:v>0.37968749999999996</c:v>
                </c:pt>
                <c:pt idx="2">
                  <c:v>5.9084374999999998</c:v>
                </c:pt>
                <c:pt idx="3">
                  <c:v>53.750000000000007</c:v>
                </c:pt>
                <c:pt idx="4">
                  <c:v>574.83937500000002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Summary!$Y$4:$Y$8</c:f>
              <c:numCache>
                <c:formatCode>General</c:formatCode>
                <c:ptCount val="5"/>
                <c:pt idx="0">
                  <c:v>7.4687500000000032E-2</c:v>
                </c:pt>
                <c:pt idx="1">
                  <c:v>0.74656249999999991</c:v>
                </c:pt>
                <c:pt idx="2">
                  <c:v>12.200625</c:v>
                </c:pt>
                <c:pt idx="3">
                  <c:v>119.94000000000003</c:v>
                </c:pt>
                <c:pt idx="4">
                  <c:v>1471.7015625000004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Summary!$AA$4:$AA$8</c:f>
              <c:numCache>
                <c:formatCode>General</c:formatCode>
                <c:ptCount val="5"/>
                <c:pt idx="0">
                  <c:v>8.8749999999999982E-2</c:v>
                </c:pt>
                <c:pt idx="1">
                  <c:v>0.99874999999999992</c:v>
                </c:pt>
                <c:pt idx="2">
                  <c:v>15.008750000000003</c:v>
                </c:pt>
                <c:pt idx="3">
                  <c:v>181.33562499999999</c:v>
                </c:pt>
                <c:pt idx="4">
                  <c:v>1943.0671875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Summary!$AC$4:$AC$8</c:f>
              <c:numCache>
                <c:formatCode>General</c:formatCode>
                <c:ptCount val="5"/>
                <c:pt idx="0">
                  <c:v>5.5625000000000022E-2</c:v>
                </c:pt>
                <c:pt idx="1">
                  <c:v>0.57468750000000013</c:v>
                </c:pt>
                <c:pt idx="2">
                  <c:v>8.6762499999999996</c:v>
                </c:pt>
                <c:pt idx="3">
                  <c:v>80.980624999999975</c:v>
                </c:pt>
                <c:pt idx="4">
                  <c:v>827.4643749999999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Summary!$AE$4:$AE$8</c:f>
              <c:numCache>
                <c:formatCode>General</c:formatCode>
                <c:ptCount val="5"/>
                <c:pt idx="0">
                  <c:v>0.17375000000000004</c:v>
                </c:pt>
                <c:pt idx="1">
                  <c:v>1.4062500000000002</c:v>
                </c:pt>
                <c:pt idx="2">
                  <c:v>25.4996875</c:v>
                </c:pt>
                <c:pt idx="3">
                  <c:v>230.78156250000004</c:v>
                </c:pt>
                <c:pt idx="4">
                  <c:v>2894.2012499999996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Summary!$AH$4:$AH$8</c:f>
              <c:numCache>
                <c:formatCode>General</c:formatCode>
                <c:ptCount val="5"/>
                <c:pt idx="0">
                  <c:v>1.1000000000000001</c:v>
                </c:pt>
                <c:pt idx="1">
                  <c:v>10.1</c:v>
                </c:pt>
                <c:pt idx="2">
                  <c:v>100.1</c:v>
                </c:pt>
                <c:pt idx="3">
                  <c:v>1000.1</c:v>
                </c:pt>
                <c:pt idx="4">
                  <c:v>10000.1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10</xdr:col>
      <xdr:colOff>419100</xdr:colOff>
      <xdr:row>31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165100</xdr:colOff>
      <xdr:row>31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</xdr:row>
      <xdr:rowOff>0</xdr:rowOff>
    </xdr:from>
    <xdr:to>
      <xdr:col>31</xdr:col>
      <xdr:colOff>165100</xdr:colOff>
      <xdr:row>31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1.11765</v>
      </c>
      <c r="D5">
        <v>0.19</v>
      </c>
      <c r="E5">
        <v>3</v>
      </c>
      <c r="F5">
        <v>1.5714300000000001</v>
      </c>
      <c r="G5">
        <v>0.09</v>
      </c>
      <c r="H5">
        <v>4</v>
      </c>
      <c r="I5">
        <v>1.0555600000000001</v>
      </c>
      <c r="J5">
        <v>0.1</v>
      </c>
      <c r="K5">
        <v>3</v>
      </c>
      <c r="L5">
        <v>1</v>
      </c>
      <c r="M5">
        <v>0.09</v>
      </c>
      <c r="N5">
        <v>3</v>
      </c>
      <c r="O5">
        <v>1.4</v>
      </c>
      <c r="P5">
        <v>1.1399999999999999</v>
      </c>
    </row>
    <row r="6" spans="1:16">
      <c r="A6">
        <v>1</v>
      </c>
      <c r="B6">
        <v>3</v>
      </c>
      <c r="C6">
        <v>1</v>
      </c>
      <c r="D6">
        <v>0.04</v>
      </c>
      <c r="E6">
        <v>18</v>
      </c>
      <c r="F6">
        <v>1.4285699999999999</v>
      </c>
      <c r="G6">
        <v>7.0000000000000007E-2</v>
      </c>
      <c r="H6">
        <v>9</v>
      </c>
      <c r="I6">
        <v>1.4705900000000001</v>
      </c>
      <c r="J6">
        <v>0.08</v>
      </c>
      <c r="K6">
        <v>3</v>
      </c>
      <c r="L6">
        <v>1</v>
      </c>
      <c r="M6">
        <v>0.05</v>
      </c>
      <c r="N6">
        <v>3</v>
      </c>
      <c r="O6">
        <v>1</v>
      </c>
      <c r="P6">
        <v>0.22</v>
      </c>
    </row>
    <row r="7" spans="1:16">
      <c r="A7">
        <v>2</v>
      </c>
      <c r="B7">
        <v>4</v>
      </c>
      <c r="C7">
        <v>1.1764699999999999</v>
      </c>
      <c r="D7">
        <v>0.03</v>
      </c>
      <c r="E7">
        <v>3</v>
      </c>
      <c r="F7">
        <v>1.5714300000000001</v>
      </c>
      <c r="G7">
        <v>0.06</v>
      </c>
      <c r="H7">
        <v>4</v>
      </c>
      <c r="I7">
        <v>1.0555600000000001</v>
      </c>
      <c r="J7">
        <v>7.0000000000000007E-2</v>
      </c>
      <c r="K7">
        <v>4</v>
      </c>
      <c r="L7">
        <v>1</v>
      </c>
      <c r="M7">
        <v>0.06</v>
      </c>
      <c r="N7">
        <v>3</v>
      </c>
      <c r="O7">
        <v>1.4</v>
      </c>
      <c r="P7">
        <v>0.14000000000000001</v>
      </c>
    </row>
    <row r="8" spans="1:16">
      <c r="A8">
        <v>3</v>
      </c>
      <c r="B8">
        <v>3</v>
      </c>
      <c r="C8">
        <v>1</v>
      </c>
      <c r="D8">
        <v>0.03</v>
      </c>
      <c r="E8">
        <v>3</v>
      </c>
      <c r="F8">
        <v>1.7692300000000001</v>
      </c>
      <c r="G8">
        <v>0.06</v>
      </c>
      <c r="H8">
        <v>4</v>
      </c>
      <c r="I8">
        <v>1.0555600000000001</v>
      </c>
      <c r="J8">
        <v>0.08</v>
      </c>
      <c r="K8">
        <v>3</v>
      </c>
      <c r="L8">
        <v>1</v>
      </c>
      <c r="M8">
        <v>0.04</v>
      </c>
      <c r="N8">
        <v>3</v>
      </c>
      <c r="O8">
        <v>1.5714300000000001</v>
      </c>
      <c r="P8">
        <v>0.14000000000000001</v>
      </c>
    </row>
    <row r="9" spans="1:16">
      <c r="A9">
        <v>4</v>
      </c>
      <c r="B9">
        <v>6</v>
      </c>
      <c r="C9">
        <v>1.05263</v>
      </c>
      <c r="D9">
        <v>0.03</v>
      </c>
      <c r="E9">
        <v>10</v>
      </c>
      <c r="F9">
        <v>1.5294099999999999</v>
      </c>
      <c r="G9">
        <v>0.06</v>
      </c>
      <c r="H9">
        <v>3</v>
      </c>
      <c r="I9">
        <v>1.25</v>
      </c>
      <c r="J9">
        <v>7.0000000000000007E-2</v>
      </c>
      <c r="K9">
        <v>6</v>
      </c>
      <c r="L9">
        <v>1</v>
      </c>
      <c r="M9">
        <v>0.04</v>
      </c>
      <c r="N9">
        <v>3</v>
      </c>
      <c r="O9">
        <v>1.11765</v>
      </c>
      <c r="P9">
        <v>0.11</v>
      </c>
    </row>
    <row r="10" spans="1:16">
      <c r="A10">
        <v>5</v>
      </c>
      <c r="B10">
        <v>3</v>
      </c>
      <c r="C10">
        <v>1.11765</v>
      </c>
      <c r="D10">
        <v>0.03</v>
      </c>
      <c r="E10">
        <v>3</v>
      </c>
      <c r="F10">
        <v>1.5714300000000001</v>
      </c>
      <c r="G10">
        <v>0.06</v>
      </c>
      <c r="H10">
        <v>4</v>
      </c>
      <c r="I10">
        <v>1.0555600000000001</v>
      </c>
      <c r="J10">
        <v>7.0000000000000007E-2</v>
      </c>
      <c r="K10">
        <v>3</v>
      </c>
      <c r="L10">
        <v>1</v>
      </c>
      <c r="M10">
        <v>0.04</v>
      </c>
      <c r="N10">
        <v>3</v>
      </c>
      <c r="O10">
        <v>1.4</v>
      </c>
      <c r="P10">
        <v>0.12</v>
      </c>
    </row>
    <row r="11" spans="1:16">
      <c r="A11">
        <v>6</v>
      </c>
      <c r="B11">
        <v>3</v>
      </c>
      <c r="C11">
        <v>1.11765</v>
      </c>
      <c r="D11">
        <v>0.06</v>
      </c>
      <c r="E11">
        <v>4</v>
      </c>
      <c r="F11">
        <v>1.64286</v>
      </c>
      <c r="G11">
        <v>7.0000000000000007E-2</v>
      </c>
      <c r="H11">
        <v>3</v>
      </c>
      <c r="I11">
        <v>1</v>
      </c>
      <c r="J11">
        <v>0.08</v>
      </c>
      <c r="K11">
        <v>3</v>
      </c>
      <c r="L11">
        <v>1</v>
      </c>
      <c r="M11">
        <v>0.04</v>
      </c>
      <c r="N11">
        <v>3</v>
      </c>
      <c r="O11">
        <v>1.4</v>
      </c>
      <c r="P11">
        <v>0.11</v>
      </c>
    </row>
    <row r="12" spans="1:16">
      <c r="A12">
        <v>7</v>
      </c>
      <c r="B12">
        <v>3</v>
      </c>
      <c r="C12">
        <v>1.11765</v>
      </c>
      <c r="D12">
        <v>0.03</v>
      </c>
      <c r="E12">
        <v>3</v>
      </c>
      <c r="F12">
        <v>1.5714300000000001</v>
      </c>
      <c r="G12">
        <v>0.08</v>
      </c>
      <c r="H12">
        <v>4</v>
      </c>
      <c r="I12">
        <v>1.0555600000000001</v>
      </c>
      <c r="J12">
        <v>0.08</v>
      </c>
      <c r="K12">
        <v>3</v>
      </c>
      <c r="L12">
        <v>1</v>
      </c>
      <c r="M12">
        <v>0.05</v>
      </c>
      <c r="N12">
        <v>3</v>
      </c>
      <c r="O12">
        <v>1.4</v>
      </c>
      <c r="P12">
        <v>0.11</v>
      </c>
    </row>
    <row r="13" spans="1:16">
      <c r="A13">
        <v>8</v>
      </c>
      <c r="B13">
        <v>3</v>
      </c>
      <c r="C13">
        <v>1.11765</v>
      </c>
      <c r="D13">
        <v>0.03</v>
      </c>
      <c r="E13">
        <v>20</v>
      </c>
      <c r="F13">
        <v>1.40909</v>
      </c>
      <c r="G13">
        <v>0.13</v>
      </c>
      <c r="H13">
        <v>11</v>
      </c>
      <c r="I13">
        <v>1.4444399999999999</v>
      </c>
      <c r="J13">
        <v>0.1</v>
      </c>
      <c r="K13">
        <v>3</v>
      </c>
      <c r="L13">
        <v>1</v>
      </c>
      <c r="M13">
        <v>0.05</v>
      </c>
      <c r="N13">
        <v>3</v>
      </c>
      <c r="O13">
        <v>1.11765</v>
      </c>
      <c r="P13">
        <v>0.14000000000000001</v>
      </c>
    </row>
    <row r="14" spans="1:16">
      <c r="A14">
        <v>9</v>
      </c>
      <c r="B14">
        <v>6</v>
      </c>
      <c r="C14">
        <v>1.05263</v>
      </c>
      <c r="D14">
        <v>0.03</v>
      </c>
      <c r="E14">
        <v>13</v>
      </c>
      <c r="F14">
        <v>1.5555600000000001</v>
      </c>
      <c r="G14">
        <v>0.06</v>
      </c>
      <c r="H14">
        <v>3</v>
      </c>
      <c r="I14">
        <v>1.7692300000000001</v>
      </c>
      <c r="J14">
        <v>0.08</v>
      </c>
      <c r="K14">
        <v>6</v>
      </c>
      <c r="L14">
        <v>1</v>
      </c>
      <c r="M14">
        <v>0.04</v>
      </c>
      <c r="N14">
        <v>3</v>
      </c>
      <c r="O14">
        <v>1.11765</v>
      </c>
      <c r="P14">
        <v>0.17</v>
      </c>
    </row>
    <row r="15" spans="1:16">
      <c r="A15">
        <v>10</v>
      </c>
      <c r="B15">
        <v>4</v>
      </c>
      <c r="C15">
        <v>1.1764699999999999</v>
      </c>
      <c r="D15">
        <v>0.03</v>
      </c>
      <c r="E15">
        <v>3</v>
      </c>
      <c r="F15">
        <v>1.5714300000000001</v>
      </c>
      <c r="G15">
        <v>0.06</v>
      </c>
      <c r="H15">
        <v>4</v>
      </c>
      <c r="I15">
        <v>1.0555600000000001</v>
      </c>
      <c r="J15">
        <v>0.08</v>
      </c>
      <c r="K15">
        <v>4</v>
      </c>
      <c r="L15">
        <v>1</v>
      </c>
      <c r="M15">
        <v>0.04</v>
      </c>
      <c r="N15">
        <v>3</v>
      </c>
      <c r="O15">
        <v>1.4</v>
      </c>
      <c r="P15">
        <v>0.12</v>
      </c>
    </row>
    <row r="16" spans="1:16">
      <c r="A16">
        <v>11</v>
      </c>
      <c r="B16">
        <v>6</v>
      </c>
      <c r="C16">
        <v>1.05263</v>
      </c>
      <c r="D16">
        <v>0.03</v>
      </c>
      <c r="E16">
        <v>10</v>
      </c>
      <c r="F16">
        <v>1.5294099999999999</v>
      </c>
      <c r="G16">
        <v>0.06</v>
      </c>
      <c r="H16">
        <v>3</v>
      </c>
      <c r="I16">
        <v>1.25</v>
      </c>
      <c r="J16">
        <v>7.0000000000000007E-2</v>
      </c>
      <c r="K16">
        <v>6</v>
      </c>
      <c r="L16">
        <v>1</v>
      </c>
      <c r="M16">
        <v>0.04</v>
      </c>
      <c r="N16">
        <v>3</v>
      </c>
      <c r="O16">
        <v>1.11765</v>
      </c>
      <c r="P16">
        <v>0.1</v>
      </c>
    </row>
    <row r="17" spans="1:16">
      <c r="A17">
        <v>12</v>
      </c>
      <c r="B17">
        <v>3</v>
      </c>
      <c r="C17">
        <v>1.11765</v>
      </c>
      <c r="D17">
        <v>0.03</v>
      </c>
      <c r="E17">
        <v>3</v>
      </c>
      <c r="F17">
        <v>1.5714300000000001</v>
      </c>
      <c r="G17">
        <v>0.06</v>
      </c>
      <c r="H17">
        <v>4</v>
      </c>
      <c r="I17">
        <v>1.0555600000000001</v>
      </c>
      <c r="J17">
        <v>0.08</v>
      </c>
      <c r="K17">
        <v>3</v>
      </c>
      <c r="L17">
        <v>1</v>
      </c>
      <c r="M17">
        <v>0.04</v>
      </c>
      <c r="N17">
        <v>3</v>
      </c>
      <c r="O17">
        <v>1.4</v>
      </c>
      <c r="P17">
        <v>0.11</v>
      </c>
    </row>
    <row r="18" spans="1:16">
      <c r="A18">
        <v>13</v>
      </c>
      <c r="B18">
        <v>5</v>
      </c>
      <c r="C18">
        <v>1.11111</v>
      </c>
      <c r="D18">
        <v>0.03</v>
      </c>
      <c r="E18">
        <v>15</v>
      </c>
      <c r="F18">
        <v>1.5263199999999999</v>
      </c>
      <c r="G18">
        <v>7.0000000000000007E-2</v>
      </c>
      <c r="H18">
        <v>5</v>
      </c>
      <c r="I18">
        <v>1.7142900000000001</v>
      </c>
      <c r="J18">
        <v>7.0000000000000007E-2</v>
      </c>
      <c r="K18">
        <v>5</v>
      </c>
      <c r="L18">
        <v>1</v>
      </c>
      <c r="M18">
        <v>0.04</v>
      </c>
      <c r="N18">
        <v>3</v>
      </c>
      <c r="O18">
        <v>1</v>
      </c>
      <c r="P18">
        <v>0.11</v>
      </c>
    </row>
    <row r="19" spans="1:16">
      <c r="A19">
        <v>14</v>
      </c>
      <c r="B19">
        <v>3</v>
      </c>
      <c r="C19">
        <v>1.11765</v>
      </c>
      <c r="D19">
        <v>0.03</v>
      </c>
      <c r="E19">
        <v>19</v>
      </c>
      <c r="F19">
        <v>1.4761899999999999</v>
      </c>
      <c r="G19">
        <v>0.06</v>
      </c>
      <c r="H19">
        <v>9</v>
      </c>
      <c r="I19">
        <v>1.625</v>
      </c>
      <c r="J19">
        <v>7.0000000000000007E-2</v>
      </c>
      <c r="K19">
        <v>3</v>
      </c>
      <c r="L19">
        <v>1</v>
      </c>
      <c r="M19">
        <v>0.04</v>
      </c>
      <c r="N19">
        <v>3</v>
      </c>
      <c r="O19">
        <v>1.11765</v>
      </c>
      <c r="P19">
        <v>0.1</v>
      </c>
    </row>
    <row r="20" spans="1:16">
      <c r="A20">
        <v>15</v>
      </c>
      <c r="B20">
        <v>6</v>
      </c>
      <c r="C20">
        <v>1.05263</v>
      </c>
      <c r="D20">
        <v>0.03</v>
      </c>
      <c r="E20">
        <v>12</v>
      </c>
      <c r="F20">
        <v>1.5</v>
      </c>
      <c r="G20">
        <v>0.06</v>
      </c>
      <c r="H20">
        <v>3</v>
      </c>
      <c r="I20">
        <v>1.5714300000000001</v>
      </c>
      <c r="J20">
        <v>0.1</v>
      </c>
      <c r="K20">
        <v>6</v>
      </c>
      <c r="L20">
        <v>1</v>
      </c>
      <c r="M20">
        <v>0.06</v>
      </c>
      <c r="N20">
        <v>3</v>
      </c>
      <c r="O20">
        <v>1</v>
      </c>
      <c r="P20">
        <v>0.1</v>
      </c>
    </row>
    <row r="21" spans="1:16">
      <c r="A21">
        <v>16</v>
      </c>
      <c r="B21">
        <v>4</v>
      </c>
      <c r="C21">
        <v>1.1764699999999999</v>
      </c>
      <c r="D21">
        <v>0.03</v>
      </c>
      <c r="E21">
        <v>3</v>
      </c>
      <c r="F21">
        <v>1.5714300000000001</v>
      </c>
      <c r="G21">
        <v>0.06</v>
      </c>
      <c r="H21">
        <v>4</v>
      </c>
      <c r="I21">
        <v>1.0555600000000001</v>
      </c>
      <c r="J21">
        <v>7.0000000000000007E-2</v>
      </c>
      <c r="K21">
        <v>4</v>
      </c>
      <c r="L21">
        <v>1</v>
      </c>
      <c r="M21">
        <v>0.09</v>
      </c>
      <c r="N21">
        <v>3</v>
      </c>
      <c r="O21">
        <v>1.4</v>
      </c>
      <c r="P21">
        <v>0.17</v>
      </c>
    </row>
    <row r="22" spans="1:16">
      <c r="A22">
        <v>17</v>
      </c>
      <c r="B22">
        <v>3</v>
      </c>
      <c r="C22">
        <v>1</v>
      </c>
      <c r="D22">
        <v>0.04</v>
      </c>
      <c r="E22">
        <v>3</v>
      </c>
      <c r="F22">
        <v>1.7692300000000001</v>
      </c>
      <c r="G22">
        <v>0.09</v>
      </c>
      <c r="H22">
        <v>4</v>
      </c>
      <c r="I22">
        <v>1.0555600000000001</v>
      </c>
      <c r="J22">
        <v>0.11</v>
      </c>
      <c r="K22">
        <v>3</v>
      </c>
      <c r="L22">
        <v>1</v>
      </c>
      <c r="M22">
        <v>0.08</v>
      </c>
      <c r="N22">
        <v>3</v>
      </c>
      <c r="O22">
        <v>1.5714300000000001</v>
      </c>
      <c r="P22">
        <v>0.16</v>
      </c>
    </row>
    <row r="23" spans="1:16">
      <c r="A23">
        <v>18</v>
      </c>
      <c r="B23">
        <v>6</v>
      </c>
      <c r="C23">
        <v>1.05263</v>
      </c>
      <c r="D23">
        <v>0.05</v>
      </c>
      <c r="E23">
        <v>13</v>
      </c>
      <c r="F23">
        <v>1.5555600000000001</v>
      </c>
      <c r="G23">
        <v>0.09</v>
      </c>
      <c r="H23">
        <v>3</v>
      </c>
      <c r="I23">
        <v>1.7692300000000001</v>
      </c>
      <c r="J23">
        <v>0.11</v>
      </c>
      <c r="K23">
        <v>6</v>
      </c>
      <c r="L23">
        <v>1</v>
      </c>
      <c r="M23">
        <v>7.0000000000000007E-2</v>
      </c>
      <c r="N23">
        <v>3</v>
      </c>
      <c r="O23">
        <v>1.11765</v>
      </c>
      <c r="P23">
        <v>0.17</v>
      </c>
    </row>
    <row r="24" spans="1:16">
      <c r="A24">
        <v>19</v>
      </c>
      <c r="B24">
        <v>3</v>
      </c>
      <c r="C24">
        <v>1.11765</v>
      </c>
      <c r="D24">
        <v>0.04</v>
      </c>
      <c r="E24">
        <v>23</v>
      </c>
      <c r="F24">
        <v>1.4347799999999999</v>
      </c>
      <c r="G24">
        <v>0.09</v>
      </c>
      <c r="H24">
        <v>13</v>
      </c>
      <c r="I24">
        <v>1.5555600000000001</v>
      </c>
      <c r="J24">
        <v>0.12</v>
      </c>
      <c r="K24">
        <v>3</v>
      </c>
      <c r="L24">
        <v>1</v>
      </c>
      <c r="M24">
        <v>7.0000000000000007E-2</v>
      </c>
      <c r="N24">
        <v>3</v>
      </c>
      <c r="O24">
        <v>1.11765</v>
      </c>
      <c r="P24">
        <v>0.19</v>
      </c>
    </row>
    <row r="25" spans="1:16">
      <c r="A25">
        <v>20</v>
      </c>
      <c r="B25">
        <v>6</v>
      </c>
      <c r="C25">
        <v>1.05263</v>
      </c>
      <c r="D25">
        <v>0.05</v>
      </c>
      <c r="E25">
        <v>8</v>
      </c>
      <c r="F25">
        <v>1.5625</v>
      </c>
      <c r="G25">
        <v>0.09</v>
      </c>
      <c r="H25">
        <v>3</v>
      </c>
      <c r="I25">
        <v>1</v>
      </c>
      <c r="J25">
        <v>0.11</v>
      </c>
      <c r="K25">
        <v>6</v>
      </c>
      <c r="L25">
        <v>1</v>
      </c>
      <c r="M25">
        <v>0.06</v>
      </c>
      <c r="N25">
        <v>3</v>
      </c>
      <c r="O25">
        <v>1.11765</v>
      </c>
      <c r="P25">
        <v>0.16</v>
      </c>
    </row>
    <row r="26" spans="1:16">
      <c r="A26">
        <v>21</v>
      </c>
      <c r="B26">
        <v>6</v>
      </c>
      <c r="C26">
        <v>1.05263</v>
      </c>
      <c r="D26">
        <v>0.04</v>
      </c>
      <c r="E26">
        <v>11</v>
      </c>
      <c r="F26">
        <v>1.5882400000000001</v>
      </c>
      <c r="G26">
        <v>0.09</v>
      </c>
      <c r="H26">
        <v>3</v>
      </c>
      <c r="I26">
        <v>1.4</v>
      </c>
      <c r="J26">
        <v>0.11</v>
      </c>
      <c r="K26">
        <v>6</v>
      </c>
      <c r="L26">
        <v>1</v>
      </c>
      <c r="M26">
        <v>7.0000000000000007E-2</v>
      </c>
      <c r="N26">
        <v>3</v>
      </c>
      <c r="O26">
        <v>1.11765</v>
      </c>
      <c r="P26">
        <v>0.17</v>
      </c>
    </row>
    <row r="27" spans="1:16">
      <c r="A27">
        <v>22</v>
      </c>
      <c r="B27">
        <v>6</v>
      </c>
      <c r="C27">
        <v>1.05263</v>
      </c>
      <c r="D27">
        <v>0.04</v>
      </c>
      <c r="E27">
        <v>13</v>
      </c>
      <c r="F27">
        <v>1.5555600000000001</v>
      </c>
      <c r="G27">
        <v>0.1</v>
      </c>
      <c r="H27">
        <v>3</v>
      </c>
      <c r="I27">
        <v>1.7692300000000001</v>
      </c>
      <c r="J27">
        <v>0.11</v>
      </c>
      <c r="K27">
        <v>6</v>
      </c>
      <c r="L27">
        <v>1</v>
      </c>
      <c r="M27">
        <v>7.0000000000000007E-2</v>
      </c>
      <c r="N27">
        <v>3</v>
      </c>
      <c r="O27">
        <v>1.11765</v>
      </c>
      <c r="P27">
        <v>0.17</v>
      </c>
    </row>
    <row r="28" spans="1:16">
      <c r="A28">
        <v>23</v>
      </c>
      <c r="B28">
        <v>3</v>
      </c>
      <c r="C28">
        <v>1</v>
      </c>
      <c r="D28">
        <v>0.05</v>
      </c>
      <c r="E28">
        <v>18</v>
      </c>
      <c r="F28">
        <v>1.4285699999999999</v>
      </c>
      <c r="G28">
        <v>0.1</v>
      </c>
      <c r="H28">
        <v>9</v>
      </c>
      <c r="I28">
        <v>1.4705900000000001</v>
      </c>
      <c r="J28">
        <v>0.11</v>
      </c>
      <c r="K28">
        <v>3</v>
      </c>
      <c r="L28">
        <v>1</v>
      </c>
      <c r="M28">
        <v>0.04</v>
      </c>
      <c r="N28">
        <v>3</v>
      </c>
      <c r="O28">
        <v>1</v>
      </c>
      <c r="P28">
        <v>0.11</v>
      </c>
    </row>
    <row r="29" spans="1:16">
      <c r="A29">
        <v>24</v>
      </c>
      <c r="B29">
        <v>3</v>
      </c>
      <c r="C29">
        <v>1</v>
      </c>
      <c r="D29">
        <v>0.03</v>
      </c>
      <c r="E29">
        <v>3</v>
      </c>
      <c r="F29">
        <v>1.7692300000000001</v>
      </c>
      <c r="G29">
        <v>0.05</v>
      </c>
      <c r="H29">
        <v>4</v>
      </c>
      <c r="I29">
        <v>1.0555600000000001</v>
      </c>
      <c r="J29">
        <v>7.0000000000000007E-2</v>
      </c>
      <c r="K29">
        <v>3</v>
      </c>
      <c r="L29">
        <v>1</v>
      </c>
      <c r="M29">
        <v>0.06</v>
      </c>
      <c r="N29">
        <v>3</v>
      </c>
      <c r="O29">
        <v>1.5714300000000001</v>
      </c>
      <c r="P29">
        <v>0.13</v>
      </c>
    </row>
    <row r="30" spans="1:16">
      <c r="A30">
        <v>25</v>
      </c>
      <c r="B30">
        <v>6</v>
      </c>
      <c r="C30">
        <v>1.05263</v>
      </c>
      <c r="D30">
        <v>0.03</v>
      </c>
      <c r="E30">
        <v>3</v>
      </c>
      <c r="F30">
        <v>1.7692300000000001</v>
      </c>
      <c r="G30">
        <v>0.06</v>
      </c>
      <c r="H30">
        <v>3</v>
      </c>
      <c r="I30">
        <v>1.7692300000000001</v>
      </c>
      <c r="J30">
        <v>7.0000000000000007E-2</v>
      </c>
      <c r="K30">
        <v>6</v>
      </c>
      <c r="L30">
        <v>1</v>
      </c>
      <c r="M30">
        <v>0.04</v>
      </c>
      <c r="N30">
        <v>3</v>
      </c>
      <c r="O30">
        <v>1.7692300000000001</v>
      </c>
      <c r="P30">
        <v>0.15</v>
      </c>
    </row>
    <row r="31" spans="1:16">
      <c r="A31">
        <v>26</v>
      </c>
      <c r="B31">
        <v>6</v>
      </c>
      <c r="C31">
        <v>1.05263</v>
      </c>
      <c r="D31">
        <v>0.03</v>
      </c>
      <c r="E31">
        <v>12</v>
      </c>
      <c r="F31">
        <v>1.5</v>
      </c>
      <c r="G31">
        <v>0.06</v>
      </c>
      <c r="H31">
        <v>3</v>
      </c>
      <c r="I31">
        <v>1.5714300000000001</v>
      </c>
      <c r="J31">
        <v>7.0000000000000007E-2</v>
      </c>
      <c r="K31">
        <v>6</v>
      </c>
      <c r="L31">
        <v>1</v>
      </c>
      <c r="M31">
        <v>0.04</v>
      </c>
      <c r="N31">
        <v>3</v>
      </c>
      <c r="O31">
        <v>1</v>
      </c>
      <c r="P31">
        <v>0.1</v>
      </c>
    </row>
    <row r="32" spans="1:16">
      <c r="A32">
        <v>27</v>
      </c>
      <c r="B32">
        <v>6</v>
      </c>
      <c r="C32">
        <v>1.05263</v>
      </c>
      <c r="D32">
        <v>0.03</v>
      </c>
      <c r="E32">
        <v>12</v>
      </c>
      <c r="F32">
        <v>1.5</v>
      </c>
      <c r="G32">
        <v>0.06</v>
      </c>
      <c r="H32">
        <v>3</v>
      </c>
      <c r="I32">
        <v>1.5714300000000001</v>
      </c>
      <c r="J32">
        <v>0.09</v>
      </c>
      <c r="K32">
        <v>6</v>
      </c>
      <c r="L32">
        <v>1</v>
      </c>
      <c r="M32">
        <v>0.06</v>
      </c>
      <c r="N32">
        <v>3</v>
      </c>
      <c r="O32">
        <v>1</v>
      </c>
      <c r="P32">
        <v>0.16</v>
      </c>
    </row>
    <row r="33" spans="1:16">
      <c r="A33">
        <v>28</v>
      </c>
      <c r="B33">
        <v>3</v>
      </c>
      <c r="C33">
        <v>1</v>
      </c>
      <c r="D33">
        <v>0.04</v>
      </c>
      <c r="E33">
        <v>3</v>
      </c>
      <c r="F33">
        <v>1.7692300000000001</v>
      </c>
      <c r="G33">
        <v>0.09</v>
      </c>
      <c r="H33">
        <v>4</v>
      </c>
      <c r="I33">
        <v>1.0555600000000001</v>
      </c>
      <c r="J33">
        <v>0.11</v>
      </c>
      <c r="K33">
        <v>3</v>
      </c>
      <c r="L33">
        <v>1</v>
      </c>
      <c r="M33">
        <v>0.06</v>
      </c>
      <c r="N33">
        <v>3</v>
      </c>
      <c r="O33">
        <v>1.5714300000000001</v>
      </c>
      <c r="P33">
        <v>0.17</v>
      </c>
    </row>
    <row r="34" spans="1:16">
      <c r="A34">
        <v>29</v>
      </c>
      <c r="B34">
        <v>5</v>
      </c>
      <c r="C34">
        <v>1.11111</v>
      </c>
      <c r="D34">
        <v>0.04</v>
      </c>
      <c r="E34">
        <v>15</v>
      </c>
      <c r="F34">
        <v>1.5263199999999999</v>
      </c>
      <c r="G34">
        <v>0.1</v>
      </c>
      <c r="H34">
        <v>5</v>
      </c>
      <c r="I34">
        <v>1.7142900000000001</v>
      </c>
      <c r="J34">
        <v>0.12</v>
      </c>
      <c r="K34">
        <v>5</v>
      </c>
      <c r="L34">
        <v>1</v>
      </c>
      <c r="M34">
        <v>7.0000000000000007E-2</v>
      </c>
      <c r="N34">
        <v>3</v>
      </c>
      <c r="O34">
        <v>1</v>
      </c>
      <c r="P34">
        <v>0.2</v>
      </c>
    </row>
    <row r="35" spans="1:16">
      <c r="A35">
        <v>30</v>
      </c>
      <c r="B35">
        <v>4</v>
      </c>
      <c r="C35">
        <v>1.1764699999999999</v>
      </c>
      <c r="D35">
        <v>0.05</v>
      </c>
      <c r="E35">
        <v>3</v>
      </c>
      <c r="F35">
        <v>1.5714300000000001</v>
      </c>
      <c r="G35">
        <v>0.09</v>
      </c>
      <c r="H35">
        <v>4</v>
      </c>
      <c r="I35">
        <v>1.0555600000000001</v>
      </c>
      <c r="J35">
        <v>0.11</v>
      </c>
      <c r="K35">
        <v>4</v>
      </c>
      <c r="L35">
        <v>1</v>
      </c>
      <c r="M35">
        <v>7.0000000000000007E-2</v>
      </c>
      <c r="N35">
        <v>3</v>
      </c>
      <c r="O35">
        <v>1.4</v>
      </c>
      <c r="P35">
        <v>0.15</v>
      </c>
    </row>
    <row r="36" spans="1:16">
      <c r="A36">
        <v>31</v>
      </c>
      <c r="B36">
        <v>6</v>
      </c>
      <c r="C36">
        <v>1.05263</v>
      </c>
      <c r="D36">
        <v>0.03</v>
      </c>
      <c r="E36">
        <v>11</v>
      </c>
      <c r="F36">
        <v>1.5882400000000001</v>
      </c>
      <c r="G36">
        <v>0.06</v>
      </c>
      <c r="H36">
        <v>3</v>
      </c>
      <c r="I36">
        <v>1.4</v>
      </c>
      <c r="J36">
        <v>7.0000000000000007E-2</v>
      </c>
      <c r="K36">
        <v>6</v>
      </c>
      <c r="L36">
        <v>1</v>
      </c>
      <c r="M36">
        <v>7.0000000000000007E-2</v>
      </c>
      <c r="N36">
        <v>3</v>
      </c>
      <c r="O36">
        <v>1.11765</v>
      </c>
      <c r="P36">
        <v>0.16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J40" si="0">MAX(C5:C36)</f>
        <v>1.1764699999999999</v>
      </c>
      <c r="D40" s="1">
        <f t="shared" si="0"/>
        <v>0.19</v>
      </c>
      <c r="E40" s="1">
        <f t="shared" si="0"/>
        <v>23</v>
      </c>
      <c r="F40" s="1">
        <f t="shared" si="0"/>
        <v>1.7692300000000001</v>
      </c>
      <c r="G40" s="1">
        <f t="shared" si="0"/>
        <v>0.13</v>
      </c>
      <c r="H40" s="1">
        <f t="shared" si="0"/>
        <v>13</v>
      </c>
      <c r="I40" s="1">
        <f t="shared" si="0"/>
        <v>1.7692300000000001</v>
      </c>
      <c r="J40" s="1">
        <f t="shared" si="0"/>
        <v>0.12</v>
      </c>
      <c r="K40" s="1">
        <f t="shared" ref="K40:P40" si="1">MAX(K5:K36)</f>
        <v>6</v>
      </c>
      <c r="L40" s="1">
        <f t="shared" si="1"/>
        <v>1</v>
      </c>
      <c r="M40" s="1">
        <f t="shared" si="1"/>
        <v>0.09</v>
      </c>
      <c r="N40" s="1">
        <f t="shared" si="1"/>
        <v>3</v>
      </c>
      <c r="O40" s="1">
        <f t="shared" si="1"/>
        <v>1.7692300000000001</v>
      </c>
      <c r="P40" s="1">
        <f t="shared" si="1"/>
        <v>1.1399999999999999</v>
      </c>
    </row>
    <row r="41" spans="1:16">
      <c r="A41" t="s">
        <v>12</v>
      </c>
      <c r="B41" s="1">
        <f>MIN(B5:B36)</f>
        <v>3</v>
      </c>
      <c r="C41" s="1">
        <f t="shared" ref="C41:J41" si="2">MIN(C5:C36)</f>
        <v>1</v>
      </c>
      <c r="D41" s="1">
        <f t="shared" si="2"/>
        <v>0.03</v>
      </c>
      <c r="E41" s="1">
        <f t="shared" si="2"/>
        <v>3</v>
      </c>
      <c r="F41" s="1">
        <f t="shared" si="2"/>
        <v>1.40909</v>
      </c>
      <c r="G41" s="1">
        <f t="shared" si="2"/>
        <v>0.05</v>
      </c>
      <c r="H41" s="1">
        <f t="shared" si="2"/>
        <v>3</v>
      </c>
      <c r="I41" s="1">
        <f t="shared" si="2"/>
        <v>1</v>
      </c>
      <c r="J41" s="1">
        <f t="shared" si="2"/>
        <v>7.0000000000000007E-2</v>
      </c>
      <c r="K41" s="1">
        <f t="shared" ref="K41:P41" si="3">MIN(K5:K36)</f>
        <v>3</v>
      </c>
      <c r="L41" s="1">
        <f t="shared" si="3"/>
        <v>1</v>
      </c>
      <c r="M41" s="1">
        <f t="shared" si="3"/>
        <v>0.04</v>
      </c>
      <c r="N41" s="1">
        <f t="shared" si="3"/>
        <v>3</v>
      </c>
      <c r="O41" s="1">
        <f t="shared" si="3"/>
        <v>1</v>
      </c>
      <c r="P41" s="1">
        <f t="shared" si="3"/>
        <v>0.1</v>
      </c>
    </row>
    <row r="42" spans="1:16">
      <c r="A42" t="s">
        <v>13</v>
      </c>
      <c r="B42" s="1">
        <f>MEDIAN(B5:B36)</f>
        <v>4</v>
      </c>
      <c r="C42" s="1">
        <f t="shared" ref="C42:J42" si="4">MEDIAN(C5:C36)</f>
        <v>1.05263</v>
      </c>
      <c r="D42" s="1">
        <f t="shared" si="4"/>
        <v>0.03</v>
      </c>
      <c r="E42" s="1">
        <f t="shared" si="4"/>
        <v>10</v>
      </c>
      <c r="F42" s="1">
        <f t="shared" si="4"/>
        <v>1.5669650000000002</v>
      </c>
      <c r="G42" s="1">
        <f t="shared" si="4"/>
        <v>6.5000000000000002E-2</v>
      </c>
      <c r="H42" s="1">
        <f t="shared" si="4"/>
        <v>4</v>
      </c>
      <c r="I42" s="1">
        <f t="shared" si="4"/>
        <v>1.325</v>
      </c>
      <c r="J42" s="1">
        <f t="shared" si="4"/>
        <v>0.08</v>
      </c>
      <c r="K42" s="1">
        <f t="shared" ref="K42:P42" si="5">MEDIAN(K5:K36)</f>
        <v>4</v>
      </c>
      <c r="L42" s="1">
        <f t="shared" si="5"/>
        <v>1</v>
      </c>
      <c r="M42" s="1">
        <f t="shared" si="5"/>
        <v>5.5E-2</v>
      </c>
      <c r="N42" s="1">
        <f t="shared" si="5"/>
        <v>3</v>
      </c>
      <c r="O42" s="1">
        <f t="shared" si="5"/>
        <v>1.11765</v>
      </c>
      <c r="P42" s="1">
        <f t="shared" si="5"/>
        <v>0.14500000000000002</v>
      </c>
    </row>
    <row r="43" spans="1:16">
      <c r="A43" t="s">
        <v>14</v>
      </c>
      <c r="B43" s="1">
        <f>AVERAGE(B5:B36)</f>
        <v>4.375</v>
      </c>
      <c r="C43" s="1">
        <f t="shared" ref="C43:J43" si="6">AVERAGE(C5:C36)</f>
        <v>1.0781518750000001</v>
      </c>
      <c r="D43" s="1">
        <f t="shared" si="6"/>
        <v>4.0625000000000022E-2</v>
      </c>
      <c r="E43" s="1">
        <f t="shared" si="6"/>
        <v>9.25</v>
      </c>
      <c r="F43" s="1">
        <f t="shared" si="6"/>
        <v>1.5704615624999996</v>
      </c>
      <c r="G43" s="1">
        <f t="shared" si="6"/>
        <v>7.4687500000000032E-2</v>
      </c>
      <c r="H43" s="1">
        <f t="shared" si="6"/>
        <v>4.625</v>
      </c>
      <c r="I43" s="1">
        <f t="shared" si="6"/>
        <v>1.3360215624999998</v>
      </c>
      <c r="J43" s="1">
        <f t="shared" si="6"/>
        <v>8.8749999999999982E-2</v>
      </c>
      <c r="K43" s="1">
        <f t="shared" ref="K43:P43" si="7">AVERAGE(K5:K36)</f>
        <v>4.375</v>
      </c>
      <c r="L43" s="1">
        <f t="shared" si="7"/>
        <v>1</v>
      </c>
      <c r="M43" s="1">
        <f t="shared" si="7"/>
        <v>5.5625000000000022E-2</v>
      </c>
      <c r="N43" s="1">
        <f t="shared" si="7"/>
        <v>3</v>
      </c>
      <c r="O43" s="1">
        <f t="shared" si="7"/>
        <v>1.2484093749999998</v>
      </c>
      <c r="P43" s="1">
        <f t="shared" si="7"/>
        <v>0.17375000000000004</v>
      </c>
    </row>
    <row r="44" spans="1:16">
      <c r="A44" t="s">
        <v>15</v>
      </c>
      <c r="B44" s="1">
        <f>STDEV(B5:B36)</f>
        <v>1.3854078239672525</v>
      </c>
      <c r="C44" s="1">
        <f t="shared" ref="C44:J44" si="8">STDEV(C5:C36)</f>
        <v>5.6162722250301521E-2</v>
      </c>
      <c r="D44" s="1">
        <f t="shared" si="8"/>
        <v>2.8504385627478399E-2</v>
      </c>
      <c r="E44" s="1">
        <f t="shared" si="8"/>
        <v>6.2938782341102257</v>
      </c>
      <c r="F44" s="1">
        <f t="shared" si="8"/>
        <v>0.10158754931043078</v>
      </c>
      <c r="G44" s="1">
        <f t="shared" si="8"/>
        <v>1.866242991473982E-2</v>
      </c>
      <c r="H44" s="1">
        <f t="shared" si="8"/>
        <v>2.5871892831984238</v>
      </c>
      <c r="I44" s="1">
        <f t="shared" si="8"/>
        <v>0.28823670303224763</v>
      </c>
      <c r="J44" s="1">
        <f t="shared" si="8"/>
        <v>1.8272136375967047E-2</v>
      </c>
      <c r="K44" s="1">
        <f t="shared" ref="K44:P44" si="9">STDEV(K5:K36)</f>
        <v>1.3854078239672525</v>
      </c>
      <c r="L44" s="1">
        <f t="shared" si="9"/>
        <v>0</v>
      </c>
      <c r="M44" s="1">
        <f t="shared" si="9"/>
        <v>1.5849595497026227E-2</v>
      </c>
      <c r="N44" s="1">
        <f t="shared" si="9"/>
        <v>0</v>
      </c>
      <c r="O44" s="1">
        <f t="shared" si="9"/>
        <v>0.22110204600587463</v>
      </c>
      <c r="P44" s="1">
        <f t="shared" si="9"/>
        <v>0.1792412322955817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22</v>
      </c>
      <c r="C1" t="s">
        <v>1</v>
      </c>
      <c r="D1">
        <v>303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0.75</v>
      </c>
      <c r="E5">
        <v>144</v>
      </c>
      <c r="F5">
        <v>1.56897</v>
      </c>
      <c r="G5">
        <v>1.17</v>
      </c>
      <c r="H5">
        <v>45</v>
      </c>
      <c r="I5">
        <v>1.784</v>
      </c>
      <c r="J5">
        <v>1.21</v>
      </c>
      <c r="K5">
        <v>3</v>
      </c>
      <c r="L5">
        <v>1</v>
      </c>
      <c r="M5">
        <v>0.62</v>
      </c>
      <c r="N5">
        <v>3</v>
      </c>
      <c r="O5">
        <v>1</v>
      </c>
      <c r="P5">
        <v>1.57</v>
      </c>
    </row>
    <row r="6" spans="1:16">
      <c r="A6">
        <v>1</v>
      </c>
      <c r="B6">
        <v>3</v>
      </c>
      <c r="C6">
        <v>1</v>
      </c>
      <c r="D6">
        <v>0.44</v>
      </c>
      <c r="E6">
        <v>3</v>
      </c>
      <c r="F6">
        <v>1.9708699999999999</v>
      </c>
      <c r="G6">
        <v>0.85</v>
      </c>
      <c r="H6">
        <v>4</v>
      </c>
      <c r="I6">
        <v>1.00654</v>
      </c>
      <c r="J6">
        <v>1.07</v>
      </c>
      <c r="K6">
        <v>3</v>
      </c>
      <c r="L6">
        <v>1</v>
      </c>
      <c r="M6">
        <v>0.89</v>
      </c>
      <c r="N6">
        <v>3</v>
      </c>
      <c r="O6">
        <v>1.94231</v>
      </c>
      <c r="P6">
        <v>1.86</v>
      </c>
    </row>
    <row r="7" spans="1:16">
      <c r="A7">
        <v>2</v>
      </c>
      <c r="B7">
        <v>3</v>
      </c>
      <c r="C7">
        <v>1.0131600000000001</v>
      </c>
      <c r="D7">
        <v>0.49</v>
      </c>
      <c r="E7">
        <v>4</v>
      </c>
      <c r="F7">
        <v>1.9519200000000001</v>
      </c>
      <c r="G7">
        <v>0.75</v>
      </c>
      <c r="H7">
        <v>3</v>
      </c>
      <c r="I7">
        <v>1</v>
      </c>
      <c r="J7">
        <v>0.96</v>
      </c>
      <c r="K7">
        <v>3</v>
      </c>
      <c r="L7">
        <v>1</v>
      </c>
      <c r="M7">
        <v>0.56000000000000005</v>
      </c>
      <c r="N7">
        <v>3</v>
      </c>
      <c r="O7">
        <v>1.91429</v>
      </c>
      <c r="P7">
        <v>1.47</v>
      </c>
    </row>
    <row r="8" spans="1:16">
      <c r="A8">
        <v>3</v>
      </c>
      <c r="B8">
        <v>3</v>
      </c>
      <c r="C8">
        <v>1.0131600000000001</v>
      </c>
      <c r="D8">
        <v>0.37</v>
      </c>
      <c r="E8">
        <v>3</v>
      </c>
      <c r="F8">
        <v>1.94231</v>
      </c>
      <c r="G8">
        <v>0.78</v>
      </c>
      <c r="H8">
        <v>4</v>
      </c>
      <c r="I8">
        <v>1.00654</v>
      </c>
      <c r="J8">
        <v>1.08</v>
      </c>
      <c r="K8">
        <v>3</v>
      </c>
      <c r="L8">
        <v>1</v>
      </c>
      <c r="M8">
        <v>0.59</v>
      </c>
      <c r="N8">
        <v>3</v>
      </c>
      <c r="O8">
        <v>1.91429</v>
      </c>
      <c r="P8">
        <v>1.76</v>
      </c>
    </row>
    <row r="9" spans="1:16">
      <c r="A9">
        <v>4</v>
      </c>
      <c r="B9">
        <v>3</v>
      </c>
      <c r="C9">
        <v>1</v>
      </c>
      <c r="D9">
        <v>0.56000000000000005</v>
      </c>
      <c r="E9">
        <v>3</v>
      </c>
      <c r="F9">
        <v>1.9708699999999999</v>
      </c>
      <c r="G9">
        <v>0.78</v>
      </c>
      <c r="H9">
        <v>4</v>
      </c>
      <c r="I9">
        <v>1.00654</v>
      </c>
      <c r="J9">
        <v>0.97</v>
      </c>
      <c r="K9">
        <v>3</v>
      </c>
      <c r="L9">
        <v>1</v>
      </c>
      <c r="M9">
        <v>0.69</v>
      </c>
      <c r="N9">
        <v>3</v>
      </c>
      <c r="O9">
        <v>1.94231</v>
      </c>
      <c r="P9">
        <v>1.32</v>
      </c>
    </row>
    <row r="10" spans="1:16">
      <c r="A10">
        <v>5</v>
      </c>
      <c r="B10">
        <v>3</v>
      </c>
      <c r="C10">
        <v>1.0131600000000001</v>
      </c>
      <c r="D10">
        <v>0.28999999999999998</v>
      </c>
      <c r="E10">
        <v>4</v>
      </c>
      <c r="F10">
        <v>1.9519200000000001</v>
      </c>
      <c r="G10">
        <v>0.64</v>
      </c>
      <c r="H10">
        <v>3</v>
      </c>
      <c r="I10">
        <v>1</v>
      </c>
      <c r="J10">
        <v>1.06</v>
      </c>
      <c r="K10">
        <v>3</v>
      </c>
      <c r="L10">
        <v>1</v>
      </c>
      <c r="M10">
        <v>0.68</v>
      </c>
      <c r="N10">
        <v>3</v>
      </c>
      <c r="O10">
        <v>1.91429</v>
      </c>
      <c r="P10">
        <v>1.27</v>
      </c>
    </row>
    <row r="11" spans="1:16">
      <c r="A11">
        <v>6</v>
      </c>
      <c r="B11">
        <v>6</v>
      </c>
      <c r="C11">
        <v>1.0328900000000001</v>
      </c>
      <c r="D11">
        <v>0.35</v>
      </c>
      <c r="E11">
        <v>79</v>
      </c>
      <c r="F11">
        <v>1.70922</v>
      </c>
      <c r="G11">
        <v>0.71</v>
      </c>
      <c r="H11">
        <v>3</v>
      </c>
      <c r="I11">
        <v>1.4094500000000001</v>
      </c>
      <c r="J11">
        <v>1.07</v>
      </c>
      <c r="K11">
        <v>6</v>
      </c>
      <c r="L11">
        <v>1</v>
      </c>
      <c r="M11">
        <v>0.5</v>
      </c>
      <c r="N11">
        <v>3</v>
      </c>
      <c r="O11">
        <v>1.0131600000000001</v>
      </c>
      <c r="P11">
        <v>1.18</v>
      </c>
    </row>
    <row r="12" spans="1:16">
      <c r="A12">
        <v>7</v>
      </c>
      <c r="B12">
        <v>3</v>
      </c>
      <c r="C12">
        <v>1.0131600000000001</v>
      </c>
      <c r="D12">
        <v>0.36</v>
      </c>
      <c r="E12">
        <v>3</v>
      </c>
      <c r="F12">
        <v>1.94231</v>
      </c>
      <c r="G12">
        <v>0.61</v>
      </c>
      <c r="H12">
        <v>4</v>
      </c>
      <c r="I12">
        <v>1.00654</v>
      </c>
      <c r="J12">
        <v>0.84</v>
      </c>
      <c r="K12">
        <v>3</v>
      </c>
      <c r="L12">
        <v>1</v>
      </c>
      <c r="M12">
        <v>0.66</v>
      </c>
      <c r="N12">
        <v>3</v>
      </c>
      <c r="O12">
        <v>1.91429</v>
      </c>
      <c r="P12">
        <v>1.68</v>
      </c>
    </row>
    <row r="13" spans="1:16">
      <c r="A13">
        <v>8</v>
      </c>
      <c r="B13">
        <v>6</v>
      </c>
      <c r="C13">
        <v>1.0328900000000001</v>
      </c>
      <c r="D13">
        <v>0.35</v>
      </c>
      <c r="E13">
        <v>63</v>
      </c>
      <c r="F13">
        <v>1.7518800000000001</v>
      </c>
      <c r="G13">
        <v>0.81</v>
      </c>
      <c r="H13">
        <v>3</v>
      </c>
      <c r="I13">
        <v>1.1398600000000001</v>
      </c>
      <c r="J13">
        <v>1.27</v>
      </c>
      <c r="K13">
        <v>6</v>
      </c>
      <c r="L13">
        <v>1</v>
      </c>
      <c r="M13">
        <v>0.46</v>
      </c>
      <c r="N13">
        <v>3</v>
      </c>
      <c r="O13">
        <v>1</v>
      </c>
      <c r="P13">
        <v>1.1299999999999999</v>
      </c>
    </row>
    <row r="14" spans="1:16">
      <c r="A14">
        <v>9</v>
      </c>
      <c r="B14">
        <v>4</v>
      </c>
      <c r="C14">
        <v>1.0197400000000001</v>
      </c>
      <c r="D14">
        <v>0.38</v>
      </c>
      <c r="E14">
        <v>127</v>
      </c>
      <c r="F14">
        <v>1.60606</v>
      </c>
      <c r="G14">
        <v>0.56999999999999995</v>
      </c>
      <c r="H14">
        <v>27</v>
      </c>
      <c r="I14">
        <v>1.86957</v>
      </c>
      <c r="J14">
        <v>0.73</v>
      </c>
      <c r="K14">
        <v>4</v>
      </c>
      <c r="L14">
        <v>1</v>
      </c>
      <c r="M14">
        <v>0.4</v>
      </c>
      <c r="N14">
        <v>3</v>
      </c>
      <c r="O14">
        <v>1.0131600000000001</v>
      </c>
      <c r="P14">
        <v>1.06</v>
      </c>
    </row>
    <row r="15" spans="1:16">
      <c r="A15">
        <v>10</v>
      </c>
      <c r="B15">
        <v>6</v>
      </c>
      <c r="C15">
        <v>1.0328900000000001</v>
      </c>
      <c r="D15">
        <v>0.27</v>
      </c>
      <c r="E15">
        <v>43</v>
      </c>
      <c r="F15">
        <v>1.81301</v>
      </c>
      <c r="G15">
        <v>0.52</v>
      </c>
      <c r="H15">
        <v>3</v>
      </c>
      <c r="I15">
        <v>1.1103400000000001</v>
      </c>
      <c r="J15">
        <v>0.66</v>
      </c>
      <c r="K15">
        <v>6</v>
      </c>
      <c r="L15">
        <v>1</v>
      </c>
      <c r="M15">
        <v>0.38</v>
      </c>
      <c r="N15">
        <v>3</v>
      </c>
      <c r="O15">
        <v>1.15493</v>
      </c>
      <c r="P15">
        <v>1.1399999999999999</v>
      </c>
    </row>
    <row r="16" spans="1:16">
      <c r="A16">
        <v>11</v>
      </c>
      <c r="B16">
        <v>6</v>
      </c>
      <c r="C16">
        <v>1.0328900000000001</v>
      </c>
      <c r="D16">
        <v>0.34</v>
      </c>
      <c r="E16">
        <v>90</v>
      </c>
      <c r="F16">
        <v>1.67347</v>
      </c>
      <c r="G16">
        <v>1.03</v>
      </c>
      <c r="H16">
        <v>3</v>
      </c>
      <c r="I16">
        <v>1.6379300000000001</v>
      </c>
      <c r="J16">
        <v>1.1399999999999999</v>
      </c>
      <c r="K16">
        <v>6</v>
      </c>
      <c r="L16">
        <v>1</v>
      </c>
      <c r="M16">
        <v>0.59</v>
      </c>
      <c r="N16">
        <v>3</v>
      </c>
      <c r="O16">
        <v>1</v>
      </c>
      <c r="P16">
        <v>1.55</v>
      </c>
    </row>
    <row r="17" spans="1:16">
      <c r="A17">
        <v>12</v>
      </c>
      <c r="B17">
        <v>3</v>
      </c>
      <c r="C17">
        <v>1.0131600000000001</v>
      </c>
      <c r="D17">
        <v>0.4</v>
      </c>
      <c r="E17">
        <v>3</v>
      </c>
      <c r="F17">
        <v>1.94231</v>
      </c>
      <c r="G17">
        <v>0.8</v>
      </c>
      <c r="H17">
        <v>4</v>
      </c>
      <c r="I17">
        <v>1.00654</v>
      </c>
      <c r="J17">
        <v>1.1000000000000001</v>
      </c>
      <c r="K17">
        <v>3</v>
      </c>
      <c r="L17">
        <v>1</v>
      </c>
      <c r="M17">
        <v>0.57999999999999996</v>
      </c>
      <c r="N17">
        <v>3</v>
      </c>
      <c r="O17">
        <v>1.91429</v>
      </c>
      <c r="P17">
        <v>1.44</v>
      </c>
    </row>
    <row r="18" spans="1:16">
      <c r="A18">
        <v>13</v>
      </c>
      <c r="B18">
        <v>6</v>
      </c>
      <c r="C18">
        <v>1.0328900000000001</v>
      </c>
      <c r="D18">
        <v>0.42</v>
      </c>
      <c r="E18">
        <v>48</v>
      </c>
      <c r="F18">
        <v>1.7857099999999999</v>
      </c>
      <c r="G18">
        <v>0.71</v>
      </c>
      <c r="H18">
        <v>3</v>
      </c>
      <c r="I18">
        <v>1.04</v>
      </c>
      <c r="J18">
        <v>1.1100000000000001</v>
      </c>
      <c r="K18">
        <v>6</v>
      </c>
      <c r="L18">
        <v>1</v>
      </c>
      <c r="M18">
        <v>0.64</v>
      </c>
      <c r="N18">
        <v>3</v>
      </c>
      <c r="O18">
        <v>1.0816300000000001</v>
      </c>
      <c r="P18">
        <v>1.76</v>
      </c>
    </row>
    <row r="19" spans="1:16">
      <c r="A19">
        <v>14</v>
      </c>
      <c r="B19">
        <v>3</v>
      </c>
      <c r="C19">
        <v>1</v>
      </c>
      <c r="D19">
        <v>0.45</v>
      </c>
      <c r="E19">
        <v>3</v>
      </c>
      <c r="F19">
        <v>1.9708699999999999</v>
      </c>
      <c r="G19">
        <v>0.77</v>
      </c>
      <c r="H19">
        <v>4</v>
      </c>
      <c r="I19">
        <v>1.00654</v>
      </c>
      <c r="J19">
        <v>1.48</v>
      </c>
      <c r="K19">
        <v>3</v>
      </c>
      <c r="L19">
        <v>1</v>
      </c>
      <c r="M19">
        <v>0.88</v>
      </c>
      <c r="N19">
        <v>3</v>
      </c>
      <c r="O19">
        <v>1.94231</v>
      </c>
      <c r="P19">
        <v>1.54</v>
      </c>
    </row>
    <row r="20" spans="1:16">
      <c r="A20">
        <v>15</v>
      </c>
      <c r="B20">
        <v>6</v>
      </c>
      <c r="C20">
        <v>1.0328900000000001</v>
      </c>
      <c r="D20">
        <v>0.32</v>
      </c>
      <c r="E20">
        <v>3</v>
      </c>
      <c r="F20">
        <v>1.9708699999999999</v>
      </c>
      <c r="G20">
        <v>0.68</v>
      </c>
      <c r="H20">
        <v>3</v>
      </c>
      <c r="I20">
        <v>1.94231</v>
      </c>
      <c r="J20">
        <v>0.81</v>
      </c>
      <c r="K20">
        <v>6</v>
      </c>
      <c r="L20">
        <v>1</v>
      </c>
      <c r="M20">
        <v>0.47</v>
      </c>
      <c r="N20">
        <v>3</v>
      </c>
      <c r="O20">
        <v>1.94231</v>
      </c>
      <c r="P20">
        <v>1.42</v>
      </c>
    </row>
    <row r="21" spans="1:16">
      <c r="A21">
        <v>16</v>
      </c>
      <c r="B21">
        <v>3</v>
      </c>
      <c r="C21">
        <v>1.0131600000000001</v>
      </c>
      <c r="D21">
        <v>0.35</v>
      </c>
      <c r="E21">
        <v>173</v>
      </c>
      <c r="F21">
        <v>1.5319100000000001</v>
      </c>
      <c r="G21">
        <v>0.86</v>
      </c>
      <c r="H21">
        <v>73</v>
      </c>
      <c r="I21">
        <v>1.72464</v>
      </c>
      <c r="J21">
        <v>1.21</v>
      </c>
      <c r="K21">
        <v>3</v>
      </c>
      <c r="L21">
        <v>1</v>
      </c>
      <c r="M21">
        <v>0.9</v>
      </c>
      <c r="N21">
        <v>3</v>
      </c>
      <c r="O21">
        <v>1.0131600000000001</v>
      </c>
      <c r="P21">
        <v>2.2200000000000002</v>
      </c>
    </row>
    <row r="22" spans="1:16">
      <c r="A22">
        <v>17</v>
      </c>
      <c r="B22">
        <v>3</v>
      </c>
      <c r="C22">
        <v>1.0131600000000001</v>
      </c>
      <c r="D22">
        <v>0.56999999999999995</v>
      </c>
      <c r="E22">
        <v>4</v>
      </c>
      <c r="F22">
        <v>1.9519200000000001</v>
      </c>
      <c r="G22">
        <v>0.94</v>
      </c>
      <c r="H22">
        <v>3</v>
      </c>
      <c r="I22">
        <v>1</v>
      </c>
      <c r="J22">
        <v>1.31</v>
      </c>
      <c r="K22">
        <v>3</v>
      </c>
      <c r="L22">
        <v>1</v>
      </c>
      <c r="M22">
        <v>0.89</v>
      </c>
      <c r="N22">
        <v>3</v>
      </c>
      <c r="O22">
        <v>1.91429</v>
      </c>
      <c r="P22">
        <v>1.88</v>
      </c>
    </row>
    <row r="23" spans="1:16">
      <c r="A23">
        <v>18</v>
      </c>
      <c r="B23">
        <v>6</v>
      </c>
      <c r="C23">
        <v>1.0328900000000001</v>
      </c>
      <c r="D23">
        <v>0.45</v>
      </c>
      <c r="E23">
        <v>49</v>
      </c>
      <c r="F23">
        <v>1.79365</v>
      </c>
      <c r="G23">
        <v>0.84</v>
      </c>
      <c r="H23">
        <v>3</v>
      </c>
      <c r="I23">
        <v>1.0264899999999999</v>
      </c>
      <c r="J23">
        <v>1.07</v>
      </c>
      <c r="K23">
        <v>6</v>
      </c>
      <c r="L23">
        <v>1</v>
      </c>
      <c r="M23">
        <v>0.59</v>
      </c>
      <c r="N23">
        <v>3</v>
      </c>
      <c r="O23">
        <v>1.0675699999999999</v>
      </c>
      <c r="P23">
        <v>1.57</v>
      </c>
    </row>
    <row r="24" spans="1:16">
      <c r="A24">
        <v>19</v>
      </c>
      <c r="B24">
        <v>6</v>
      </c>
      <c r="C24">
        <v>1.0328900000000001</v>
      </c>
      <c r="D24">
        <v>0.28999999999999998</v>
      </c>
      <c r="E24">
        <v>26</v>
      </c>
      <c r="F24">
        <v>1.86087</v>
      </c>
      <c r="G24">
        <v>0.68</v>
      </c>
      <c r="H24">
        <v>3</v>
      </c>
      <c r="I24">
        <v>1.39063</v>
      </c>
      <c r="J24">
        <v>1.29</v>
      </c>
      <c r="K24">
        <v>6</v>
      </c>
      <c r="L24">
        <v>1</v>
      </c>
      <c r="M24">
        <v>1.01</v>
      </c>
      <c r="N24">
        <v>3</v>
      </c>
      <c r="O24">
        <v>1.448</v>
      </c>
      <c r="P24">
        <v>1.95</v>
      </c>
    </row>
    <row r="25" spans="1:16">
      <c r="A25">
        <v>20</v>
      </c>
      <c r="B25">
        <v>6</v>
      </c>
      <c r="C25">
        <v>1.0328900000000001</v>
      </c>
      <c r="D25">
        <v>0.47</v>
      </c>
      <c r="E25">
        <v>45</v>
      </c>
      <c r="F25">
        <v>1.8064499999999999</v>
      </c>
      <c r="G25">
        <v>0.98</v>
      </c>
      <c r="H25">
        <v>3</v>
      </c>
      <c r="I25">
        <v>1.0816300000000001</v>
      </c>
      <c r="J25">
        <v>1.54</v>
      </c>
      <c r="K25">
        <v>6</v>
      </c>
      <c r="L25">
        <v>1</v>
      </c>
      <c r="M25">
        <v>0.62</v>
      </c>
      <c r="N25">
        <v>3</v>
      </c>
      <c r="O25">
        <v>1.125</v>
      </c>
      <c r="P25">
        <v>1.42</v>
      </c>
    </row>
    <row r="26" spans="1:16">
      <c r="A26">
        <v>21</v>
      </c>
      <c r="B26">
        <v>3</v>
      </c>
      <c r="C26">
        <v>1</v>
      </c>
      <c r="D26">
        <v>0.31</v>
      </c>
      <c r="E26">
        <v>162</v>
      </c>
      <c r="F26">
        <v>1.54098</v>
      </c>
      <c r="G26">
        <v>1.2</v>
      </c>
      <c r="H26">
        <v>63</v>
      </c>
      <c r="I26">
        <v>1.7313400000000001</v>
      </c>
      <c r="J26">
        <v>0.77</v>
      </c>
      <c r="K26">
        <v>3</v>
      </c>
      <c r="L26">
        <v>1</v>
      </c>
      <c r="M26">
        <v>0.37</v>
      </c>
      <c r="N26">
        <v>3</v>
      </c>
      <c r="O26">
        <v>1</v>
      </c>
      <c r="P26">
        <v>1.06</v>
      </c>
    </row>
    <row r="27" spans="1:16">
      <c r="A27">
        <v>22</v>
      </c>
      <c r="B27">
        <v>6</v>
      </c>
      <c r="C27">
        <v>1.0328900000000001</v>
      </c>
      <c r="D27">
        <v>0.27</v>
      </c>
      <c r="E27">
        <v>99</v>
      </c>
      <c r="F27">
        <v>1.66225</v>
      </c>
      <c r="G27">
        <v>0.52</v>
      </c>
      <c r="H27">
        <v>3</v>
      </c>
      <c r="I27">
        <v>1.85981</v>
      </c>
      <c r="J27">
        <v>0.69</v>
      </c>
      <c r="K27">
        <v>6</v>
      </c>
      <c r="L27">
        <v>1</v>
      </c>
      <c r="M27">
        <v>0.4</v>
      </c>
      <c r="N27">
        <v>3</v>
      </c>
      <c r="O27">
        <v>1</v>
      </c>
      <c r="P27">
        <v>1.07</v>
      </c>
    </row>
    <row r="28" spans="1:16">
      <c r="A28">
        <v>23</v>
      </c>
      <c r="B28">
        <v>6</v>
      </c>
      <c r="C28">
        <v>1.0328900000000001</v>
      </c>
      <c r="D28">
        <v>0.33</v>
      </c>
      <c r="E28">
        <v>3</v>
      </c>
      <c r="F28">
        <v>1.94231</v>
      </c>
      <c r="G28">
        <v>0.73</v>
      </c>
      <c r="H28">
        <v>4</v>
      </c>
      <c r="I28">
        <v>1.00654</v>
      </c>
      <c r="J28">
        <v>0.85</v>
      </c>
      <c r="K28">
        <v>6</v>
      </c>
      <c r="L28">
        <v>1</v>
      </c>
      <c r="M28">
        <v>0.56000000000000005</v>
      </c>
      <c r="N28">
        <v>3</v>
      </c>
      <c r="O28">
        <v>1.91429</v>
      </c>
      <c r="P28">
        <v>1.24</v>
      </c>
    </row>
    <row r="29" spans="1:16">
      <c r="A29">
        <v>24</v>
      </c>
      <c r="B29">
        <v>6</v>
      </c>
      <c r="C29">
        <v>1.0328900000000001</v>
      </c>
      <c r="D29">
        <v>0.3</v>
      </c>
      <c r="E29">
        <v>3</v>
      </c>
      <c r="F29">
        <v>1.94231</v>
      </c>
      <c r="G29">
        <v>0.55000000000000004</v>
      </c>
      <c r="H29">
        <v>4</v>
      </c>
      <c r="I29">
        <v>1.00654</v>
      </c>
      <c r="J29">
        <v>0.91</v>
      </c>
      <c r="K29">
        <v>6</v>
      </c>
      <c r="L29">
        <v>1</v>
      </c>
      <c r="M29">
        <v>0.49</v>
      </c>
      <c r="N29">
        <v>3</v>
      </c>
      <c r="O29">
        <v>1.91429</v>
      </c>
      <c r="P29">
        <v>1.31</v>
      </c>
    </row>
    <row r="30" spans="1:16">
      <c r="A30">
        <v>25</v>
      </c>
      <c r="B30">
        <v>3</v>
      </c>
      <c r="C30">
        <v>1.0131600000000001</v>
      </c>
      <c r="D30">
        <v>0.42</v>
      </c>
      <c r="E30">
        <v>145</v>
      </c>
      <c r="F30">
        <v>1.5747100000000001</v>
      </c>
      <c r="G30">
        <v>0.81</v>
      </c>
      <c r="H30">
        <v>45</v>
      </c>
      <c r="I30">
        <v>1.8064499999999999</v>
      </c>
      <c r="J30">
        <v>0.96</v>
      </c>
      <c r="K30">
        <v>3</v>
      </c>
      <c r="L30">
        <v>1</v>
      </c>
      <c r="M30">
        <v>0.56000000000000005</v>
      </c>
      <c r="N30">
        <v>3</v>
      </c>
      <c r="O30">
        <v>1.0131600000000001</v>
      </c>
      <c r="P30">
        <v>1.77</v>
      </c>
    </row>
    <row r="31" spans="1:16">
      <c r="A31">
        <v>26</v>
      </c>
      <c r="B31">
        <v>6</v>
      </c>
      <c r="C31">
        <v>1.0328900000000001</v>
      </c>
      <c r="D31">
        <v>0.47</v>
      </c>
      <c r="E31">
        <v>114</v>
      </c>
      <c r="F31">
        <v>1.6226400000000001</v>
      </c>
      <c r="G31">
        <v>0.89</v>
      </c>
      <c r="H31">
        <v>15</v>
      </c>
      <c r="I31">
        <v>1.8909100000000001</v>
      </c>
      <c r="J31">
        <v>1.22</v>
      </c>
      <c r="K31">
        <v>6</v>
      </c>
      <c r="L31">
        <v>1</v>
      </c>
      <c r="M31">
        <v>0.47</v>
      </c>
      <c r="N31">
        <v>3</v>
      </c>
      <c r="O31">
        <v>1</v>
      </c>
      <c r="P31">
        <v>1</v>
      </c>
    </row>
    <row r="32" spans="1:16">
      <c r="A32">
        <v>27</v>
      </c>
      <c r="B32">
        <v>6</v>
      </c>
      <c r="C32">
        <v>1.0328900000000001</v>
      </c>
      <c r="D32">
        <v>0.27</v>
      </c>
      <c r="E32">
        <v>46</v>
      </c>
      <c r="F32">
        <v>1.792</v>
      </c>
      <c r="G32">
        <v>0.51</v>
      </c>
      <c r="H32">
        <v>3</v>
      </c>
      <c r="I32">
        <v>1.0675699999999999</v>
      </c>
      <c r="J32">
        <v>0.65</v>
      </c>
      <c r="K32">
        <v>6</v>
      </c>
      <c r="L32">
        <v>1</v>
      </c>
      <c r="M32">
        <v>0.39</v>
      </c>
      <c r="N32">
        <v>3</v>
      </c>
      <c r="O32">
        <v>1.1103400000000001</v>
      </c>
      <c r="P32">
        <v>1.06</v>
      </c>
    </row>
    <row r="33" spans="1:16">
      <c r="A33">
        <v>28</v>
      </c>
      <c r="B33">
        <v>3</v>
      </c>
      <c r="C33">
        <v>1.0131600000000001</v>
      </c>
      <c r="D33">
        <v>0.27</v>
      </c>
      <c r="E33">
        <v>139</v>
      </c>
      <c r="F33">
        <v>1.5848</v>
      </c>
      <c r="G33">
        <v>0.54</v>
      </c>
      <c r="H33">
        <v>39</v>
      </c>
      <c r="I33">
        <v>1.8264499999999999</v>
      </c>
      <c r="J33">
        <v>0.72</v>
      </c>
      <c r="K33">
        <v>3</v>
      </c>
      <c r="L33">
        <v>1</v>
      </c>
      <c r="M33">
        <v>0.39</v>
      </c>
      <c r="N33">
        <v>3</v>
      </c>
      <c r="O33">
        <v>1.0131600000000001</v>
      </c>
      <c r="P33">
        <v>1.01</v>
      </c>
    </row>
    <row r="34" spans="1:16">
      <c r="A34">
        <v>29</v>
      </c>
      <c r="B34">
        <v>6</v>
      </c>
      <c r="C34">
        <v>1.0328900000000001</v>
      </c>
      <c r="D34">
        <v>0.27</v>
      </c>
      <c r="E34">
        <v>104</v>
      </c>
      <c r="F34">
        <v>1.64286</v>
      </c>
      <c r="G34">
        <v>0.53</v>
      </c>
      <c r="H34">
        <v>5</v>
      </c>
      <c r="I34">
        <v>1.93333</v>
      </c>
      <c r="J34">
        <v>0.7</v>
      </c>
      <c r="K34">
        <v>6</v>
      </c>
      <c r="L34">
        <v>1</v>
      </c>
      <c r="M34">
        <v>0.37</v>
      </c>
      <c r="N34">
        <v>3</v>
      </c>
      <c r="O34">
        <v>1.0131600000000001</v>
      </c>
      <c r="P34">
        <v>1.06</v>
      </c>
    </row>
    <row r="35" spans="1:16">
      <c r="A35">
        <v>30</v>
      </c>
      <c r="B35">
        <v>6</v>
      </c>
      <c r="C35">
        <v>1.0328900000000001</v>
      </c>
      <c r="D35">
        <v>0.28999999999999998</v>
      </c>
      <c r="E35">
        <v>115</v>
      </c>
      <c r="F35">
        <v>1.62893</v>
      </c>
      <c r="G35">
        <v>0.56000000000000005</v>
      </c>
      <c r="H35">
        <v>15</v>
      </c>
      <c r="I35">
        <v>1.91743</v>
      </c>
      <c r="J35">
        <v>0.75</v>
      </c>
      <c r="K35">
        <v>6</v>
      </c>
      <c r="L35">
        <v>1</v>
      </c>
      <c r="M35">
        <v>0.38</v>
      </c>
      <c r="N35">
        <v>3</v>
      </c>
      <c r="O35">
        <v>1.0131600000000001</v>
      </c>
      <c r="P35">
        <v>1.1200000000000001</v>
      </c>
    </row>
    <row r="36" spans="1:16">
      <c r="A36">
        <v>31</v>
      </c>
      <c r="B36">
        <v>6</v>
      </c>
      <c r="C36">
        <v>1.0328900000000001</v>
      </c>
      <c r="D36">
        <v>0.28000000000000003</v>
      </c>
      <c r="E36">
        <v>3</v>
      </c>
      <c r="F36">
        <v>1.9708699999999999</v>
      </c>
      <c r="G36">
        <v>0.56999999999999995</v>
      </c>
      <c r="H36">
        <v>4</v>
      </c>
      <c r="I36">
        <v>1.00654</v>
      </c>
      <c r="J36">
        <v>0.76</v>
      </c>
      <c r="K36">
        <v>6</v>
      </c>
      <c r="L36">
        <v>1</v>
      </c>
      <c r="M36">
        <v>0.41</v>
      </c>
      <c r="N36">
        <v>3</v>
      </c>
      <c r="O36">
        <v>1.94231</v>
      </c>
      <c r="P36">
        <v>1.1100000000000001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1.0328900000000001</v>
      </c>
      <c r="D40" s="1">
        <f t="shared" si="0"/>
        <v>0.75</v>
      </c>
      <c r="E40" s="1">
        <f t="shared" si="0"/>
        <v>173</v>
      </c>
      <c r="F40" s="1">
        <f t="shared" si="0"/>
        <v>1.9708699999999999</v>
      </c>
      <c r="G40" s="1">
        <f t="shared" si="0"/>
        <v>1.2</v>
      </c>
      <c r="H40" s="1">
        <f t="shared" si="0"/>
        <v>73</v>
      </c>
      <c r="I40" s="1">
        <f t="shared" si="0"/>
        <v>1.94231</v>
      </c>
      <c r="J40" s="1">
        <f t="shared" si="0"/>
        <v>1.54</v>
      </c>
      <c r="K40" s="1">
        <f t="shared" si="0"/>
        <v>6</v>
      </c>
      <c r="L40" s="1">
        <f t="shared" si="0"/>
        <v>1</v>
      </c>
      <c r="M40" s="1">
        <f t="shared" si="0"/>
        <v>1.01</v>
      </c>
      <c r="N40" s="1">
        <f t="shared" si="0"/>
        <v>3</v>
      </c>
      <c r="O40" s="1">
        <f t="shared" si="0"/>
        <v>1.94231</v>
      </c>
      <c r="P40" s="1">
        <f t="shared" si="0"/>
        <v>2.2200000000000002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0.27</v>
      </c>
      <c r="E41" s="1">
        <f t="shared" si="1"/>
        <v>3</v>
      </c>
      <c r="F41" s="1">
        <f t="shared" si="1"/>
        <v>1.5319100000000001</v>
      </c>
      <c r="G41" s="1">
        <f t="shared" si="1"/>
        <v>0.51</v>
      </c>
      <c r="H41" s="1">
        <f t="shared" si="1"/>
        <v>3</v>
      </c>
      <c r="I41" s="1">
        <f t="shared" si="1"/>
        <v>1</v>
      </c>
      <c r="J41" s="1">
        <f t="shared" si="1"/>
        <v>0.65</v>
      </c>
      <c r="K41" s="1">
        <f t="shared" si="1"/>
        <v>3</v>
      </c>
      <c r="L41" s="1">
        <f t="shared" si="1"/>
        <v>1</v>
      </c>
      <c r="M41" s="1">
        <f t="shared" si="1"/>
        <v>0.37</v>
      </c>
      <c r="N41" s="1">
        <f t="shared" si="1"/>
        <v>3</v>
      </c>
      <c r="O41" s="1">
        <f t="shared" si="1"/>
        <v>1</v>
      </c>
      <c r="P41" s="1">
        <f t="shared" si="1"/>
        <v>1</v>
      </c>
    </row>
    <row r="42" spans="1:16">
      <c r="A42" t="s">
        <v>13</v>
      </c>
      <c r="B42" s="1">
        <f>MEDIAN(B5:B36)</f>
        <v>6</v>
      </c>
      <c r="C42" s="1">
        <f t="shared" ref="C42:P42" si="2">MEDIAN(C5:C36)</f>
        <v>1.0328900000000001</v>
      </c>
      <c r="D42" s="1">
        <f t="shared" si="2"/>
        <v>0.35</v>
      </c>
      <c r="E42" s="1">
        <f t="shared" si="2"/>
        <v>45.5</v>
      </c>
      <c r="F42" s="1">
        <f t="shared" si="2"/>
        <v>1.8000499999999999</v>
      </c>
      <c r="G42" s="1">
        <f t="shared" si="2"/>
        <v>0.74</v>
      </c>
      <c r="H42" s="1">
        <f t="shared" si="2"/>
        <v>4</v>
      </c>
      <c r="I42" s="1">
        <f t="shared" si="2"/>
        <v>1.0959850000000002</v>
      </c>
      <c r="J42" s="1">
        <f t="shared" si="2"/>
        <v>1.0150000000000001</v>
      </c>
      <c r="K42" s="1">
        <f t="shared" si="2"/>
        <v>6</v>
      </c>
      <c r="L42" s="1">
        <f t="shared" si="2"/>
        <v>1</v>
      </c>
      <c r="M42" s="1">
        <f t="shared" si="2"/>
        <v>0.56000000000000005</v>
      </c>
      <c r="N42" s="1">
        <f t="shared" si="2"/>
        <v>3</v>
      </c>
      <c r="O42" s="1">
        <f t="shared" si="2"/>
        <v>1.1176699999999999</v>
      </c>
      <c r="P42" s="1">
        <f t="shared" si="2"/>
        <v>1.37</v>
      </c>
    </row>
    <row r="43" spans="1:16">
      <c r="A43" t="s">
        <v>14</v>
      </c>
      <c r="B43" s="1">
        <f>AVERAGE(B5:B36)</f>
        <v>4.625</v>
      </c>
      <c r="C43" s="1">
        <f t="shared" ref="C43:P43" si="3">AVERAGE(C5:C36)</f>
        <v>1.0217909375000005</v>
      </c>
      <c r="D43" s="1">
        <f t="shared" si="3"/>
        <v>0.37968749999999996</v>
      </c>
      <c r="E43" s="1">
        <f t="shared" si="3"/>
        <v>57.90625</v>
      </c>
      <c r="F43" s="1">
        <f t="shared" si="3"/>
        <v>1.7928759374999996</v>
      </c>
      <c r="G43" s="1">
        <f t="shared" si="3"/>
        <v>0.74656249999999991</v>
      </c>
      <c r="H43" s="1">
        <f t="shared" si="3"/>
        <v>12.65625</v>
      </c>
      <c r="I43" s="1">
        <f t="shared" si="3"/>
        <v>1.3515312500000003</v>
      </c>
      <c r="J43" s="1">
        <f t="shared" si="3"/>
        <v>0.99874999999999992</v>
      </c>
      <c r="K43" s="1">
        <f t="shared" si="3"/>
        <v>4.625</v>
      </c>
      <c r="L43" s="1">
        <f t="shared" si="3"/>
        <v>1</v>
      </c>
      <c r="M43" s="1">
        <f t="shared" si="3"/>
        <v>0.57468750000000013</v>
      </c>
      <c r="N43" s="1">
        <f t="shared" si="3"/>
        <v>3</v>
      </c>
      <c r="O43" s="1">
        <f t="shared" si="3"/>
        <v>1.409545625</v>
      </c>
      <c r="P43" s="1">
        <f t="shared" si="3"/>
        <v>1.4062500000000002</v>
      </c>
    </row>
    <row r="44" spans="1:16">
      <c r="A44" t="s">
        <v>15</v>
      </c>
      <c r="B44" s="1">
        <f>STDEV(B5:B36)</f>
        <v>1.4973094148742161</v>
      </c>
      <c r="C44" s="1">
        <f t="shared" ref="C44:P44" si="4">STDEV(C5:C36)</f>
        <v>1.288044914047971E-2</v>
      </c>
      <c r="D44" s="1">
        <f t="shared" si="4"/>
        <v>0.10890908830822656</v>
      </c>
      <c r="E44" s="1">
        <f t="shared" si="4"/>
        <v>57.569234265108719</v>
      </c>
      <c r="F44" s="1">
        <f t="shared" si="4"/>
        <v>0.15832355144143345</v>
      </c>
      <c r="G44" s="1">
        <f t="shared" si="4"/>
        <v>0.18399876182963551</v>
      </c>
      <c r="H44" s="1">
        <f t="shared" si="4"/>
        <v>19.022243982480937</v>
      </c>
      <c r="I44" s="1">
        <f t="shared" si="4"/>
        <v>0.39005158979500715</v>
      </c>
      <c r="J44" s="1">
        <f t="shared" si="4"/>
        <v>0.24249709010558787</v>
      </c>
      <c r="K44" s="1">
        <f t="shared" si="4"/>
        <v>1.4973094148742161</v>
      </c>
      <c r="L44" s="1">
        <f t="shared" si="4"/>
        <v>0</v>
      </c>
      <c r="M44" s="1">
        <f t="shared" si="4"/>
        <v>0.17893924676341397</v>
      </c>
      <c r="N44" s="1">
        <f t="shared" si="4"/>
        <v>0</v>
      </c>
      <c r="O44" s="1">
        <f t="shared" si="4"/>
        <v>0.44085017527308212</v>
      </c>
      <c r="P44" s="1">
        <f t="shared" si="4"/>
        <v>0.32573242531750707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23</v>
      </c>
      <c r="C1" t="s">
        <v>1</v>
      </c>
      <c r="D1">
        <v>3003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8.01</v>
      </c>
      <c r="E5">
        <v>3</v>
      </c>
      <c r="F5">
        <v>1.99701</v>
      </c>
      <c r="G5">
        <v>14.89</v>
      </c>
      <c r="H5">
        <v>4</v>
      </c>
      <c r="I5">
        <v>1.0006699999999999</v>
      </c>
      <c r="J5">
        <v>17.36</v>
      </c>
      <c r="K5">
        <v>3</v>
      </c>
      <c r="L5">
        <v>1</v>
      </c>
      <c r="M5">
        <v>17.78</v>
      </c>
      <c r="N5">
        <v>3</v>
      </c>
      <c r="O5">
        <v>1.9940199999999999</v>
      </c>
      <c r="P5">
        <v>48.49</v>
      </c>
    </row>
    <row r="6" spans="1:16">
      <c r="A6">
        <v>1</v>
      </c>
      <c r="B6">
        <v>6</v>
      </c>
      <c r="C6">
        <v>1.0033300000000001</v>
      </c>
      <c r="D6">
        <v>7.14</v>
      </c>
      <c r="E6">
        <v>1107</v>
      </c>
      <c r="F6">
        <v>1.6430899999999999</v>
      </c>
      <c r="G6">
        <v>16.45</v>
      </c>
      <c r="H6">
        <v>107</v>
      </c>
      <c r="I6">
        <v>1.94787</v>
      </c>
      <c r="J6">
        <v>18.690000000000001</v>
      </c>
      <c r="K6">
        <v>6</v>
      </c>
      <c r="L6">
        <v>1</v>
      </c>
      <c r="M6">
        <v>12.9</v>
      </c>
      <c r="N6">
        <v>3</v>
      </c>
      <c r="O6">
        <v>1</v>
      </c>
      <c r="P6">
        <v>38.46</v>
      </c>
    </row>
    <row r="7" spans="1:16">
      <c r="A7">
        <v>2</v>
      </c>
      <c r="B7">
        <v>6</v>
      </c>
      <c r="C7">
        <v>1.0033300000000001</v>
      </c>
      <c r="D7">
        <v>8.4499999999999993</v>
      </c>
      <c r="E7">
        <v>713</v>
      </c>
      <c r="F7">
        <v>1.73638</v>
      </c>
      <c r="G7">
        <v>17.440000000000001</v>
      </c>
      <c r="H7">
        <v>3</v>
      </c>
      <c r="I7">
        <v>1.32483</v>
      </c>
      <c r="J7">
        <v>19.489999999999998</v>
      </c>
      <c r="K7">
        <v>6</v>
      </c>
      <c r="L7">
        <v>1</v>
      </c>
      <c r="M7">
        <v>11.46</v>
      </c>
      <c r="N7">
        <v>3</v>
      </c>
      <c r="O7">
        <v>1.0013300000000001</v>
      </c>
      <c r="P7">
        <v>29.84</v>
      </c>
    </row>
    <row r="8" spans="1:16">
      <c r="A8">
        <v>3</v>
      </c>
      <c r="B8">
        <v>6</v>
      </c>
      <c r="C8">
        <v>1.0033300000000001</v>
      </c>
      <c r="D8">
        <v>7.5</v>
      </c>
      <c r="E8">
        <v>160</v>
      </c>
      <c r="F8">
        <v>1.9232899999999999</v>
      </c>
      <c r="G8">
        <v>15.05</v>
      </c>
      <c r="H8">
        <v>3</v>
      </c>
      <c r="I8">
        <v>1.5869200000000001</v>
      </c>
      <c r="J8">
        <v>19.64</v>
      </c>
      <c r="K8">
        <v>6</v>
      </c>
      <c r="L8">
        <v>1</v>
      </c>
      <c r="M8">
        <v>11.43</v>
      </c>
      <c r="N8">
        <v>3</v>
      </c>
      <c r="O8">
        <v>1.59362</v>
      </c>
      <c r="P8">
        <v>35.78</v>
      </c>
    </row>
    <row r="9" spans="1:16">
      <c r="A9">
        <v>4</v>
      </c>
      <c r="B9">
        <v>3</v>
      </c>
      <c r="C9">
        <v>1.0013300000000001</v>
      </c>
      <c r="D9">
        <v>8.25</v>
      </c>
      <c r="E9">
        <v>4</v>
      </c>
      <c r="F9">
        <v>1.99502</v>
      </c>
      <c r="G9">
        <v>18.45</v>
      </c>
      <c r="H9">
        <v>3</v>
      </c>
      <c r="I9">
        <v>1</v>
      </c>
      <c r="J9">
        <v>17.93</v>
      </c>
      <c r="K9">
        <v>3</v>
      </c>
      <c r="L9">
        <v>1</v>
      </c>
      <c r="M9">
        <v>11.24</v>
      </c>
      <c r="N9">
        <v>3</v>
      </c>
      <c r="O9">
        <v>1.9910399999999999</v>
      </c>
      <c r="P9">
        <v>30.54</v>
      </c>
    </row>
    <row r="10" spans="1:16">
      <c r="A10">
        <v>5</v>
      </c>
      <c r="B10">
        <v>3</v>
      </c>
      <c r="C10">
        <v>1.0013300000000001</v>
      </c>
      <c r="D10">
        <v>7.46</v>
      </c>
      <c r="E10">
        <v>1373</v>
      </c>
      <c r="F10">
        <v>1.5924199999999999</v>
      </c>
      <c r="G10">
        <v>15.57</v>
      </c>
      <c r="H10">
        <v>373</v>
      </c>
      <c r="I10">
        <v>1.84175</v>
      </c>
      <c r="J10">
        <v>18.260000000000002</v>
      </c>
      <c r="K10">
        <v>3</v>
      </c>
      <c r="L10">
        <v>1</v>
      </c>
      <c r="M10">
        <v>11.29</v>
      </c>
      <c r="N10">
        <v>3</v>
      </c>
      <c r="O10">
        <v>1.0013300000000001</v>
      </c>
      <c r="P10">
        <v>34.92</v>
      </c>
    </row>
    <row r="11" spans="1:16">
      <c r="A11">
        <v>6</v>
      </c>
      <c r="B11">
        <v>3</v>
      </c>
      <c r="C11">
        <v>1.0013300000000001</v>
      </c>
      <c r="D11">
        <v>9.0399999999999991</v>
      </c>
      <c r="E11">
        <v>1513</v>
      </c>
      <c r="F11">
        <v>1.5688299999999999</v>
      </c>
      <c r="G11">
        <v>17.75</v>
      </c>
      <c r="H11">
        <v>513</v>
      </c>
      <c r="I11">
        <v>1.79491</v>
      </c>
      <c r="J11">
        <v>21.66</v>
      </c>
      <c r="K11">
        <v>3</v>
      </c>
      <c r="L11">
        <v>1</v>
      </c>
      <c r="M11">
        <v>12.71</v>
      </c>
      <c r="N11">
        <v>3</v>
      </c>
      <c r="O11">
        <v>1.0013300000000001</v>
      </c>
      <c r="P11">
        <v>40.94</v>
      </c>
    </row>
    <row r="12" spans="1:16">
      <c r="A12">
        <v>7</v>
      </c>
      <c r="B12">
        <v>3</v>
      </c>
      <c r="C12">
        <v>1</v>
      </c>
      <c r="D12">
        <v>8.35</v>
      </c>
      <c r="E12">
        <v>1896</v>
      </c>
      <c r="F12">
        <v>1.51231</v>
      </c>
      <c r="G12">
        <v>15.75</v>
      </c>
      <c r="H12">
        <v>897</v>
      </c>
      <c r="I12">
        <v>1.6878</v>
      </c>
      <c r="J12">
        <v>19.68</v>
      </c>
      <c r="K12">
        <v>3</v>
      </c>
      <c r="L12">
        <v>1</v>
      </c>
      <c r="M12">
        <v>11.39</v>
      </c>
      <c r="N12">
        <v>3</v>
      </c>
      <c r="O12">
        <v>1</v>
      </c>
      <c r="P12">
        <v>34.47</v>
      </c>
    </row>
    <row r="13" spans="1:16">
      <c r="A13">
        <v>8</v>
      </c>
      <c r="B13">
        <v>6</v>
      </c>
      <c r="C13">
        <v>1.0033300000000001</v>
      </c>
      <c r="D13">
        <v>9.1</v>
      </c>
      <c r="E13">
        <v>1047</v>
      </c>
      <c r="F13">
        <v>1.65574</v>
      </c>
      <c r="G13">
        <v>16.98</v>
      </c>
      <c r="H13">
        <v>47</v>
      </c>
      <c r="I13">
        <v>1.9756100000000001</v>
      </c>
      <c r="J13">
        <v>20.25</v>
      </c>
      <c r="K13">
        <v>6</v>
      </c>
      <c r="L13">
        <v>1</v>
      </c>
      <c r="M13">
        <v>12.4</v>
      </c>
      <c r="N13">
        <v>3</v>
      </c>
      <c r="O13">
        <v>1</v>
      </c>
      <c r="P13">
        <v>35.31</v>
      </c>
    </row>
    <row r="14" spans="1:16">
      <c r="A14">
        <v>9</v>
      </c>
      <c r="B14">
        <v>3</v>
      </c>
      <c r="C14">
        <v>1.0013300000000001</v>
      </c>
      <c r="D14">
        <v>8.98</v>
      </c>
      <c r="E14">
        <v>1873</v>
      </c>
      <c r="F14">
        <v>1.516</v>
      </c>
      <c r="G14">
        <v>18.52</v>
      </c>
      <c r="H14">
        <v>873</v>
      </c>
      <c r="I14">
        <v>1.6954100000000001</v>
      </c>
      <c r="J14">
        <v>21.91</v>
      </c>
      <c r="K14">
        <v>3</v>
      </c>
      <c r="L14">
        <v>1</v>
      </c>
      <c r="M14">
        <v>11.23</v>
      </c>
      <c r="N14">
        <v>3</v>
      </c>
      <c r="O14">
        <v>1.0013300000000001</v>
      </c>
      <c r="P14">
        <v>35.18</v>
      </c>
    </row>
    <row r="15" spans="1:16">
      <c r="A15">
        <v>10</v>
      </c>
      <c r="B15">
        <v>3</v>
      </c>
      <c r="C15">
        <v>1</v>
      </c>
      <c r="D15">
        <v>9.02</v>
      </c>
      <c r="E15">
        <v>3</v>
      </c>
      <c r="F15">
        <v>1.99701</v>
      </c>
      <c r="G15">
        <v>16.91</v>
      </c>
      <c r="H15">
        <v>4</v>
      </c>
      <c r="I15">
        <v>1.0006699999999999</v>
      </c>
      <c r="J15">
        <v>20.21</v>
      </c>
      <c r="K15">
        <v>3</v>
      </c>
      <c r="L15">
        <v>1</v>
      </c>
      <c r="M15">
        <v>12.74</v>
      </c>
      <c r="N15">
        <v>3</v>
      </c>
      <c r="O15">
        <v>1.9940199999999999</v>
      </c>
      <c r="P15">
        <v>32.6</v>
      </c>
    </row>
    <row r="16" spans="1:16">
      <c r="A16">
        <v>11</v>
      </c>
      <c r="B16">
        <v>6</v>
      </c>
      <c r="C16">
        <v>1.0033300000000001</v>
      </c>
      <c r="D16">
        <v>7.22</v>
      </c>
      <c r="E16">
        <v>114</v>
      </c>
      <c r="F16">
        <v>1.9433400000000001</v>
      </c>
      <c r="G16">
        <v>14.2</v>
      </c>
      <c r="H16">
        <v>3</v>
      </c>
      <c r="I16">
        <v>1.6935500000000001</v>
      </c>
      <c r="J16">
        <v>16.899999999999999</v>
      </c>
      <c r="K16">
        <v>6</v>
      </c>
      <c r="L16">
        <v>1</v>
      </c>
      <c r="M16">
        <v>10.95</v>
      </c>
      <c r="N16">
        <v>3</v>
      </c>
      <c r="O16">
        <v>1.7008099999999999</v>
      </c>
      <c r="P16">
        <v>29.77</v>
      </c>
    </row>
    <row r="17" spans="1:16">
      <c r="A17">
        <v>12</v>
      </c>
      <c r="B17">
        <v>6</v>
      </c>
      <c r="C17">
        <v>1.0033300000000001</v>
      </c>
      <c r="D17">
        <v>7.41</v>
      </c>
      <c r="E17">
        <v>166</v>
      </c>
      <c r="F17">
        <v>1.9207399999999999</v>
      </c>
      <c r="G17">
        <v>15.02</v>
      </c>
      <c r="H17">
        <v>3</v>
      </c>
      <c r="I17">
        <v>1.5736300000000001</v>
      </c>
      <c r="J17">
        <v>22.55</v>
      </c>
      <c r="K17">
        <v>6</v>
      </c>
      <c r="L17">
        <v>1</v>
      </c>
      <c r="M17">
        <v>11.2</v>
      </c>
      <c r="N17">
        <v>3</v>
      </c>
      <c r="O17">
        <v>1.58026</v>
      </c>
      <c r="P17">
        <v>31.14</v>
      </c>
    </row>
    <row r="18" spans="1:16">
      <c r="A18">
        <v>13</v>
      </c>
      <c r="B18">
        <v>3</v>
      </c>
      <c r="C18">
        <v>1.0013300000000001</v>
      </c>
      <c r="D18">
        <v>7.57</v>
      </c>
      <c r="E18">
        <v>1312</v>
      </c>
      <c r="F18">
        <v>1.60253</v>
      </c>
      <c r="G18">
        <v>15.37</v>
      </c>
      <c r="H18">
        <v>313</v>
      </c>
      <c r="I18">
        <v>1.8610899999999999</v>
      </c>
      <c r="J18">
        <v>18.62</v>
      </c>
      <c r="K18">
        <v>3</v>
      </c>
      <c r="L18">
        <v>1</v>
      </c>
      <c r="M18">
        <v>11.56</v>
      </c>
      <c r="N18">
        <v>3</v>
      </c>
      <c r="O18">
        <v>1.0013300000000001</v>
      </c>
      <c r="P18">
        <v>30.3</v>
      </c>
    </row>
    <row r="19" spans="1:16">
      <c r="A19">
        <v>14</v>
      </c>
      <c r="B19">
        <v>3</v>
      </c>
      <c r="C19">
        <v>1</v>
      </c>
      <c r="D19">
        <v>7.34</v>
      </c>
      <c r="E19">
        <v>1641</v>
      </c>
      <c r="F19">
        <v>1.5488500000000001</v>
      </c>
      <c r="G19">
        <v>15.07</v>
      </c>
      <c r="H19">
        <v>641</v>
      </c>
      <c r="I19">
        <v>1.7564299999999999</v>
      </c>
      <c r="J19">
        <v>18.350000000000001</v>
      </c>
      <c r="K19">
        <v>3</v>
      </c>
      <c r="L19">
        <v>1</v>
      </c>
      <c r="M19">
        <v>11.37</v>
      </c>
      <c r="N19">
        <v>3</v>
      </c>
      <c r="O19">
        <v>1</v>
      </c>
      <c r="P19">
        <v>31.45</v>
      </c>
    </row>
    <row r="20" spans="1:16">
      <c r="A20">
        <v>15</v>
      </c>
      <c r="B20">
        <v>6</v>
      </c>
      <c r="C20">
        <v>1.0033300000000001</v>
      </c>
      <c r="D20">
        <v>7.3</v>
      </c>
      <c r="E20">
        <v>895</v>
      </c>
      <c r="F20">
        <v>1.6901299999999999</v>
      </c>
      <c r="G20">
        <v>15.88</v>
      </c>
      <c r="H20">
        <v>3</v>
      </c>
      <c r="I20">
        <v>1.70567</v>
      </c>
      <c r="J20">
        <v>19.420000000000002</v>
      </c>
      <c r="K20">
        <v>6</v>
      </c>
      <c r="L20">
        <v>1</v>
      </c>
      <c r="M20">
        <v>10.96</v>
      </c>
      <c r="N20">
        <v>3</v>
      </c>
      <c r="O20">
        <v>1.0013300000000001</v>
      </c>
      <c r="P20">
        <v>30.04</v>
      </c>
    </row>
    <row r="21" spans="1:16">
      <c r="A21">
        <v>16</v>
      </c>
      <c r="B21">
        <v>6</v>
      </c>
      <c r="C21">
        <v>1.0033300000000001</v>
      </c>
      <c r="D21">
        <v>7.74</v>
      </c>
      <c r="E21">
        <v>276</v>
      </c>
      <c r="F21">
        <v>1.87632</v>
      </c>
      <c r="G21">
        <v>14.24</v>
      </c>
      <c r="H21">
        <v>3</v>
      </c>
      <c r="I21">
        <v>1.3521099999999999</v>
      </c>
      <c r="J21">
        <v>17.21</v>
      </c>
      <c r="K21">
        <v>6</v>
      </c>
      <c r="L21">
        <v>1</v>
      </c>
      <c r="M21">
        <v>11.47</v>
      </c>
      <c r="N21">
        <v>3</v>
      </c>
      <c r="O21">
        <v>1.35765</v>
      </c>
      <c r="P21">
        <v>31.09</v>
      </c>
    </row>
    <row r="22" spans="1:16">
      <c r="A22">
        <v>17</v>
      </c>
      <c r="B22">
        <v>3</v>
      </c>
      <c r="C22">
        <v>1.0013300000000001</v>
      </c>
      <c r="D22">
        <v>7.6</v>
      </c>
      <c r="E22">
        <v>1945</v>
      </c>
      <c r="F22">
        <v>1.5065900000000001</v>
      </c>
      <c r="G22">
        <v>14.98</v>
      </c>
      <c r="H22">
        <v>945</v>
      </c>
      <c r="I22">
        <v>1.6784300000000001</v>
      </c>
      <c r="J22">
        <v>20.21</v>
      </c>
      <c r="K22">
        <v>3</v>
      </c>
      <c r="L22">
        <v>1</v>
      </c>
      <c r="M22">
        <v>11.54</v>
      </c>
      <c r="N22">
        <v>3</v>
      </c>
      <c r="O22">
        <v>1.0013300000000001</v>
      </c>
      <c r="P22">
        <v>32.25</v>
      </c>
    </row>
    <row r="23" spans="1:16">
      <c r="A23">
        <v>18</v>
      </c>
      <c r="B23">
        <v>3</v>
      </c>
      <c r="C23">
        <v>1</v>
      </c>
      <c r="D23">
        <v>7.53</v>
      </c>
      <c r="E23">
        <v>1806</v>
      </c>
      <c r="F23">
        <v>1.52441</v>
      </c>
      <c r="G23">
        <v>14.96</v>
      </c>
      <c r="H23">
        <v>807</v>
      </c>
      <c r="I23">
        <v>1.7098199999999999</v>
      </c>
      <c r="J23">
        <v>17.920000000000002</v>
      </c>
      <c r="K23">
        <v>3</v>
      </c>
      <c r="L23">
        <v>1</v>
      </c>
      <c r="M23">
        <v>10.91</v>
      </c>
      <c r="N23">
        <v>3</v>
      </c>
      <c r="O23">
        <v>1</v>
      </c>
      <c r="P23">
        <v>20.69</v>
      </c>
    </row>
    <row r="24" spans="1:16">
      <c r="A24">
        <v>19</v>
      </c>
      <c r="B24">
        <v>3</v>
      </c>
      <c r="C24">
        <v>1</v>
      </c>
      <c r="D24">
        <v>4.09</v>
      </c>
      <c r="E24">
        <v>3</v>
      </c>
      <c r="F24">
        <v>1.99701</v>
      </c>
      <c r="G24">
        <v>10.199999999999999</v>
      </c>
      <c r="H24">
        <v>4</v>
      </c>
      <c r="I24">
        <v>1.0006699999999999</v>
      </c>
      <c r="J24">
        <v>10.29</v>
      </c>
      <c r="K24">
        <v>3</v>
      </c>
      <c r="L24">
        <v>1</v>
      </c>
      <c r="M24">
        <v>4.0599999999999996</v>
      </c>
      <c r="N24">
        <v>3</v>
      </c>
      <c r="O24">
        <v>1.9940199999999999</v>
      </c>
      <c r="P24">
        <v>12.67</v>
      </c>
    </row>
    <row r="25" spans="1:16">
      <c r="A25">
        <v>20</v>
      </c>
      <c r="B25">
        <v>3</v>
      </c>
      <c r="C25">
        <v>1.0013300000000001</v>
      </c>
      <c r="D25">
        <v>2.74</v>
      </c>
      <c r="E25">
        <v>1678</v>
      </c>
      <c r="F25">
        <v>1.54264</v>
      </c>
      <c r="G25">
        <v>7.95</v>
      </c>
      <c r="H25">
        <v>679</v>
      </c>
      <c r="I25">
        <v>1.7436700000000001</v>
      </c>
      <c r="J25">
        <v>11.72</v>
      </c>
      <c r="K25">
        <v>3</v>
      </c>
      <c r="L25">
        <v>1</v>
      </c>
      <c r="M25">
        <v>5.42</v>
      </c>
      <c r="N25">
        <v>3</v>
      </c>
      <c r="O25">
        <v>1.0013300000000001</v>
      </c>
      <c r="P25">
        <v>18.399999999999999</v>
      </c>
    </row>
    <row r="26" spans="1:16">
      <c r="A26">
        <v>21</v>
      </c>
      <c r="B26">
        <v>3</v>
      </c>
      <c r="C26">
        <v>1</v>
      </c>
      <c r="D26">
        <v>4.28</v>
      </c>
      <c r="E26">
        <v>1416</v>
      </c>
      <c r="F26">
        <v>1.5842099999999999</v>
      </c>
      <c r="G26">
        <v>6.85</v>
      </c>
      <c r="H26">
        <v>417</v>
      </c>
      <c r="I26">
        <v>1.8241099999999999</v>
      </c>
      <c r="J26">
        <v>8.39</v>
      </c>
      <c r="K26">
        <v>3</v>
      </c>
      <c r="L26">
        <v>1</v>
      </c>
      <c r="M26">
        <v>3.9</v>
      </c>
      <c r="N26">
        <v>3</v>
      </c>
      <c r="O26">
        <v>1</v>
      </c>
      <c r="P26">
        <v>13.91</v>
      </c>
    </row>
    <row r="27" spans="1:16">
      <c r="A27">
        <v>22</v>
      </c>
      <c r="B27">
        <v>3</v>
      </c>
      <c r="C27">
        <v>1.0013300000000001</v>
      </c>
      <c r="D27">
        <v>2.72</v>
      </c>
      <c r="E27">
        <v>1618</v>
      </c>
      <c r="F27">
        <v>1.5516300000000001</v>
      </c>
      <c r="G27">
        <v>6.28</v>
      </c>
      <c r="H27">
        <v>619</v>
      </c>
      <c r="I27">
        <v>1.76067</v>
      </c>
      <c r="J27">
        <v>8.23</v>
      </c>
      <c r="K27">
        <v>3</v>
      </c>
      <c r="L27">
        <v>1</v>
      </c>
      <c r="M27">
        <v>3.93</v>
      </c>
      <c r="N27">
        <v>3</v>
      </c>
      <c r="O27">
        <v>1.0013300000000001</v>
      </c>
      <c r="P27">
        <v>12.18</v>
      </c>
    </row>
    <row r="28" spans="1:16">
      <c r="A28">
        <v>23</v>
      </c>
      <c r="B28">
        <v>3</v>
      </c>
      <c r="C28">
        <v>1.0013300000000001</v>
      </c>
      <c r="D28">
        <v>2.67</v>
      </c>
      <c r="E28">
        <v>4</v>
      </c>
      <c r="F28">
        <v>1.99502</v>
      </c>
      <c r="G28">
        <v>5.8</v>
      </c>
      <c r="H28">
        <v>3</v>
      </c>
      <c r="I28">
        <v>1</v>
      </c>
      <c r="J28">
        <v>8.19</v>
      </c>
      <c r="K28">
        <v>3</v>
      </c>
      <c r="L28">
        <v>1</v>
      </c>
      <c r="M28">
        <v>3.84</v>
      </c>
      <c r="N28">
        <v>3</v>
      </c>
      <c r="O28">
        <v>1.9910399999999999</v>
      </c>
      <c r="P28">
        <v>11.99</v>
      </c>
    </row>
    <row r="29" spans="1:16">
      <c r="A29">
        <v>24</v>
      </c>
      <c r="B29">
        <v>3</v>
      </c>
      <c r="C29">
        <v>1.0013300000000001</v>
      </c>
      <c r="D29">
        <v>2.7</v>
      </c>
      <c r="E29">
        <v>1835</v>
      </c>
      <c r="F29">
        <v>1.5210999999999999</v>
      </c>
      <c r="G29">
        <v>6.17</v>
      </c>
      <c r="H29">
        <v>835</v>
      </c>
      <c r="I29">
        <v>1.70472</v>
      </c>
      <c r="J29">
        <v>8.2200000000000006</v>
      </c>
      <c r="K29">
        <v>3</v>
      </c>
      <c r="L29">
        <v>1</v>
      </c>
      <c r="M29">
        <v>4.3499999999999996</v>
      </c>
      <c r="N29">
        <v>3</v>
      </c>
      <c r="O29">
        <v>1.0013300000000001</v>
      </c>
      <c r="P29">
        <v>13.21</v>
      </c>
    </row>
    <row r="30" spans="1:16">
      <c r="A30">
        <v>25</v>
      </c>
      <c r="B30">
        <v>3</v>
      </c>
      <c r="C30">
        <v>1.0013300000000001</v>
      </c>
      <c r="D30">
        <v>2.78</v>
      </c>
      <c r="E30">
        <v>1936</v>
      </c>
      <c r="F30">
        <v>1.5071099999999999</v>
      </c>
      <c r="G30">
        <v>7.74</v>
      </c>
      <c r="H30">
        <v>937</v>
      </c>
      <c r="I30">
        <v>1.67845</v>
      </c>
      <c r="J30">
        <v>11.58</v>
      </c>
      <c r="K30">
        <v>3</v>
      </c>
      <c r="L30">
        <v>1</v>
      </c>
      <c r="M30">
        <v>3.59</v>
      </c>
      <c r="N30">
        <v>3</v>
      </c>
      <c r="O30">
        <v>1.0013300000000001</v>
      </c>
      <c r="P30">
        <v>12.57</v>
      </c>
    </row>
    <row r="31" spans="1:16">
      <c r="A31">
        <v>26</v>
      </c>
      <c r="B31">
        <v>6</v>
      </c>
      <c r="C31">
        <v>1.0033300000000001</v>
      </c>
      <c r="D31">
        <v>2.65</v>
      </c>
      <c r="E31">
        <v>68</v>
      </c>
      <c r="F31">
        <v>1.9642900000000001</v>
      </c>
      <c r="G31">
        <v>5.86</v>
      </c>
      <c r="H31">
        <v>3</v>
      </c>
      <c r="I31">
        <v>1.80935</v>
      </c>
      <c r="J31">
        <v>7.61</v>
      </c>
      <c r="K31">
        <v>6</v>
      </c>
      <c r="L31">
        <v>1</v>
      </c>
      <c r="M31">
        <v>3.67</v>
      </c>
      <c r="N31">
        <v>3</v>
      </c>
      <c r="O31">
        <v>1.81724</v>
      </c>
      <c r="P31">
        <v>11.39</v>
      </c>
    </row>
    <row r="32" spans="1:16">
      <c r="A32">
        <v>27</v>
      </c>
      <c r="B32">
        <v>6</v>
      </c>
      <c r="C32">
        <v>1.0033300000000001</v>
      </c>
      <c r="D32">
        <v>2.61</v>
      </c>
      <c r="E32">
        <v>1138</v>
      </c>
      <c r="F32">
        <v>1.6358999999999999</v>
      </c>
      <c r="G32">
        <v>5.92</v>
      </c>
      <c r="H32">
        <v>139</v>
      </c>
      <c r="I32">
        <v>1.9309700000000001</v>
      </c>
      <c r="J32">
        <v>8.56</v>
      </c>
      <c r="K32">
        <v>6</v>
      </c>
      <c r="L32">
        <v>1</v>
      </c>
      <c r="M32">
        <v>3.71</v>
      </c>
      <c r="N32">
        <v>3</v>
      </c>
      <c r="O32">
        <v>1.0013300000000001</v>
      </c>
      <c r="P32">
        <v>12.59</v>
      </c>
    </row>
    <row r="33" spans="1:16">
      <c r="A33">
        <v>28</v>
      </c>
      <c r="B33">
        <v>6</v>
      </c>
      <c r="C33">
        <v>1.0033300000000001</v>
      </c>
      <c r="D33">
        <v>2.64</v>
      </c>
      <c r="E33">
        <v>511</v>
      </c>
      <c r="F33">
        <v>1.7955399999999999</v>
      </c>
      <c r="G33">
        <v>5.88</v>
      </c>
      <c r="H33">
        <v>3</v>
      </c>
      <c r="I33">
        <v>1.0106999999999999</v>
      </c>
      <c r="J33">
        <v>7.7</v>
      </c>
      <c r="K33">
        <v>6</v>
      </c>
      <c r="L33">
        <v>1</v>
      </c>
      <c r="M33">
        <v>3.56</v>
      </c>
      <c r="N33">
        <v>3</v>
      </c>
      <c r="O33">
        <v>1.0013300000000001</v>
      </c>
      <c r="P33">
        <v>10.64</v>
      </c>
    </row>
    <row r="34" spans="1:16">
      <c r="A34">
        <v>29</v>
      </c>
      <c r="B34">
        <v>6</v>
      </c>
      <c r="C34">
        <v>1.0033300000000001</v>
      </c>
      <c r="D34">
        <v>2.81</v>
      </c>
      <c r="E34">
        <v>257</v>
      </c>
      <c r="F34">
        <v>1.88496</v>
      </c>
      <c r="G34">
        <v>5.77</v>
      </c>
      <c r="H34">
        <v>3</v>
      </c>
      <c r="I34">
        <v>1.38761</v>
      </c>
      <c r="J34">
        <v>7.45</v>
      </c>
      <c r="K34">
        <v>6</v>
      </c>
      <c r="L34">
        <v>1</v>
      </c>
      <c r="M34">
        <v>3.75</v>
      </c>
      <c r="N34">
        <v>3</v>
      </c>
      <c r="O34">
        <v>1.39331</v>
      </c>
      <c r="P34">
        <v>11.97</v>
      </c>
    </row>
    <row r="35" spans="1:16">
      <c r="A35">
        <v>30</v>
      </c>
      <c r="B35">
        <v>3</v>
      </c>
      <c r="C35">
        <v>1.0013300000000001</v>
      </c>
      <c r="D35">
        <v>2.68</v>
      </c>
      <c r="E35">
        <v>3</v>
      </c>
      <c r="F35">
        <v>1.9940199999999999</v>
      </c>
      <c r="G35">
        <v>6.39</v>
      </c>
      <c r="H35">
        <v>4</v>
      </c>
      <c r="I35">
        <v>1.0006699999999999</v>
      </c>
      <c r="J35">
        <v>7.81</v>
      </c>
      <c r="K35">
        <v>3</v>
      </c>
      <c r="L35">
        <v>1</v>
      </c>
      <c r="M35">
        <v>3.71</v>
      </c>
      <c r="N35">
        <v>3</v>
      </c>
      <c r="O35">
        <v>1.9910399999999999</v>
      </c>
      <c r="P35">
        <v>19.2</v>
      </c>
    </row>
    <row r="36" spans="1:16">
      <c r="A36">
        <v>31</v>
      </c>
      <c r="B36">
        <v>3</v>
      </c>
      <c r="C36">
        <v>1.0013300000000001</v>
      </c>
      <c r="D36">
        <v>2.69</v>
      </c>
      <c r="E36">
        <v>1952</v>
      </c>
      <c r="F36">
        <v>1.5050600000000001</v>
      </c>
      <c r="G36">
        <v>6.13</v>
      </c>
      <c r="H36">
        <v>953</v>
      </c>
      <c r="I36">
        <v>1.6747799999999999</v>
      </c>
      <c r="J36">
        <v>8.27</v>
      </c>
      <c r="K36">
        <v>3</v>
      </c>
      <c r="L36">
        <v>1</v>
      </c>
      <c r="M36">
        <v>3.62</v>
      </c>
      <c r="N36">
        <v>3</v>
      </c>
      <c r="O36">
        <v>1.0013300000000001</v>
      </c>
      <c r="P36">
        <v>22.01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1.0033300000000001</v>
      </c>
      <c r="D40" s="1">
        <f t="shared" si="0"/>
        <v>9.1</v>
      </c>
      <c r="E40" s="1">
        <f t="shared" si="0"/>
        <v>1952</v>
      </c>
      <c r="F40" s="1">
        <f t="shared" si="0"/>
        <v>1.99701</v>
      </c>
      <c r="G40" s="1">
        <f t="shared" si="0"/>
        <v>18.52</v>
      </c>
      <c r="H40" s="1">
        <f t="shared" si="0"/>
        <v>953</v>
      </c>
      <c r="I40" s="1">
        <f t="shared" si="0"/>
        <v>1.9756100000000001</v>
      </c>
      <c r="J40" s="1">
        <f t="shared" si="0"/>
        <v>22.55</v>
      </c>
      <c r="K40" s="1">
        <f t="shared" si="0"/>
        <v>6</v>
      </c>
      <c r="L40" s="1">
        <f t="shared" si="0"/>
        <v>1</v>
      </c>
      <c r="M40" s="1">
        <f t="shared" si="0"/>
        <v>17.78</v>
      </c>
      <c r="N40" s="1">
        <f t="shared" si="0"/>
        <v>3</v>
      </c>
      <c r="O40" s="1">
        <f t="shared" si="0"/>
        <v>1.9940199999999999</v>
      </c>
      <c r="P40" s="1">
        <f t="shared" si="0"/>
        <v>48.49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2.61</v>
      </c>
      <c r="E41" s="1">
        <f t="shared" si="1"/>
        <v>3</v>
      </c>
      <c r="F41" s="1">
        <f t="shared" si="1"/>
        <v>1.5050600000000001</v>
      </c>
      <c r="G41" s="1">
        <f t="shared" si="1"/>
        <v>5.77</v>
      </c>
      <c r="H41" s="1">
        <f t="shared" si="1"/>
        <v>3</v>
      </c>
      <c r="I41" s="1">
        <f t="shared" si="1"/>
        <v>1</v>
      </c>
      <c r="J41" s="1">
        <f t="shared" si="1"/>
        <v>7.45</v>
      </c>
      <c r="K41" s="1">
        <f t="shared" si="1"/>
        <v>3</v>
      </c>
      <c r="L41" s="1">
        <f t="shared" si="1"/>
        <v>1</v>
      </c>
      <c r="M41" s="1">
        <f t="shared" si="1"/>
        <v>3.56</v>
      </c>
      <c r="N41" s="1">
        <f t="shared" si="1"/>
        <v>3</v>
      </c>
      <c r="O41" s="1">
        <f t="shared" si="1"/>
        <v>1</v>
      </c>
      <c r="P41" s="1">
        <f t="shared" si="1"/>
        <v>10.64</v>
      </c>
    </row>
    <row r="42" spans="1:16">
      <c r="A42" t="s">
        <v>13</v>
      </c>
      <c r="B42" s="1">
        <f>MEDIAN(B5:B36)</f>
        <v>3</v>
      </c>
      <c r="C42" s="1">
        <f t="shared" ref="C42:P42" si="2">MEDIAN(C5:C36)</f>
        <v>1.0013300000000001</v>
      </c>
      <c r="D42" s="1">
        <f t="shared" si="2"/>
        <v>7.32</v>
      </c>
      <c r="E42" s="1">
        <f t="shared" si="2"/>
        <v>1077</v>
      </c>
      <c r="F42" s="1">
        <f t="shared" si="2"/>
        <v>1.6494149999999999</v>
      </c>
      <c r="G42" s="1">
        <f t="shared" si="2"/>
        <v>14.925000000000001</v>
      </c>
      <c r="H42" s="1">
        <f t="shared" si="2"/>
        <v>77</v>
      </c>
      <c r="I42" s="1">
        <f t="shared" si="2"/>
        <v>1.6906750000000001</v>
      </c>
      <c r="J42" s="1">
        <f t="shared" si="2"/>
        <v>17.64</v>
      </c>
      <c r="K42" s="1">
        <f t="shared" si="2"/>
        <v>3</v>
      </c>
      <c r="L42" s="1">
        <f t="shared" si="2"/>
        <v>1</v>
      </c>
      <c r="M42" s="1">
        <f t="shared" si="2"/>
        <v>11.08</v>
      </c>
      <c r="N42" s="1">
        <f t="shared" si="2"/>
        <v>3</v>
      </c>
      <c r="O42" s="1">
        <f t="shared" si="2"/>
        <v>1.0013300000000001</v>
      </c>
      <c r="P42" s="1">
        <f t="shared" si="2"/>
        <v>29.939999999999998</v>
      </c>
    </row>
    <row r="43" spans="1:16">
      <c r="A43" t="s">
        <v>14</v>
      </c>
      <c r="B43" s="1">
        <f>AVERAGE(B5:B36)</f>
        <v>4.125</v>
      </c>
      <c r="C43" s="1">
        <f t="shared" ref="C43:P43" si="3">AVERAGE(C5:C36)</f>
        <v>1.0017890624999997</v>
      </c>
      <c r="D43" s="1">
        <f t="shared" si="3"/>
        <v>5.9084374999999998</v>
      </c>
      <c r="E43" s="1">
        <f t="shared" si="3"/>
        <v>945.8125</v>
      </c>
      <c r="F43" s="1">
        <f t="shared" si="3"/>
        <v>1.7258906249999999</v>
      </c>
      <c r="G43" s="1">
        <f t="shared" si="3"/>
        <v>12.200625</v>
      </c>
      <c r="H43" s="1">
        <f t="shared" si="3"/>
        <v>317</v>
      </c>
      <c r="I43" s="1">
        <f t="shared" si="3"/>
        <v>1.5535481250000001</v>
      </c>
      <c r="J43" s="1">
        <f t="shared" si="3"/>
        <v>15.008750000000003</v>
      </c>
      <c r="K43" s="1">
        <f t="shared" si="3"/>
        <v>4.125</v>
      </c>
      <c r="L43" s="1">
        <f t="shared" si="3"/>
        <v>1</v>
      </c>
      <c r="M43" s="1">
        <f t="shared" si="3"/>
        <v>8.6762499999999996</v>
      </c>
      <c r="N43" s="1">
        <f t="shared" si="3"/>
        <v>3</v>
      </c>
      <c r="O43" s="1">
        <f t="shared" si="3"/>
        <v>1.2942715625000001</v>
      </c>
      <c r="P43" s="1">
        <f t="shared" si="3"/>
        <v>25.4996875</v>
      </c>
    </row>
    <row r="44" spans="1:16">
      <c r="A44" t="s">
        <v>15</v>
      </c>
      <c r="B44" s="1">
        <f>STDEV(B5:B36)</f>
        <v>1.4756081305138942</v>
      </c>
      <c r="C44" s="1">
        <f t="shared" ref="C44:P44" si="4">STDEV(C5:C36)</f>
        <v>1.3154009798929263E-3</v>
      </c>
      <c r="D44" s="1">
        <f t="shared" si="4"/>
        <v>2.5824908073720785</v>
      </c>
      <c r="E44" s="1">
        <f t="shared" si="4"/>
        <v>759.34485503687176</v>
      </c>
      <c r="F44" s="1">
        <f t="shared" si="4"/>
        <v>0.19529657100102454</v>
      </c>
      <c r="G44" s="1">
        <f t="shared" si="4"/>
        <v>4.8107151487004005</v>
      </c>
      <c r="H44" s="1">
        <f t="shared" si="4"/>
        <v>374.21522184174245</v>
      </c>
      <c r="I44" s="1">
        <f t="shared" si="4"/>
        <v>0.33103098772634582</v>
      </c>
      <c r="J44" s="1">
        <f t="shared" si="4"/>
        <v>5.458654418857825</v>
      </c>
      <c r="K44" s="1">
        <f t="shared" si="4"/>
        <v>1.4756081305138942</v>
      </c>
      <c r="L44" s="1">
        <f t="shared" si="4"/>
        <v>0</v>
      </c>
      <c r="M44" s="1">
        <f t="shared" si="4"/>
        <v>4.1695638744628702</v>
      </c>
      <c r="N44" s="1">
        <f t="shared" si="4"/>
        <v>0</v>
      </c>
      <c r="O44" s="1">
        <f t="shared" si="4"/>
        <v>0.41232532313390446</v>
      </c>
      <c r="P44" s="1">
        <f t="shared" si="4"/>
        <v>10.734973439086989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24</v>
      </c>
      <c r="C1" t="s">
        <v>1</v>
      </c>
      <c r="D1">
        <v>30003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6</v>
      </c>
      <c r="C5">
        <v>1.0003299999999999</v>
      </c>
      <c r="D5">
        <v>226.3</v>
      </c>
      <c r="E5">
        <v>10455</v>
      </c>
      <c r="F5">
        <v>1.6566399999999999</v>
      </c>
      <c r="G5">
        <v>205.22</v>
      </c>
      <c r="H5">
        <v>455</v>
      </c>
      <c r="I5">
        <v>1.9776100000000001</v>
      </c>
      <c r="J5">
        <v>274.14999999999998</v>
      </c>
      <c r="K5">
        <v>6</v>
      </c>
      <c r="L5">
        <v>1</v>
      </c>
      <c r="M5">
        <v>123.53</v>
      </c>
      <c r="N5">
        <v>3</v>
      </c>
      <c r="O5">
        <v>1</v>
      </c>
      <c r="P5">
        <v>297.87</v>
      </c>
    </row>
    <row r="6" spans="1:16">
      <c r="A6">
        <v>1</v>
      </c>
      <c r="B6">
        <v>3</v>
      </c>
      <c r="C6">
        <v>1</v>
      </c>
      <c r="D6">
        <v>65.09</v>
      </c>
      <c r="E6">
        <v>18006</v>
      </c>
      <c r="F6">
        <v>1.5261199999999999</v>
      </c>
      <c r="G6">
        <v>182.74</v>
      </c>
      <c r="H6">
        <v>8007</v>
      </c>
      <c r="I6">
        <v>1.71384</v>
      </c>
      <c r="J6">
        <v>196.68</v>
      </c>
      <c r="K6">
        <v>3</v>
      </c>
      <c r="L6">
        <v>1</v>
      </c>
      <c r="M6">
        <v>99.21</v>
      </c>
      <c r="N6">
        <v>3</v>
      </c>
      <c r="O6">
        <v>1</v>
      </c>
      <c r="P6">
        <v>238.77</v>
      </c>
    </row>
    <row r="7" spans="1:16">
      <c r="A7">
        <v>2</v>
      </c>
      <c r="B7">
        <v>3</v>
      </c>
      <c r="C7">
        <v>1</v>
      </c>
      <c r="D7">
        <v>46.35</v>
      </c>
      <c r="E7">
        <v>17622</v>
      </c>
      <c r="F7">
        <v>1.53149</v>
      </c>
      <c r="G7">
        <v>116.05</v>
      </c>
      <c r="H7">
        <v>7623</v>
      </c>
      <c r="I7">
        <v>1.72376</v>
      </c>
      <c r="J7">
        <v>160.51</v>
      </c>
      <c r="K7">
        <v>3</v>
      </c>
      <c r="L7">
        <v>1</v>
      </c>
      <c r="M7">
        <v>82.49</v>
      </c>
      <c r="N7">
        <v>3</v>
      </c>
      <c r="O7">
        <v>1</v>
      </c>
      <c r="P7">
        <v>240.29</v>
      </c>
    </row>
    <row r="8" spans="1:16">
      <c r="A8">
        <v>3</v>
      </c>
      <c r="B8">
        <v>6</v>
      </c>
      <c r="C8">
        <v>1.0003299999999999</v>
      </c>
      <c r="D8">
        <v>50.51</v>
      </c>
      <c r="E8">
        <v>7550</v>
      </c>
      <c r="F8">
        <v>1.72577</v>
      </c>
      <c r="G8">
        <v>120.76</v>
      </c>
      <c r="H8">
        <v>3</v>
      </c>
      <c r="I8">
        <v>1.40896</v>
      </c>
      <c r="J8">
        <v>161.16</v>
      </c>
      <c r="K8">
        <v>6</v>
      </c>
      <c r="L8">
        <v>1</v>
      </c>
      <c r="M8">
        <v>75.91</v>
      </c>
      <c r="N8">
        <v>3</v>
      </c>
      <c r="O8">
        <v>1.00013</v>
      </c>
      <c r="P8">
        <v>260.89</v>
      </c>
    </row>
    <row r="9" spans="1:16">
      <c r="A9">
        <v>4</v>
      </c>
      <c r="B9">
        <v>6</v>
      </c>
      <c r="C9">
        <v>1.0003299999999999</v>
      </c>
      <c r="D9">
        <v>50.3</v>
      </c>
      <c r="E9">
        <v>3</v>
      </c>
      <c r="F9">
        <v>1.9994000000000001</v>
      </c>
      <c r="G9">
        <v>130.21</v>
      </c>
      <c r="H9">
        <v>4</v>
      </c>
      <c r="I9">
        <v>1.00007</v>
      </c>
      <c r="J9">
        <v>383.7</v>
      </c>
      <c r="K9">
        <v>6</v>
      </c>
      <c r="L9">
        <v>1</v>
      </c>
      <c r="M9">
        <v>194.93</v>
      </c>
      <c r="N9">
        <v>3</v>
      </c>
      <c r="O9">
        <v>1.9991000000000001</v>
      </c>
      <c r="P9">
        <v>250.18</v>
      </c>
    </row>
    <row r="10" spans="1:16">
      <c r="A10">
        <v>5</v>
      </c>
      <c r="B10">
        <v>6</v>
      </c>
      <c r="C10">
        <v>1.0003299999999999</v>
      </c>
      <c r="D10">
        <v>72.02</v>
      </c>
      <c r="E10">
        <v>5851</v>
      </c>
      <c r="F10">
        <v>1.7735700000000001</v>
      </c>
      <c r="G10">
        <v>114.31</v>
      </c>
      <c r="H10">
        <v>3</v>
      </c>
      <c r="I10">
        <v>1.11982</v>
      </c>
      <c r="J10">
        <v>147.80000000000001</v>
      </c>
      <c r="K10">
        <v>6</v>
      </c>
      <c r="L10">
        <v>1</v>
      </c>
      <c r="M10">
        <v>72.36</v>
      </c>
      <c r="N10">
        <v>3</v>
      </c>
      <c r="O10">
        <v>1.00013</v>
      </c>
      <c r="P10">
        <v>195.9</v>
      </c>
    </row>
    <row r="11" spans="1:16">
      <c r="A11">
        <v>6</v>
      </c>
      <c r="B11">
        <v>6</v>
      </c>
      <c r="C11">
        <v>1.0003299999999999</v>
      </c>
      <c r="D11">
        <v>45.51</v>
      </c>
      <c r="E11">
        <v>11555</v>
      </c>
      <c r="F11">
        <v>1.63375</v>
      </c>
      <c r="G11">
        <v>107.98</v>
      </c>
      <c r="H11">
        <v>1555</v>
      </c>
      <c r="I11">
        <v>1.9277299999999999</v>
      </c>
      <c r="J11">
        <v>141.5</v>
      </c>
      <c r="K11">
        <v>6</v>
      </c>
      <c r="L11">
        <v>1</v>
      </c>
      <c r="M11">
        <v>69.3</v>
      </c>
      <c r="N11">
        <v>3</v>
      </c>
      <c r="O11">
        <v>1.00013</v>
      </c>
      <c r="P11">
        <v>202.8</v>
      </c>
    </row>
    <row r="12" spans="1:16">
      <c r="A12">
        <v>7</v>
      </c>
      <c r="B12">
        <v>3</v>
      </c>
      <c r="C12">
        <v>1</v>
      </c>
      <c r="D12">
        <v>42.24</v>
      </c>
      <c r="E12">
        <v>18642</v>
      </c>
      <c r="F12">
        <v>1.5174700000000001</v>
      </c>
      <c r="G12">
        <v>108.43</v>
      </c>
      <c r="H12">
        <v>8643</v>
      </c>
      <c r="I12">
        <v>1.6979900000000001</v>
      </c>
      <c r="J12">
        <v>179.94</v>
      </c>
      <c r="K12">
        <v>3</v>
      </c>
      <c r="L12">
        <v>1</v>
      </c>
      <c r="M12">
        <v>77.19</v>
      </c>
      <c r="N12">
        <v>3</v>
      </c>
      <c r="O12">
        <v>1</v>
      </c>
      <c r="P12">
        <v>247.59</v>
      </c>
    </row>
    <row r="13" spans="1:16">
      <c r="A13">
        <v>8</v>
      </c>
      <c r="B13">
        <v>6</v>
      </c>
      <c r="C13">
        <v>1.0003299999999999</v>
      </c>
      <c r="D13">
        <v>47.25</v>
      </c>
      <c r="E13">
        <v>8689</v>
      </c>
      <c r="F13">
        <v>1.69706</v>
      </c>
      <c r="G13">
        <v>110.41</v>
      </c>
      <c r="H13">
        <v>3</v>
      </c>
      <c r="I13">
        <v>1.65141</v>
      </c>
      <c r="J13">
        <v>156.54</v>
      </c>
      <c r="K13">
        <v>6</v>
      </c>
      <c r="L13">
        <v>1</v>
      </c>
      <c r="M13">
        <v>73.319999999999993</v>
      </c>
      <c r="N13">
        <v>3</v>
      </c>
      <c r="O13">
        <v>1.00013</v>
      </c>
      <c r="P13">
        <v>206.69</v>
      </c>
    </row>
    <row r="14" spans="1:16">
      <c r="A14">
        <v>9</v>
      </c>
      <c r="B14">
        <v>6</v>
      </c>
      <c r="C14">
        <v>1.0003299999999999</v>
      </c>
      <c r="D14">
        <v>46.5</v>
      </c>
      <c r="E14">
        <v>11785</v>
      </c>
      <c r="F14">
        <v>1.62917</v>
      </c>
      <c r="G14">
        <v>111.52</v>
      </c>
      <c r="H14">
        <v>1785</v>
      </c>
      <c r="I14">
        <v>1.91794</v>
      </c>
      <c r="J14">
        <v>146.41999999999999</v>
      </c>
      <c r="K14">
        <v>6</v>
      </c>
      <c r="L14">
        <v>1</v>
      </c>
      <c r="M14">
        <v>71.739999999999995</v>
      </c>
      <c r="N14">
        <v>3</v>
      </c>
      <c r="O14">
        <v>1.00013</v>
      </c>
      <c r="P14">
        <v>210.98</v>
      </c>
    </row>
    <row r="15" spans="1:16">
      <c r="A15">
        <v>10</v>
      </c>
      <c r="B15">
        <v>6</v>
      </c>
      <c r="C15">
        <v>1.0003299999999999</v>
      </c>
      <c r="D15">
        <v>47.79</v>
      </c>
      <c r="E15">
        <v>2034</v>
      </c>
      <c r="F15">
        <v>1.90743</v>
      </c>
      <c r="G15">
        <v>222.66</v>
      </c>
      <c r="H15">
        <v>3</v>
      </c>
      <c r="I15">
        <v>1.49302</v>
      </c>
      <c r="J15">
        <v>330.79</v>
      </c>
      <c r="K15">
        <v>6</v>
      </c>
      <c r="L15">
        <v>1</v>
      </c>
      <c r="M15">
        <v>69.81</v>
      </c>
      <c r="N15">
        <v>3</v>
      </c>
      <c r="O15">
        <v>1.4936400000000001</v>
      </c>
      <c r="P15">
        <v>203.64</v>
      </c>
    </row>
    <row r="16" spans="1:16">
      <c r="A16">
        <v>11</v>
      </c>
      <c r="B16">
        <v>3</v>
      </c>
      <c r="C16">
        <v>1</v>
      </c>
      <c r="D16">
        <v>43.31</v>
      </c>
      <c r="E16">
        <v>3</v>
      </c>
      <c r="F16">
        <v>1.9997</v>
      </c>
      <c r="G16">
        <v>103.87</v>
      </c>
      <c r="H16">
        <v>4</v>
      </c>
      <c r="I16">
        <v>1.00007</v>
      </c>
      <c r="J16">
        <v>138.55000000000001</v>
      </c>
      <c r="K16">
        <v>3</v>
      </c>
      <c r="L16">
        <v>1</v>
      </c>
      <c r="M16">
        <v>70.58</v>
      </c>
      <c r="N16">
        <v>3</v>
      </c>
      <c r="O16">
        <v>1.9994000000000001</v>
      </c>
      <c r="P16">
        <v>205.82</v>
      </c>
    </row>
    <row r="17" spans="1:16">
      <c r="A17">
        <v>12</v>
      </c>
      <c r="B17">
        <v>6</v>
      </c>
      <c r="C17">
        <v>1.0003299999999999</v>
      </c>
      <c r="D17">
        <v>48</v>
      </c>
      <c r="E17">
        <v>7844</v>
      </c>
      <c r="F17">
        <v>1.71811</v>
      </c>
      <c r="G17">
        <v>110.04</v>
      </c>
      <c r="H17">
        <v>3</v>
      </c>
      <c r="I17">
        <v>1.46719</v>
      </c>
      <c r="J17">
        <v>137.49</v>
      </c>
      <c r="K17">
        <v>6</v>
      </c>
      <c r="L17">
        <v>1</v>
      </c>
      <c r="M17">
        <v>69.94</v>
      </c>
      <c r="N17">
        <v>3</v>
      </c>
      <c r="O17">
        <v>1.00013</v>
      </c>
      <c r="P17">
        <v>198.11</v>
      </c>
    </row>
    <row r="18" spans="1:16">
      <c r="A18">
        <v>13</v>
      </c>
      <c r="B18">
        <v>3</v>
      </c>
      <c r="C18">
        <v>1.00013</v>
      </c>
      <c r="D18">
        <v>43.23</v>
      </c>
      <c r="E18">
        <v>4</v>
      </c>
      <c r="F18">
        <v>1.9995000000000001</v>
      </c>
      <c r="G18">
        <v>102.68</v>
      </c>
      <c r="H18">
        <v>3</v>
      </c>
      <c r="I18">
        <v>1</v>
      </c>
      <c r="J18">
        <v>173.7</v>
      </c>
      <c r="K18">
        <v>3</v>
      </c>
      <c r="L18">
        <v>1</v>
      </c>
      <c r="M18">
        <v>70.52</v>
      </c>
      <c r="N18">
        <v>3</v>
      </c>
      <c r="O18">
        <v>1.9991000000000001</v>
      </c>
      <c r="P18">
        <v>204.54</v>
      </c>
    </row>
    <row r="19" spans="1:16">
      <c r="A19">
        <v>14</v>
      </c>
      <c r="B19">
        <v>3</v>
      </c>
      <c r="C19">
        <v>1</v>
      </c>
      <c r="D19">
        <v>44.46</v>
      </c>
      <c r="E19">
        <v>16776</v>
      </c>
      <c r="F19">
        <v>1.54372</v>
      </c>
      <c r="G19">
        <v>110.18</v>
      </c>
      <c r="H19">
        <v>6777</v>
      </c>
      <c r="I19">
        <v>1.7466200000000001</v>
      </c>
      <c r="J19">
        <v>146.24</v>
      </c>
      <c r="K19">
        <v>3</v>
      </c>
      <c r="L19">
        <v>1</v>
      </c>
      <c r="M19">
        <v>71.36</v>
      </c>
      <c r="N19">
        <v>3</v>
      </c>
      <c r="O19">
        <v>1</v>
      </c>
      <c r="P19">
        <v>226.03</v>
      </c>
    </row>
    <row r="20" spans="1:16">
      <c r="A20">
        <v>15</v>
      </c>
      <c r="B20">
        <v>3</v>
      </c>
      <c r="C20">
        <v>1</v>
      </c>
      <c r="D20">
        <v>49.45</v>
      </c>
      <c r="E20">
        <v>3</v>
      </c>
      <c r="F20">
        <v>1.9997</v>
      </c>
      <c r="G20">
        <v>108.22</v>
      </c>
      <c r="H20">
        <v>4</v>
      </c>
      <c r="I20">
        <v>1.00007</v>
      </c>
      <c r="J20">
        <v>138.16</v>
      </c>
      <c r="K20">
        <v>3</v>
      </c>
      <c r="L20">
        <v>1</v>
      </c>
      <c r="M20">
        <v>70.09</v>
      </c>
      <c r="N20">
        <v>3</v>
      </c>
      <c r="O20">
        <v>1.9994000000000001</v>
      </c>
      <c r="P20">
        <v>206.87</v>
      </c>
    </row>
    <row r="21" spans="1:16">
      <c r="A21">
        <v>16</v>
      </c>
      <c r="B21">
        <v>6</v>
      </c>
      <c r="C21">
        <v>1.0003299999999999</v>
      </c>
      <c r="D21">
        <v>44.52</v>
      </c>
      <c r="E21">
        <v>8999</v>
      </c>
      <c r="F21">
        <v>1.6896100000000001</v>
      </c>
      <c r="G21">
        <v>106.09</v>
      </c>
      <c r="H21">
        <v>3</v>
      </c>
      <c r="I21">
        <v>1.7260800000000001</v>
      </c>
      <c r="J21">
        <v>397.8</v>
      </c>
      <c r="K21">
        <v>6</v>
      </c>
      <c r="L21">
        <v>1</v>
      </c>
      <c r="M21">
        <v>70.41</v>
      </c>
      <c r="N21">
        <v>3</v>
      </c>
      <c r="O21">
        <v>1.00013</v>
      </c>
      <c r="P21">
        <v>200.15</v>
      </c>
    </row>
    <row r="22" spans="1:16">
      <c r="A22">
        <v>17</v>
      </c>
      <c r="B22">
        <v>6</v>
      </c>
      <c r="C22">
        <v>1.0003299999999999</v>
      </c>
      <c r="D22">
        <v>44.36</v>
      </c>
      <c r="E22">
        <v>11708</v>
      </c>
      <c r="F22">
        <v>1.6306099999999999</v>
      </c>
      <c r="G22">
        <v>106.18</v>
      </c>
      <c r="H22">
        <v>1709</v>
      </c>
      <c r="I22">
        <v>1.9208799999999999</v>
      </c>
      <c r="J22">
        <v>140.72999999999999</v>
      </c>
      <c r="K22">
        <v>6</v>
      </c>
      <c r="L22">
        <v>1</v>
      </c>
      <c r="M22">
        <v>69.75</v>
      </c>
      <c r="N22">
        <v>3</v>
      </c>
      <c r="O22">
        <v>1.00013</v>
      </c>
      <c r="P22">
        <v>206.19</v>
      </c>
    </row>
    <row r="23" spans="1:16">
      <c r="A23">
        <v>18</v>
      </c>
      <c r="B23">
        <v>6</v>
      </c>
      <c r="C23">
        <v>1.0003299999999999</v>
      </c>
      <c r="D23">
        <v>44.29</v>
      </c>
      <c r="E23">
        <v>6730</v>
      </c>
      <c r="F23">
        <v>1.74804</v>
      </c>
      <c r="G23">
        <v>109.51</v>
      </c>
      <c r="H23">
        <v>3</v>
      </c>
      <c r="I23">
        <v>1.26017</v>
      </c>
      <c r="J23">
        <v>141.68</v>
      </c>
      <c r="K23">
        <v>6</v>
      </c>
      <c r="L23">
        <v>1</v>
      </c>
      <c r="M23">
        <v>70.83</v>
      </c>
      <c r="N23">
        <v>3</v>
      </c>
      <c r="O23">
        <v>1.00013</v>
      </c>
      <c r="P23">
        <v>230.59</v>
      </c>
    </row>
    <row r="24" spans="1:16">
      <c r="A24">
        <v>19</v>
      </c>
      <c r="B24">
        <v>6</v>
      </c>
      <c r="C24">
        <v>1.0003299999999999</v>
      </c>
      <c r="D24">
        <v>53.05</v>
      </c>
      <c r="E24">
        <v>4</v>
      </c>
      <c r="F24">
        <v>1.9995000000000001</v>
      </c>
      <c r="G24">
        <v>105.82</v>
      </c>
      <c r="H24">
        <v>3</v>
      </c>
      <c r="I24">
        <v>1</v>
      </c>
      <c r="J24">
        <v>137.18</v>
      </c>
      <c r="K24">
        <v>6</v>
      </c>
      <c r="L24">
        <v>1</v>
      </c>
      <c r="M24">
        <v>111.87</v>
      </c>
      <c r="N24">
        <v>3</v>
      </c>
      <c r="O24">
        <v>1.9991000000000001</v>
      </c>
      <c r="P24">
        <v>211.94</v>
      </c>
    </row>
    <row r="25" spans="1:16">
      <c r="A25">
        <v>20</v>
      </c>
      <c r="B25">
        <v>3</v>
      </c>
      <c r="C25">
        <v>1.00013</v>
      </c>
      <c r="D25">
        <v>43.09</v>
      </c>
      <c r="E25">
        <v>18826</v>
      </c>
      <c r="F25">
        <v>1.51501</v>
      </c>
      <c r="G25">
        <v>112.8</v>
      </c>
      <c r="H25">
        <v>8827</v>
      </c>
      <c r="I25">
        <v>1.69353</v>
      </c>
      <c r="J25">
        <v>151.35</v>
      </c>
      <c r="K25">
        <v>3</v>
      </c>
      <c r="L25">
        <v>1</v>
      </c>
      <c r="M25">
        <v>72.33</v>
      </c>
      <c r="N25">
        <v>3</v>
      </c>
      <c r="O25">
        <v>1.00013</v>
      </c>
      <c r="P25">
        <v>223.16</v>
      </c>
    </row>
    <row r="26" spans="1:16">
      <c r="A26">
        <v>21</v>
      </c>
      <c r="B26">
        <v>3</v>
      </c>
      <c r="C26">
        <v>1.00013</v>
      </c>
      <c r="D26">
        <v>44.84</v>
      </c>
      <c r="E26">
        <v>3</v>
      </c>
      <c r="F26">
        <v>1.9994000000000001</v>
      </c>
      <c r="G26">
        <v>125.03</v>
      </c>
      <c r="H26">
        <v>4</v>
      </c>
      <c r="I26">
        <v>1.00007</v>
      </c>
      <c r="J26">
        <v>193.53</v>
      </c>
      <c r="K26">
        <v>3</v>
      </c>
      <c r="L26">
        <v>1</v>
      </c>
      <c r="M26">
        <v>80.53</v>
      </c>
      <c r="N26">
        <v>3</v>
      </c>
      <c r="O26">
        <v>1.9991000000000001</v>
      </c>
      <c r="P26">
        <v>273.27</v>
      </c>
    </row>
    <row r="27" spans="1:16">
      <c r="A27">
        <v>22</v>
      </c>
      <c r="B27">
        <v>3</v>
      </c>
      <c r="C27">
        <v>1.00013</v>
      </c>
      <c r="D27">
        <v>56.62</v>
      </c>
      <c r="E27">
        <v>4</v>
      </c>
      <c r="F27">
        <v>1.9995000000000001</v>
      </c>
      <c r="G27">
        <v>116.04</v>
      </c>
      <c r="H27">
        <v>3</v>
      </c>
      <c r="I27">
        <v>1</v>
      </c>
      <c r="J27">
        <v>173.53</v>
      </c>
      <c r="K27">
        <v>3</v>
      </c>
      <c r="L27">
        <v>1</v>
      </c>
      <c r="M27">
        <v>82.53</v>
      </c>
      <c r="N27">
        <v>3</v>
      </c>
      <c r="O27">
        <v>1.9991000000000001</v>
      </c>
      <c r="P27">
        <v>409.77</v>
      </c>
    </row>
    <row r="28" spans="1:16">
      <c r="A28">
        <v>23</v>
      </c>
      <c r="B28">
        <v>3</v>
      </c>
      <c r="C28">
        <v>1.00013</v>
      </c>
      <c r="D28">
        <v>44.43</v>
      </c>
      <c r="E28">
        <v>16484</v>
      </c>
      <c r="F28">
        <v>1.5480700000000001</v>
      </c>
      <c r="G28">
        <v>112.43</v>
      </c>
      <c r="H28">
        <v>6485</v>
      </c>
      <c r="I28">
        <v>1.75485</v>
      </c>
      <c r="J28">
        <v>145.63</v>
      </c>
      <c r="K28">
        <v>3</v>
      </c>
      <c r="L28">
        <v>1</v>
      </c>
      <c r="M28">
        <v>70.180000000000007</v>
      </c>
      <c r="N28">
        <v>3</v>
      </c>
      <c r="O28">
        <v>1.00013</v>
      </c>
      <c r="P28">
        <v>239.36</v>
      </c>
    </row>
    <row r="29" spans="1:16">
      <c r="A29">
        <v>24</v>
      </c>
      <c r="B29">
        <v>6</v>
      </c>
      <c r="C29">
        <v>1.0003299999999999</v>
      </c>
      <c r="D29">
        <v>48.71</v>
      </c>
      <c r="E29">
        <v>1436</v>
      </c>
      <c r="F29">
        <v>1.9327399999999999</v>
      </c>
      <c r="G29">
        <v>106.41</v>
      </c>
      <c r="H29">
        <v>3</v>
      </c>
      <c r="I29">
        <v>1.6233599999999999</v>
      </c>
      <c r="J29">
        <v>140.83000000000001</v>
      </c>
      <c r="K29">
        <v>6</v>
      </c>
      <c r="L29">
        <v>1</v>
      </c>
      <c r="M29">
        <v>71.349999999999994</v>
      </c>
      <c r="N29">
        <v>3</v>
      </c>
      <c r="O29">
        <v>1.62405</v>
      </c>
      <c r="P29">
        <v>208.85</v>
      </c>
    </row>
    <row r="30" spans="1:16">
      <c r="A30">
        <v>25</v>
      </c>
      <c r="B30">
        <v>3</v>
      </c>
      <c r="C30">
        <v>1</v>
      </c>
      <c r="D30">
        <v>44.72</v>
      </c>
      <c r="E30">
        <v>15207</v>
      </c>
      <c r="F30">
        <v>1.56802</v>
      </c>
      <c r="G30">
        <v>111.53</v>
      </c>
      <c r="H30">
        <v>5207</v>
      </c>
      <c r="I30">
        <v>1.7933399999999999</v>
      </c>
      <c r="J30">
        <v>151</v>
      </c>
      <c r="K30">
        <v>3</v>
      </c>
      <c r="L30">
        <v>1</v>
      </c>
      <c r="M30">
        <v>74.7</v>
      </c>
      <c r="N30">
        <v>3</v>
      </c>
      <c r="O30">
        <v>1</v>
      </c>
      <c r="P30">
        <v>265.72000000000003</v>
      </c>
    </row>
    <row r="31" spans="1:16">
      <c r="A31">
        <v>26</v>
      </c>
      <c r="B31">
        <v>6</v>
      </c>
      <c r="C31">
        <v>1.0003299999999999</v>
      </c>
      <c r="D31">
        <v>48.13</v>
      </c>
      <c r="E31">
        <v>4</v>
      </c>
      <c r="F31">
        <v>1.9995000000000001</v>
      </c>
      <c r="G31">
        <v>106.8</v>
      </c>
      <c r="H31">
        <v>3</v>
      </c>
      <c r="I31">
        <v>1</v>
      </c>
      <c r="J31">
        <v>140.34</v>
      </c>
      <c r="K31">
        <v>6</v>
      </c>
      <c r="L31">
        <v>1</v>
      </c>
      <c r="M31">
        <v>72.06</v>
      </c>
      <c r="N31">
        <v>3</v>
      </c>
      <c r="O31">
        <v>1.9991000000000001</v>
      </c>
      <c r="P31">
        <v>211.91</v>
      </c>
    </row>
    <row r="32" spans="1:16">
      <c r="A32">
        <v>27</v>
      </c>
      <c r="B32">
        <v>3</v>
      </c>
      <c r="C32">
        <v>1.00013</v>
      </c>
      <c r="D32">
        <v>45.72</v>
      </c>
      <c r="E32">
        <v>16706</v>
      </c>
      <c r="F32">
        <v>1.5447599999999999</v>
      </c>
      <c r="G32">
        <v>113.04</v>
      </c>
      <c r="H32">
        <v>6707</v>
      </c>
      <c r="I32">
        <v>1.74858</v>
      </c>
      <c r="J32">
        <v>146.34</v>
      </c>
      <c r="K32">
        <v>3</v>
      </c>
      <c r="L32">
        <v>1</v>
      </c>
      <c r="M32">
        <v>72.349999999999994</v>
      </c>
      <c r="N32">
        <v>3</v>
      </c>
      <c r="O32">
        <v>1.00013</v>
      </c>
      <c r="P32">
        <v>226.93</v>
      </c>
    </row>
    <row r="33" spans="1:16">
      <c r="A33">
        <v>28</v>
      </c>
      <c r="B33">
        <v>6</v>
      </c>
      <c r="C33">
        <v>1.0003299999999999</v>
      </c>
      <c r="D33">
        <v>48.38</v>
      </c>
      <c r="E33">
        <v>2106</v>
      </c>
      <c r="F33">
        <v>1.90448</v>
      </c>
      <c r="G33">
        <v>105.29</v>
      </c>
      <c r="H33">
        <v>3</v>
      </c>
      <c r="I33">
        <v>1.4782</v>
      </c>
      <c r="J33">
        <v>133.72</v>
      </c>
      <c r="K33">
        <v>6</v>
      </c>
      <c r="L33">
        <v>1</v>
      </c>
      <c r="M33">
        <v>75.930000000000007</v>
      </c>
      <c r="N33">
        <v>3</v>
      </c>
      <c r="O33">
        <v>1.47881</v>
      </c>
      <c r="P33">
        <v>218.76</v>
      </c>
    </row>
    <row r="34" spans="1:16">
      <c r="A34">
        <v>29</v>
      </c>
      <c r="B34">
        <v>6</v>
      </c>
      <c r="C34">
        <v>1.0003299999999999</v>
      </c>
      <c r="D34">
        <v>46.9</v>
      </c>
      <c r="E34">
        <v>4</v>
      </c>
      <c r="F34">
        <v>1.9995000000000001</v>
      </c>
      <c r="G34">
        <v>110.12</v>
      </c>
      <c r="H34">
        <v>3</v>
      </c>
      <c r="I34">
        <v>1</v>
      </c>
      <c r="J34">
        <v>302.88</v>
      </c>
      <c r="K34">
        <v>6</v>
      </c>
      <c r="L34">
        <v>1</v>
      </c>
      <c r="M34">
        <v>85.62</v>
      </c>
      <c r="N34">
        <v>3</v>
      </c>
      <c r="O34">
        <v>1.9991000000000001</v>
      </c>
      <c r="P34">
        <v>215.92</v>
      </c>
    </row>
    <row r="35" spans="1:16">
      <c r="A35">
        <v>30</v>
      </c>
      <c r="B35">
        <v>6</v>
      </c>
      <c r="C35">
        <v>1.0003299999999999</v>
      </c>
      <c r="D35">
        <v>47.97</v>
      </c>
      <c r="E35">
        <v>8691</v>
      </c>
      <c r="F35">
        <v>1.6970099999999999</v>
      </c>
      <c r="G35">
        <v>111.3</v>
      </c>
      <c r="H35">
        <v>3</v>
      </c>
      <c r="I35">
        <v>1.65188</v>
      </c>
      <c r="J35">
        <v>147.16999999999999</v>
      </c>
      <c r="K35">
        <v>6</v>
      </c>
      <c r="L35">
        <v>1</v>
      </c>
      <c r="M35">
        <v>74.78</v>
      </c>
      <c r="N35">
        <v>3</v>
      </c>
      <c r="O35">
        <v>1</v>
      </c>
      <c r="P35">
        <v>210.82</v>
      </c>
    </row>
    <row r="36" spans="1:16">
      <c r="A36">
        <v>31</v>
      </c>
      <c r="B36">
        <v>3</v>
      </c>
      <c r="C36">
        <v>1.00013</v>
      </c>
      <c r="D36">
        <v>45.96</v>
      </c>
      <c r="E36">
        <v>18286</v>
      </c>
      <c r="F36">
        <v>1.5222800000000001</v>
      </c>
      <c r="G36">
        <v>114.41</v>
      </c>
      <c r="H36">
        <v>8287</v>
      </c>
      <c r="I36">
        <v>1.7067699999999999</v>
      </c>
      <c r="J36">
        <v>145.69999999999999</v>
      </c>
      <c r="K36">
        <v>3</v>
      </c>
      <c r="L36">
        <v>1</v>
      </c>
      <c r="M36">
        <v>73.88</v>
      </c>
      <c r="N36">
        <v>3</v>
      </c>
      <c r="O36">
        <v>1.00013</v>
      </c>
      <c r="P36">
        <v>234.7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I40" si="0">MAX(C5:C36)</f>
        <v>1.0003299999999999</v>
      </c>
      <c r="D40" s="1">
        <f t="shared" si="0"/>
        <v>226.3</v>
      </c>
      <c r="E40" s="1">
        <f t="shared" si="0"/>
        <v>18826</v>
      </c>
      <c r="F40" s="1">
        <f t="shared" si="0"/>
        <v>1.9997</v>
      </c>
      <c r="G40" s="1">
        <f t="shared" si="0"/>
        <v>222.66</v>
      </c>
      <c r="H40" s="1">
        <f t="shared" si="0"/>
        <v>8827</v>
      </c>
      <c r="I40" s="1">
        <f t="shared" si="0"/>
        <v>1.9776100000000001</v>
      </c>
      <c r="J40" s="1">
        <f t="shared" ref="J40:P40" si="1">MAX(J5:J36)</f>
        <v>397.8</v>
      </c>
      <c r="K40" s="1">
        <f t="shared" si="1"/>
        <v>6</v>
      </c>
      <c r="L40" s="1">
        <f t="shared" si="1"/>
        <v>1</v>
      </c>
      <c r="M40" s="1">
        <f t="shared" si="1"/>
        <v>194.93</v>
      </c>
      <c r="N40" s="1">
        <f t="shared" si="1"/>
        <v>3</v>
      </c>
      <c r="O40" s="1">
        <f t="shared" si="1"/>
        <v>1.9994000000000001</v>
      </c>
      <c r="P40" s="1">
        <f t="shared" si="1"/>
        <v>409.77</v>
      </c>
    </row>
    <row r="41" spans="1:16">
      <c r="A41" t="s">
        <v>12</v>
      </c>
      <c r="B41" s="1">
        <f>MIN(B5:B36)</f>
        <v>3</v>
      </c>
      <c r="C41" s="1">
        <f t="shared" ref="C41:I41" si="2">MIN(C5:C36)</f>
        <v>1</v>
      </c>
      <c r="D41" s="1">
        <f t="shared" si="2"/>
        <v>42.24</v>
      </c>
      <c r="E41" s="1">
        <f t="shared" si="2"/>
        <v>3</v>
      </c>
      <c r="F41" s="1">
        <f t="shared" si="2"/>
        <v>1.51501</v>
      </c>
      <c r="G41" s="1">
        <f t="shared" si="2"/>
        <v>102.68</v>
      </c>
      <c r="H41" s="1">
        <f t="shared" si="2"/>
        <v>3</v>
      </c>
      <c r="I41" s="1">
        <f t="shared" si="2"/>
        <v>1</v>
      </c>
      <c r="J41" s="1">
        <f t="shared" ref="J41:P41" si="3">MIN(J5:J36)</f>
        <v>133.72</v>
      </c>
      <c r="K41" s="1">
        <f t="shared" si="3"/>
        <v>3</v>
      </c>
      <c r="L41" s="1">
        <f t="shared" si="3"/>
        <v>1</v>
      </c>
      <c r="M41" s="1">
        <f t="shared" si="3"/>
        <v>69.3</v>
      </c>
      <c r="N41" s="1">
        <f t="shared" si="3"/>
        <v>3</v>
      </c>
      <c r="O41" s="1">
        <f t="shared" si="3"/>
        <v>1</v>
      </c>
      <c r="P41" s="1">
        <f t="shared" si="3"/>
        <v>195.9</v>
      </c>
    </row>
    <row r="42" spans="1:16">
      <c r="A42" t="s">
        <v>13</v>
      </c>
      <c r="B42" s="1">
        <f>MEDIAN(B5:B36)</f>
        <v>6</v>
      </c>
      <c r="C42" s="1">
        <f t="shared" ref="C42:I42" si="4">MEDIAN(C5:C36)</f>
        <v>1.0003299999999999</v>
      </c>
      <c r="D42" s="1">
        <f t="shared" si="4"/>
        <v>46.7</v>
      </c>
      <c r="E42" s="1">
        <f t="shared" si="4"/>
        <v>8266.5</v>
      </c>
      <c r="F42" s="1">
        <f t="shared" si="4"/>
        <v>1.7075849999999999</v>
      </c>
      <c r="G42" s="1">
        <f t="shared" si="4"/>
        <v>110.85499999999999</v>
      </c>
      <c r="H42" s="1">
        <f t="shared" si="4"/>
        <v>4</v>
      </c>
      <c r="I42" s="1">
        <f t="shared" si="4"/>
        <v>1.6373850000000001</v>
      </c>
      <c r="J42" s="1">
        <f t="shared" ref="J42:P42" si="5">MEDIAN(J5:J36)</f>
        <v>147.48500000000001</v>
      </c>
      <c r="K42" s="1">
        <f t="shared" si="5"/>
        <v>6</v>
      </c>
      <c r="L42" s="1">
        <f t="shared" si="5"/>
        <v>1</v>
      </c>
      <c r="M42" s="1">
        <f t="shared" si="5"/>
        <v>72.35499999999999</v>
      </c>
      <c r="N42" s="1">
        <f t="shared" si="5"/>
        <v>3</v>
      </c>
      <c r="O42" s="1">
        <f t="shared" si="5"/>
        <v>1.00013</v>
      </c>
      <c r="P42" s="1">
        <f t="shared" si="5"/>
        <v>217.33999999999997</v>
      </c>
    </row>
    <row r="43" spans="1:16">
      <c r="A43" t="s">
        <v>14</v>
      </c>
      <c r="B43" s="1">
        <f>AVERAGE(B5:B36)</f>
        <v>4.6875</v>
      </c>
      <c r="C43" s="1">
        <f t="shared" ref="C43:I43" si="6">AVERAGE(C5:C36)</f>
        <v>1.0002140624999993</v>
      </c>
      <c r="D43" s="1">
        <f t="shared" si="6"/>
        <v>53.750000000000007</v>
      </c>
      <c r="E43" s="1">
        <f t="shared" si="6"/>
        <v>8188.125</v>
      </c>
      <c r="F43" s="1">
        <f t="shared" si="6"/>
        <v>1.7548946874999998</v>
      </c>
      <c r="G43" s="1">
        <f t="shared" si="6"/>
        <v>119.94000000000003</v>
      </c>
      <c r="H43" s="1">
        <f t="shared" si="6"/>
        <v>2254</v>
      </c>
      <c r="I43" s="1">
        <f t="shared" si="6"/>
        <v>1.4751190624999997</v>
      </c>
      <c r="J43" s="1">
        <f t="shared" ref="J43:P43" si="7">AVERAGE(J5:J36)</f>
        <v>181.33562499999999</v>
      </c>
      <c r="K43" s="1">
        <f t="shared" si="7"/>
        <v>4.6875</v>
      </c>
      <c r="L43" s="1">
        <f t="shared" si="7"/>
        <v>1</v>
      </c>
      <c r="M43" s="1">
        <f t="shared" si="7"/>
        <v>80.980624999999975</v>
      </c>
      <c r="N43" s="1">
        <f t="shared" si="7"/>
        <v>3</v>
      </c>
      <c r="O43" s="1">
        <f t="shared" si="7"/>
        <v>1.3309590624999996</v>
      </c>
      <c r="P43" s="1">
        <f t="shared" si="7"/>
        <v>230.78156250000004</v>
      </c>
    </row>
    <row r="44" spans="1:16">
      <c r="A44" t="s">
        <v>15</v>
      </c>
      <c r="B44" s="1">
        <f>STDEV(B5:B36)</f>
        <v>1.5120483863225558</v>
      </c>
      <c r="C44" s="1">
        <f t="shared" ref="C44:I44" si="8">STDEV(C5:C36)</f>
        <v>1.4052572660798872E-4</v>
      </c>
      <c r="D44" s="1">
        <f t="shared" si="8"/>
        <v>32.091408155756476</v>
      </c>
      <c r="E44" s="1">
        <f t="shared" si="8"/>
        <v>7067.9048396664657</v>
      </c>
      <c r="F44" s="1">
        <f t="shared" si="8"/>
        <v>0.19022192417965594</v>
      </c>
      <c r="G44" s="1">
        <f t="shared" si="8"/>
        <v>28.382792265282635</v>
      </c>
      <c r="H44" s="1">
        <f t="shared" si="8"/>
        <v>3358.9035269304486</v>
      </c>
      <c r="I44" s="1">
        <f t="shared" si="8"/>
        <v>0.35038544043215542</v>
      </c>
      <c r="J44" s="1">
        <f t="shared" ref="J44:P44" si="9">STDEV(J5:J36)</f>
        <v>72.687709878209162</v>
      </c>
      <c r="K44" s="1">
        <f t="shared" si="9"/>
        <v>1.5120483863225558</v>
      </c>
      <c r="L44" s="1">
        <f t="shared" si="9"/>
        <v>0</v>
      </c>
      <c r="M44" s="1">
        <f t="shared" si="9"/>
        <v>24.170861014399659</v>
      </c>
      <c r="N44" s="1">
        <f t="shared" si="9"/>
        <v>0</v>
      </c>
      <c r="O44" s="1">
        <f t="shared" si="9"/>
        <v>0.45231660494121267</v>
      </c>
      <c r="P44" s="1">
        <f t="shared" si="9"/>
        <v>40.808957437764008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25</v>
      </c>
      <c r="C1" t="s">
        <v>1</v>
      </c>
      <c r="D1">
        <v>300003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1610.09</v>
      </c>
      <c r="E5">
        <v>182013</v>
      </c>
      <c r="F5">
        <v>1.5235399999999999</v>
      </c>
      <c r="G5">
        <v>1566.56</v>
      </c>
      <c r="H5">
        <v>82013</v>
      </c>
      <c r="I5">
        <v>1.7091799999999999</v>
      </c>
      <c r="J5">
        <v>2723.4</v>
      </c>
      <c r="K5">
        <v>3</v>
      </c>
      <c r="L5">
        <v>1</v>
      </c>
      <c r="M5">
        <v>829.51</v>
      </c>
      <c r="N5">
        <v>3</v>
      </c>
      <c r="O5">
        <v>1</v>
      </c>
      <c r="P5">
        <v>4266.3</v>
      </c>
    </row>
    <row r="6" spans="1:16">
      <c r="A6">
        <v>1</v>
      </c>
      <c r="B6">
        <v>3</v>
      </c>
      <c r="C6">
        <v>1.0000100000000001</v>
      </c>
      <c r="D6">
        <v>597.74</v>
      </c>
      <c r="E6">
        <v>134824</v>
      </c>
      <c r="F6">
        <v>1.5973200000000001</v>
      </c>
      <c r="G6">
        <v>2011.94</v>
      </c>
      <c r="H6">
        <v>34825</v>
      </c>
      <c r="I6">
        <v>1.8516600000000001</v>
      </c>
      <c r="J6">
        <v>2231.88</v>
      </c>
      <c r="K6">
        <v>3</v>
      </c>
      <c r="L6">
        <v>1</v>
      </c>
      <c r="M6">
        <v>804.79</v>
      </c>
      <c r="N6">
        <v>3</v>
      </c>
      <c r="O6">
        <v>1.0000100000000001</v>
      </c>
      <c r="P6">
        <v>2770.67</v>
      </c>
    </row>
    <row r="7" spans="1:16">
      <c r="A7">
        <v>2</v>
      </c>
      <c r="B7">
        <v>6</v>
      </c>
      <c r="C7">
        <v>1.00003</v>
      </c>
      <c r="D7">
        <v>725.39</v>
      </c>
      <c r="E7">
        <v>13464</v>
      </c>
      <c r="F7">
        <v>1.9369000000000001</v>
      </c>
      <c r="G7">
        <v>1344.75</v>
      </c>
      <c r="H7">
        <v>3</v>
      </c>
      <c r="I7">
        <v>1.64402</v>
      </c>
      <c r="J7">
        <v>1950.76</v>
      </c>
      <c r="K7">
        <v>6</v>
      </c>
      <c r="L7">
        <v>1</v>
      </c>
      <c r="M7">
        <v>810.3</v>
      </c>
      <c r="N7">
        <v>3</v>
      </c>
      <c r="O7">
        <v>1.6440900000000001</v>
      </c>
      <c r="P7">
        <v>3323.87</v>
      </c>
    </row>
    <row r="8" spans="1:16">
      <c r="A8">
        <v>3</v>
      </c>
      <c r="B8">
        <v>3</v>
      </c>
      <c r="C8">
        <v>1</v>
      </c>
      <c r="D8">
        <v>784.61</v>
      </c>
      <c r="E8">
        <v>3</v>
      </c>
      <c r="F8">
        <v>1.99997</v>
      </c>
      <c r="G8">
        <v>2694.16</v>
      </c>
      <c r="H8">
        <v>4</v>
      </c>
      <c r="I8">
        <v>1.0000100000000001</v>
      </c>
      <c r="J8">
        <v>1836.45</v>
      </c>
      <c r="K8">
        <v>3</v>
      </c>
      <c r="L8">
        <v>1</v>
      </c>
      <c r="M8">
        <v>916.82</v>
      </c>
      <c r="N8">
        <v>3</v>
      </c>
      <c r="O8">
        <v>1.9999400000000001</v>
      </c>
      <c r="P8">
        <v>3048.92</v>
      </c>
    </row>
    <row r="9" spans="1:16">
      <c r="A9">
        <v>4</v>
      </c>
      <c r="B9">
        <v>6</v>
      </c>
      <c r="C9">
        <v>1.00003</v>
      </c>
      <c r="D9">
        <v>491.08</v>
      </c>
      <c r="E9">
        <v>114274</v>
      </c>
      <c r="F9">
        <v>1.6363700000000001</v>
      </c>
      <c r="G9">
        <v>1456.01</v>
      </c>
      <c r="H9">
        <v>14275</v>
      </c>
      <c r="I9">
        <v>1.9333400000000001</v>
      </c>
      <c r="J9">
        <v>3268.59</v>
      </c>
      <c r="K9">
        <v>6</v>
      </c>
      <c r="L9">
        <v>1</v>
      </c>
      <c r="M9">
        <v>948.19</v>
      </c>
      <c r="N9">
        <v>3</v>
      </c>
      <c r="O9">
        <v>1.0000100000000001</v>
      </c>
      <c r="P9">
        <v>3452.52</v>
      </c>
    </row>
    <row r="10" spans="1:16">
      <c r="A10">
        <v>5</v>
      </c>
      <c r="B10">
        <v>3</v>
      </c>
      <c r="C10">
        <v>1.0000100000000001</v>
      </c>
      <c r="D10">
        <v>620.70000000000005</v>
      </c>
      <c r="E10">
        <v>128417</v>
      </c>
      <c r="F10">
        <v>1.6089800000000001</v>
      </c>
      <c r="G10">
        <v>1939.31</v>
      </c>
      <c r="H10">
        <v>28417</v>
      </c>
      <c r="I10">
        <v>1.87558</v>
      </c>
      <c r="J10">
        <v>2250.23</v>
      </c>
      <c r="K10">
        <v>3</v>
      </c>
      <c r="L10">
        <v>1</v>
      </c>
      <c r="M10">
        <v>1181.06</v>
      </c>
      <c r="N10">
        <v>3</v>
      </c>
      <c r="O10">
        <v>1.0000100000000001</v>
      </c>
      <c r="P10">
        <v>3567.4</v>
      </c>
    </row>
    <row r="11" spans="1:16">
      <c r="A11">
        <v>6</v>
      </c>
      <c r="B11">
        <v>6</v>
      </c>
      <c r="C11">
        <v>1.00003</v>
      </c>
      <c r="D11">
        <v>522.67999999999995</v>
      </c>
      <c r="E11">
        <v>1991</v>
      </c>
      <c r="F11">
        <v>1.99013</v>
      </c>
      <c r="G11">
        <v>1282.31</v>
      </c>
      <c r="H11">
        <v>3</v>
      </c>
      <c r="I11">
        <v>1.9414400000000001</v>
      </c>
      <c r="J11">
        <v>1731.41</v>
      </c>
      <c r="K11">
        <v>6</v>
      </c>
      <c r="L11">
        <v>1</v>
      </c>
      <c r="M11">
        <v>791.52</v>
      </c>
      <c r="N11">
        <v>3</v>
      </c>
      <c r="O11">
        <v>1.9415199999999999</v>
      </c>
      <c r="P11">
        <v>2605.33</v>
      </c>
    </row>
    <row r="12" spans="1:16">
      <c r="A12">
        <v>7</v>
      </c>
      <c r="B12">
        <v>6</v>
      </c>
      <c r="C12">
        <v>1.00003</v>
      </c>
      <c r="D12">
        <v>480.77</v>
      </c>
      <c r="E12">
        <v>4498</v>
      </c>
      <c r="F12">
        <v>1.9779800000000001</v>
      </c>
      <c r="G12">
        <v>1343.24</v>
      </c>
      <c r="H12">
        <v>3</v>
      </c>
      <c r="I12">
        <v>1.87087</v>
      </c>
      <c r="J12">
        <v>1543.23</v>
      </c>
      <c r="K12">
        <v>6</v>
      </c>
      <c r="L12">
        <v>1</v>
      </c>
      <c r="M12">
        <v>816.76</v>
      </c>
      <c r="N12">
        <v>3</v>
      </c>
      <c r="O12">
        <v>1.8709499999999999</v>
      </c>
      <c r="P12">
        <v>2692.46</v>
      </c>
    </row>
    <row r="13" spans="1:16">
      <c r="A13">
        <v>8</v>
      </c>
      <c r="B13">
        <v>3</v>
      </c>
      <c r="C13">
        <v>1</v>
      </c>
      <c r="D13">
        <v>506.92</v>
      </c>
      <c r="E13">
        <v>127023</v>
      </c>
      <c r="F13">
        <v>1.6115699999999999</v>
      </c>
      <c r="G13">
        <v>1388.94</v>
      </c>
      <c r="H13">
        <v>27023</v>
      </c>
      <c r="I13">
        <v>1.88096</v>
      </c>
      <c r="J13">
        <v>1891.62</v>
      </c>
      <c r="K13">
        <v>3</v>
      </c>
      <c r="L13">
        <v>1</v>
      </c>
      <c r="M13">
        <v>990.53</v>
      </c>
      <c r="N13">
        <v>3</v>
      </c>
      <c r="O13">
        <v>1</v>
      </c>
      <c r="P13">
        <v>2774.9</v>
      </c>
    </row>
    <row r="14" spans="1:16">
      <c r="A14">
        <v>9</v>
      </c>
      <c r="B14">
        <v>3</v>
      </c>
      <c r="C14">
        <v>1.0000100000000001</v>
      </c>
      <c r="D14">
        <v>488.8</v>
      </c>
      <c r="E14">
        <v>159409</v>
      </c>
      <c r="F14">
        <v>1.55646</v>
      </c>
      <c r="G14">
        <v>1394.27</v>
      </c>
      <c r="H14">
        <v>59409</v>
      </c>
      <c r="I14">
        <v>1.7709699999999999</v>
      </c>
      <c r="J14">
        <v>1955.97</v>
      </c>
      <c r="K14">
        <v>3</v>
      </c>
      <c r="L14">
        <v>1</v>
      </c>
      <c r="M14">
        <v>773.62</v>
      </c>
      <c r="N14">
        <v>3</v>
      </c>
      <c r="O14">
        <v>1.0000100000000001</v>
      </c>
      <c r="P14">
        <v>2645.47</v>
      </c>
    </row>
    <row r="15" spans="1:16">
      <c r="A15">
        <v>10</v>
      </c>
      <c r="B15">
        <v>3</v>
      </c>
      <c r="C15">
        <v>1.0000100000000001</v>
      </c>
      <c r="D15">
        <v>489.01</v>
      </c>
      <c r="E15">
        <v>3</v>
      </c>
      <c r="F15">
        <v>1.9999400000000001</v>
      </c>
      <c r="G15">
        <v>1270.73</v>
      </c>
      <c r="H15">
        <v>4</v>
      </c>
      <c r="I15">
        <v>1.0000100000000001</v>
      </c>
      <c r="J15">
        <v>2076.15</v>
      </c>
      <c r="K15">
        <v>3</v>
      </c>
      <c r="L15">
        <v>1</v>
      </c>
      <c r="M15">
        <v>954.78</v>
      </c>
      <c r="N15">
        <v>3</v>
      </c>
      <c r="O15">
        <v>1.9999100000000001</v>
      </c>
      <c r="P15">
        <v>5325.13</v>
      </c>
    </row>
    <row r="16" spans="1:16">
      <c r="A16">
        <v>11</v>
      </c>
      <c r="B16">
        <v>6</v>
      </c>
      <c r="C16">
        <v>1.00003</v>
      </c>
      <c r="D16">
        <v>990.01</v>
      </c>
      <c r="E16">
        <v>34608</v>
      </c>
      <c r="F16">
        <v>1.85246</v>
      </c>
      <c r="G16">
        <v>2705.32</v>
      </c>
      <c r="H16">
        <v>3</v>
      </c>
      <c r="I16">
        <v>1.22871</v>
      </c>
      <c r="J16">
        <v>1939.92</v>
      </c>
      <c r="K16">
        <v>6</v>
      </c>
      <c r="L16">
        <v>1</v>
      </c>
      <c r="M16">
        <v>797.05</v>
      </c>
      <c r="N16">
        <v>3</v>
      </c>
      <c r="O16">
        <v>1.22875</v>
      </c>
      <c r="P16">
        <v>2715.11</v>
      </c>
    </row>
    <row r="17" spans="1:16">
      <c r="A17">
        <v>12</v>
      </c>
      <c r="B17">
        <v>3</v>
      </c>
      <c r="C17">
        <v>1.0000100000000001</v>
      </c>
      <c r="D17">
        <v>536.66999999999996</v>
      </c>
      <c r="E17">
        <v>156041</v>
      </c>
      <c r="F17">
        <v>1.5617300000000001</v>
      </c>
      <c r="G17">
        <v>1455.61</v>
      </c>
      <c r="H17">
        <v>56041</v>
      </c>
      <c r="I17">
        <v>1.78112</v>
      </c>
      <c r="J17">
        <v>2124.7800000000002</v>
      </c>
      <c r="K17">
        <v>3</v>
      </c>
      <c r="L17">
        <v>1</v>
      </c>
      <c r="M17">
        <v>811.41</v>
      </c>
      <c r="N17">
        <v>3</v>
      </c>
      <c r="O17">
        <v>1.0000100000000001</v>
      </c>
      <c r="P17">
        <v>2610.23</v>
      </c>
    </row>
    <row r="18" spans="1:16">
      <c r="A18">
        <v>13</v>
      </c>
      <c r="B18">
        <v>3</v>
      </c>
      <c r="C18">
        <v>1</v>
      </c>
      <c r="D18">
        <v>497.65</v>
      </c>
      <c r="E18">
        <v>3</v>
      </c>
      <c r="F18">
        <v>1.99997</v>
      </c>
      <c r="G18">
        <v>1261.22</v>
      </c>
      <c r="H18">
        <v>4</v>
      </c>
      <c r="I18">
        <v>1.0000100000000001</v>
      </c>
      <c r="J18">
        <v>1839.63</v>
      </c>
      <c r="K18">
        <v>3</v>
      </c>
      <c r="L18">
        <v>1</v>
      </c>
      <c r="M18">
        <v>816.24</v>
      </c>
      <c r="N18">
        <v>3</v>
      </c>
      <c r="O18">
        <v>1.9999400000000001</v>
      </c>
      <c r="P18">
        <v>2999.74</v>
      </c>
    </row>
    <row r="19" spans="1:16">
      <c r="A19">
        <v>14</v>
      </c>
      <c r="B19">
        <v>3</v>
      </c>
      <c r="C19">
        <v>1</v>
      </c>
      <c r="D19">
        <v>499.8</v>
      </c>
      <c r="E19">
        <v>128472</v>
      </c>
      <c r="F19">
        <v>1.60887</v>
      </c>
      <c r="G19">
        <v>1345.08</v>
      </c>
      <c r="H19">
        <v>28473</v>
      </c>
      <c r="I19">
        <v>1.87534</v>
      </c>
      <c r="J19">
        <v>1961.09</v>
      </c>
      <c r="K19">
        <v>3</v>
      </c>
      <c r="L19">
        <v>1</v>
      </c>
      <c r="M19">
        <v>786.98</v>
      </c>
      <c r="N19">
        <v>3</v>
      </c>
      <c r="O19">
        <v>1</v>
      </c>
      <c r="P19">
        <v>2986.15</v>
      </c>
    </row>
    <row r="20" spans="1:16">
      <c r="A20">
        <v>15</v>
      </c>
      <c r="B20">
        <v>6</v>
      </c>
      <c r="C20">
        <v>1.00003</v>
      </c>
      <c r="D20">
        <v>532.94000000000005</v>
      </c>
      <c r="E20">
        <v>121040</v>
      </c>
      <c r="F20">
        <v>1.62296</v>
      </c>
      <c r="G20">
        <v>1362.43</v>
      </c>
      <c r="H20">
        <v>21041</v>
      </c>
      <c r="I20">
        <v>1.9047700000000001</v>
      </c>
      <c r="J20">
        <v>1911.34</v>
      </c>
      <c r="K20">
        <v>6</v>
      </c>
      <c r="L20">
        <v>1</v>
      </c>
      <c r="M20">
        <v>786.43</v>
      </c>
      <c r="N20">
        <v>3</v>
      </c>
      <c r="O20">
        <v>1.0000100000000001</v>
      </c>
      <c r="P20">
        <v>2621.59</v>
      </c>
    </row>
    <row r="21" spans="1:16">
      <c r="A21">
        <v>16</v>
      </c>
      <c r="B21">
        <v>3</v>
      </c>
      <c r="C21">
        <v>1.0000100000000001</v>
      </c>
      <c r="D21">
        <v>484.47</v>
      </c>
      <c r="E21">
        <v>3</v>
      </c>
      <c r="F21">
        <v>1.9999400000000001</v>
      </c>
      <c r="G21">
        <v>1391.04</v>
      </c>
      <c r="H21">
        <v>4</v>
      </c>
      <c r="I21">
        <v>1.0000100000000001</v>
      </c>
      <c r="J21">
        <v>1777.67</v>
      </c>
      <c r="K21">
        <v>3</v>
      </c>
      <c r="L21">
        <v>1</v>
      </c>
      <c r="M21">
        <v>861.18</v>
      </c>
      <c r="N21">
        <v>3</v>
      </c>
      <c r="O21">
        <v>1.9999100000000001</v>
      </c>
      <c r="P21">
        <v>2639.77</v>
      </c>
    </row>
    <row r="22" spans="1:16">
      <c r="A22">
        <v>17</v>
      </c>
      <c r="B22">
        <v>6</v>
      </c>
      <c r="C22">
        <v>1.00003</v>
      </c>
      <c r="D22">
        <v>490.62</v>
      </c>
      <c r="E22">
        <v>103901</v>
      </c>
      <c r="F22">
        <v>1.6580999999999999</v>
      </c>
      <c r="G22">
        <v>1341.74</v>
      </c>
      <c r="H22">
        <v>3901</v>
      </c>
      <c r="I22">
        <v>1.98085</v>
      </c>
      <c r="J22">
        <v>1917.86</v>
      </c>
      <c r="K22">
        <v>6</v>
      </c>
      <c r="L22">
        <v>1</v>
      </c>
      <c r="M22">
        <v>787.52</v>
      </c>
      <c r="N22">
        <v>3</v>
      </c>
      <c r="O22">
        <v>1.0000100000000001</v>
      </c>
      <c r="P22">
        <v>2551.15</v>
      </c>
    </row>
    <row r="23" spans="1:16">
      <c r="A23">
        <v>18</v>
      </c>
      <c r="B23">
        <v>3</v>
      </c>
      <c r="C23">
        <v>1</v>
      </c>
      <c r="D23">
        <v>498.68</v>
      </c>
      <c r="E23">
        <v>134586</v>
      </c>
      <c r="F23">
        <v>1.5977399999999999</v>
      </c>
      <c r="G23">
        <v>1352.05</v>
      </c>
      <c r="H23">
        <v>34587</v>
      </c>
      <c r="I23">
        <v>1.85253</v>
      </c>
      <c r="J23">
        <v>1948.71</v>
      </c>
      <c r="K23">
        <v>3</v>
      </c>
      <c r="L23">
        <v>1</v>
      </c>
      <c r="M23">
        <v>779.54</v>
      </c>
      <c r="N23">
        <v>3</v>
      </c>
      <c r="O23">
        <v>1</v>
      </c>
      <c r="P23">
        <v>2618.06</v>
      </c>
    </row>
    <row r="24" spans="1:16">
      <c r="A24">
        <v>19</v>
      </c>
      <c r="B24">
        <v>6</v>
      </c>
      <c r="C24">
        <v>1.00003</v>
      </c>
      <c r="D24">
        <v>502.49</v>
      </c>
      <c r="E24">
        <v>35253</v>
      </c>
      <c r="F24">
        <v>1.8501399999999999</v>
      </c>
      <c r="G24">
        <v>1269.45</v>
      </c>
      <c r="H24">
        <v>3</v>
      </c>
      <c r="I24">
        <v>1.2180800000000001</v>
      </c>
      <c r="J24">
        <v>1736.58</v>
      </c>
      <c r="K24">
        <v>6</v>
      </c>
      <c r="L24">
        <v>1</v>
      </c>
      <c r="M24">
        <v>789.96</v>
      </c>
      <c r="N24">
        <v>3</v>
      </c>
      <c r="O24">
        <v>1.2181299999999999</v>
      </c>
      <c r="P24">
        <v>2760.71</v>
      </c>
    </row>
    <row r="25" spans="1:16">
      <c r="A25">
        <v>20</v>
      </c>
      <c r="B25">
        <v>6</v>
      </c>
      <c r="C25">
        <v>1.00003</v>
      </c>
      <c r="D25">
        <v>488.89</v>
      </c>
      <c r="E25">
        <v>120327</v>
      </c>
      <c r="F25">
        <v>1.62436</v>
      </c>
      <c r="G25">
        <v>1349.24</v>
      </c>
      <c r="H25">
        <v>20327</v>
      </c>
      <c r="I25">
        <v>1.9077299999999999</v>
      </c>
      <c r="J25">
        <v>1972.56</v>
      </c>
      <c r="K25">
        <v>6</v>
      </c>
      <c r="L25">
        <v>1</v>
      </c>
      <c r="M25">
        <v>795.14</v>
      </c>
      <c r="N25">
        <v>3</v>
      </c>
      <c r="O25">
        <v>1</v>
      </c>
      <c r="P25">
        <v>2558.9899999999998</v>
      </c>
    </row>
    <row r="26" spans="1:16">
      <c r="A26">
        <v>21</v>
      </c>
      <c r="B26">
        <v>6</v>
      </c>
      <c r="C26">
        <v>1.00003</v>
      </c>
      <c r="D26">
        <v>515.17999999999995</v>
      </c>
      <c r="E26">
        <v>49228</v>
      </c>
      <c r="F26">
        <v>1.80246</v>
      </c>
      <c r="G26">
        <v>1271.1199999999999</v>
      </c>
      <c r="H26">
        <v>3</v>
      </c>
      <c r="I26">
        <v>1.0103599999999999</v>
      </c>
      <c r="J26">
        <v>1663.61</v>
      </c>
      <c r="K26">
        <v>6</v>
      </c>
      <c r="L26">
        <v>1</v>
      </c>
      <c r="M26">
        <v>769.26</v>
      </c>
      <c r="N26">
        <v>3</v>
      </c>
      <c r="O26">
        <v>1.0104</v>
      </c>
      <c r="P26">
        <v>2764.29</v>
      </c>
    </row>
    <row r="27" spans="1:16">
      <c r="A27">
        <v>22</v>
      </c>
      <c r="B27">
        <v>6</v>
      </c>
      <c r="C27">
        <v>1.00003</v>
      </c>
      <c r="D27">
        <v>514.94000000000005</v>
      </c>
      <c r="E27">
        <v>93281</v>
      </c>
      <c r="F27">
        <v>1.6819299999999999</v>
      </c>
      <c r="G27">
        <v>1308.51</v>
      </c>
      <c r="H27">
        <v>3</v>
      </c>
      <c r="I27">
        <v>1.8110200000000001</v>
      </c>
      <c r="J27">
        <v>1800.61</v>
      </c>
      <c r="K27">
        <v>6</v>
      </c>
      <c r="L27">
        <v>1</v>
      </c>
      <c r="M27">
        <v>824.38</v>
      </c>
      <c r="N27">
        <v>3</v>
      </c>
      <c r="O27">
        <v>1.0000100000000001</v>
      </c>
      <c r="P27">
        <v>2480.89</v>
      </c>
    </row>
    <row r="28" spans="1:16">
      <c r="A28">
        <v>23</v>
      </c>
      <c r="B28">
        <v>3</v>
      </c>
      <c r="C28">
        <v>1.0000100000000001</v>
      </c>
      <c r="D28">
        <v>492.93</v>
      </c>
      <c r="E28">
        <v>155804</v>
      </c>
      <c r="F28">
        <v>1.5621</v>
      </c>
      <c r="G28">
        <v>1400.83</v>
      </c>
      <c r="H28">
        <v>55805</v>
      </c>
      <c r="I28">
        <v>1.7818099999999999</v>
      </c>
      <c r="J28">
        <v>1886.14</v>
      </c>
      <c r="K28">
        <v>3</v>
      </c>
      <c r="L28">
        <v>1</v>
      </c>
      <c r="M28">
        <v>791.97</v>
      </c>
      <c r="N28">
        <v>3</v>
      </c>
      <c r="O28">
        <v>1.0000100000000001</v>
      </c>
      <c r="P28">
        <v>2605.56</v>
      </c>
    </row>
    <row r="29" spans="1:16">
      <c r="A29">
        <v>24</v>
      </c>
      <c r="B29">
        <v>3</v>
      </c>
      <c r="C29">
        <v>1</v>
      </c>
      <c r="D29">
        <v>490.87</v>
      </c>
      <c r="E29">
        <v>3</v>
      </c>
      <c r="F29">
        <v>1.99997</v>
      </c>
      <c r="G29">
        <v>1274.6099999999999</v>
      </c>
      <c r="H29">
        <v>4</v>
      </c>
      <c r="I29">
        <v>1.0000100000000001</v>
      </c>
      <c r="J29">
        <v>1660.07</v>
      </c>
      <c r="K29">
        <v>3</v>
      </c>
      <c r="L29">
        <v>1</v>
      </c>
      <c r="M29">
        <v>768.81</v>
      </c>
      <c r="N29">
        <v>3</v>
      </c>
      <c r="O29">
        <v>1.9999400000000001</v>
      </c>
      <c r="P29">
        <v>2621.51</v>
      </c>
    </row>
    <row r="30" spans="1:16">
      <c r="A30">
        <v>25</v>
      </c>
      <c r="B30">
        <v>3</v>
      </c>
      <c r="C30">
        <v>1</v>
      </c>
      <c r="D30">
        <v>508.43</v>
      </c>
      <c r="E30">
        <v>164727</v>
      </c>
      <c r="F30">
        <v>1.5483499999999999</v>
      </c>
      <c r="G30">
        <v>1426.71</v>
      </c>
      <c r="H30">
        <v>64727</v>
      </c>
      <c r="I30">
        <v>1.75549</v>
      </c>
      <c r="J30">
        <v>1890.5</v>
      </c>
      <c r="K30">
        <v>3</v>
      </c>
      <c r="L30">
        <v>1</v>
      </c>
      <c r="M30">
        <v>781.94</v>
      </c>
      <c r="N30">
        <v>3</v>
      </c>
      <c r="O30">
        <v>1</v>
      </c>
      <c r="P30">
        <v>2599.0500000000002</v>
      </c>
    </row>
    <row r="31" spans="1:16">
      <c r="A31">
        <v>26</v>
      </c>
      <c r="B31">
        <v>6</v>
      </c>
      <c r="C31">
        <v>1.00003</v>
      </c>
      <c r="D31">
        <v>501.46</v>
      </c>
      <c r="E31">
        <v>4</v>
      </c>
      <c r="F31">
        <v>1.9999499999999999</v>
      </c>
      <c r="G31">
        <v>1326.82</v>
      </c>
      <c r="H31">
        <v>3</v>
      </c>
      <c r="I31">
        <v>1</v>
      </c>
      <c r="J31">
        <v>1678.05</v>
      </c>
      <c r="K31">
        <v>6</v>
      </c>
      <c r="L31">
        <v>1</v>
      </c>
      <c r="M31">
        <v>777.92</v>
      </c>
      <c r="N31">
        <v>3</v>
      </c>
      <c r="O31">
        <v>1.9999100000000001</v>
      </c>
      <c r="P31">
        <v>2605.16</v>
      </c>
    </row>
    <row r="32" spans="1:16">
      <c r="A32">
        <v>27</v>
      </c>
      <c r="B32">
        <v>6</v>
      </c>
      <c r="C32">
        <v>1.00003</v>
      </c>
      <c r="D32">
        <v>505.19</v>
      </c>
      <c r="E32">
        <v>44427</v>
      </c>
      <c r="F32">
        <v>1.81823</v>
      </c>
      <c r="G32">
        <v>1306.55</v>
      </c>
      <c r="H32">
        <v>3</v>
      </c>
      <c r="I32">
        <v>1.0771900000000001</v>
      </c>
      <c r="J32">
        <v>1682.1</v>
      </c>
      <c r="K32">
        <v>6</v>
      </c>
      <c r="L32">
        <v>1</v>
      </c>
      <c r="M32">
        <v>795.13</v>
      </c>
      <c r="N32">
        <v>3</v>
      </c>
      <c r="O32">
        <v>1.0772299999999999</v>
      </c>
      <c r="P32">
        <v>2777.93</v>
      </c>
    </row>
    <row r="33" spans="1:16">
      <c r="A33">
        <v>28</v>
      </c>
      <c r="B33">
        <v>3</v>
      </c>
      <c r="C33">
        <v>1.0000100000000001</v>
      </c>
      <c r="D33">
        <v>468.1</v>
      </c>
      <c r="E33">
        <v>3</v>
      </c>
      <c r="F33">
        <v>1.9999400000000001</v>
      </c>
      <c r="G33">
        <v>1244.9100000000001</v>
      </c>
      <c r="H33">
        <v>4</v>
      </c>
      <c r="I33">
        <v>1.0000100000000001</v>
      </c>
      <c r="J33">
        <v>1687.8</v>
      </c>
      <c r="K33">
        <v>3</v>
      </c>
      <c r="L33">
        <v>1</v>
      </c>
      <c r="M33">
        <v>760.35</v>
      </c>
      <c r="N33">
        <v>3</v>
      </c>
      <c r="O33">
        <v>1.9999100000000001</v>
      </c>
      <c r="P33">
        <v>2620.1799999999998</v>
      </c>
    </row>
    <row r="34" spans="1:16">
      <c r="A34">
        <v>29</v>
      </c>
      <c r="B34">
        <v>6</v>
      </c>
      <c r="C34">
        <v>1.00003</v>
      </c>
      <c r="D34">
        <v>509.18</v>
      </c>
      <c r="E34">
        <v>89340</v>
      </c>
      <c r="F34">
        <v>1.6912100000000001</v>
      </c>
      <c r="G34">
        <v>1323.13</v>
      </c>
      <c r="H34">
        <v>3</v>
      </c>
      <c r="I34">
        <v>1.7109099999999999</v>
      </c>
      <c r="J34">
        <v>1794.29</v>
      </c>
      <c r="K34">
        <v>6</v>
      </c>
      <c r="L34">
        <v>1</v>
      </c>
      <c r="M34">
        <v>804.27</v>
      </c>
      <c r="N34">
        <v>3</v>
      </c>
      <c r="O34">
        <v>1</v>
      </c>
      <c r="P34">
        <v>2528.9899999999998</v>
      </c>
    </row>
    <row r="35" spans="1:16">
      <c r="A35">
        <v>30</v>
      </c>
      <c r="B35">
        <v>3</v>
      </c>
      <c r="C35">
        <v>1</v>
      </c>
      <c r="D35">
        <v>491.02</v>
      </c>
      <c r="E35">
        <v>131388</v>
      </c>
      <c r="F35">
        <v>1.60351</v>
      </c>
      <c r="G35">
        <v>1375.95</v>
      </c>
      <c r="H35">
        <v>31389</v>
      </c>
      <c r="I35">
        <v>1.8643099999999999</v>
      </c>
      <c r="J35">
        <v>1942.69</v>
      </c>
      <c r="K35">
        <v>3</v>
      </c>
      <c r="L35">
        <v>1</v>
      </c>
      <c r="M35">
        <v>783.05</v>
      </c>
      <c r="N35">
        <v>3</v>
      </c>
      <c r="O35">
        <v>1</v>
      </c>
      <c r="P35">
        <v>3021.09</v>
      </c>
    </row>
    <row r="36" spans="1:16">
      <c r="A36">
        <v>31</v>
      </c>
      <c r="B36">
        <v>6</v>
      </c>
      <c r="C36">
        <v>1.00003</v>
      </c>
      <c r="D36">
        <v>557.54999999999995</v>
      </c>
      <c r="E36">
        <v>60913</v>
      </c>
      <c r="F36">
        <v>1.7665299999999999</v>
      </c>
      <c r="G36">
        <v>1309.9100000000001</v>
      </c>
      <c r="H36">
        <v>3</v>
      </c>
      <c r="I36">
        <v>1.1568700000000001</v>
      </c>
      <c r="J36">
        <v>1902.46</v>
      </c>
      <c r="K36">
        <v>6</v>
      </c>
      <c r="L36">
        <v>1</v>
      </c>
      <c r="M36">
        <v>792.45</v>
      </c>
      <c r="N36">
        <v>3</v>
      </c>
      <c r="O36">
        <v>1.0000100000000001</v>
      </c>
      <c r="P36">
        <v>2455.3200000000002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1.00003</v>
      </c>
      <c r="D40" s="1">
        <f t="shared" si="0"/>
        <v>1610.09</v>
      </c>
      <c r="E40" s="1">
        <f t="shared" si="0"/>
        <v>182013</v>
      </c>
      <c r="F40" s="1">
        <f t="shared" si="0"/>
        <v>1.99997</v>
      </c>
      <c r="G40" s="1">
        <f t="shared" si="0"/>
        <v>2705.32</v>
      </c>
      <c r="H40" s="1">
        <f t="shared" si="0"/>
        <v>82013</v>
      </c>
      <c r="I40" s="1">
        <f t="shared" si="0"/>
        <v>1.98085</v>
      </c>
      <c r="J40" s="1">
        <f t="shared" si="0"/>
        <v>3268.59</v>
      </c>
      <c r="K40" s="1">
        <f t="shared" si="0"/>
        <v>6</v>
      </c>
      <c r="L40" s="1">
        <f t="shared" si="0"/>
        <v>1</v>
      </c>
      <c r="M40" s="1">
        <f t="shared" si="0"/>
        <v>1181.06</v>
      </c>
      <c r="N40" s="1">
        <f t="shared" si="0"/>
        <v>3</v>
      </c>
      <c r="O40" s="1">
        <f t="shared" si="0"/>
        <v>1.9999400000000001</v>
      </c>
      <c r="P40" s="1">
        <f t="shared" si="0"/>
        <v>5325.13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468.1</v>
      </c>
      <c r="E41" s="1">
        <f t="shared" si="1"/>
        <v>3</v>
      </c>
      <c r="F41" s="1">
        <f t="shared" si="1"/>
        <v>1.5235399999999999</v>
      </c>
      <c r="G41" s="1">
        <f t="shared" si="1"/>
        <v>1244.9100000000001</v>
      </c>
      <c r="H41" s="1">
        <f t="shared" si="1"/>
        <v>3</v>
      </c>
      <c r="I41" s="1">
        <f t="shared" si="1"/>
        <v>1</v>
      </c>
      <c r="J41" s="1">
        <f t="shared" si="1"/>
        <v>1543.23</v>
      </c>
      <c r="K41" s="1">
        <f t="shared" si="1"/>
        <v>3</v>
      </c>
      <c r="L41" s="1">
        <f t="shared" si="1"/>
        <v>1</v>
      </c>
      <c r="M41" s="1">
        <f t="shared" si="1"/>
        <v>760.35</v>
      </c>
      <c r="N41" s="1">
        <f t="shared" si="1"/>
        <v>3</v>
      </c>
      <c r="O41" s="1">
        <f t="shared" si="1"/>
        <v>1</v>
      </c>
      <c r="P41" s="1">
        <f t="shared" si="1"/>
        <v>2455.3200000000002</v>
      </c>
    </row>
    <row r="42" spans="1:16">
      <c r="A42" t="s">
        <v>13</v>
      </c>
      <c r="B42" s="1">
        <f>MEDIAN(B5:B36)</f>
        <v>3</v>
      </c>
      <c r="C42" s="1">
        <f t="shared" ref="C42:P42" si="2">MEDIAN(C5:C36)</f>
        <v>1.0000100000000001</v>
      </c>
      <c r="D42" s="1">
        <f t="shared" si="2"/>
        <v>503.84000000000003</v>
      </c>
      <c r="E42" s="1">
        <f t="shared" si="2"/>
        <v>91310.5</v>
      </c>
      <c r="F42" s="1">
        <f t="shared" si="2"/>
        <v>1.6865700000000001</v>
      </c>
      <c r="G42" s="1">
        <f t="shared" si="2"/>
        <v>1347.1599999999999</v>
      </c>
      <c r="H42" s="1">
        <f t="shared" si="2"/>
        <v>4</v>
      </c>
      <c r="I42" s="1">
        <f t="shared" si="2"/>
        <v>1.7632300000000001</v>
      </c>
      <c r="J42" s="1">
        <f t="shared" si="2"/>
        <v>1897.04</v>
      </c>
      <c r="K42" s="1">
        <f t="shared" si="2"/>
        <v>3</v>
      </c>
      <c r="L42" s="1">
        <f t="shared" si="2"/>
        <v>1</v>
      </c>
      <c r="M42" s="1">
        <f t="shared" si="2"/>
        <v>795.13499999999999</v>
      </c>
      <c r="N42" s="1">
        <f t="shared" si="2"/>
        <v>3</v>
      </c>
      <c r="O42" s="1">
        <f t="shared" si="2"/>
        <v>1.0000100000000001</v>
      </c>
      <c r="P42" s="1">
        <f t="shared" si="2"/>
        <v>2668.9650000000001</v>
      </c>
    </row>
    <row r="43" spans="1:16">
      <c r="A43" t="s">
        <v>14</v>
      </c>
      <c r="B43" s="1">
        <f>AVERAGE(B5:B36)</f>
        <v>4.40625</v>
      </c>
      <c r="C43" s="1">
        <f t="shared" ref="C43:P43" si="3">AVERAGE(C5:C36)</f>
        <v>1.0000165624999997</v>
      </c>
      <c r="D43" s="1">
        <f t="shared" si="3"/>
        <v>574.83937500000002</v>
      </c>
      <c r="E43" s="1">
        <f t="shared" si="3"/>
        <v>77789.71875</v>
      </c>
      <c r="F43" s="1">
        <f t="shared" si="3"/>
        <v>1.7590503125000001</v>
      </c>
      <c r="G43" s="1">
        <f t="shared" si="3"/>
        <v>1471.7015625000004</v>
      </c>
      <c r="H43" s="1">
        <f t="shared" si="3"/>
        <v>17572.1875</v>
      </c>
      <c r="I43" s="1">
        <f t="shared" si="3"/>
        <v>1.5435990625000002</v>
      </c>
      <c r="J43" s="1">
        <f t="shared" si="3"/>
        <v>1943.0671875</v>
      </c>
      <c r="K43" s="1">
        <f t="shared" si="3"/>
        <v>4.40625</v>
      </c>
      <c r="L43" s="1">
        <f t="shared" si="3"/>
        <v>1</v>
      </c>
      <c r="M43" s="1">
        <f t="shared" si="3"/>
        <v>827.4643749999999</v>
      </c>
      <c r="N43" s="1">
        <f t="shared" si="3"/>
        <v>3</v>
      </c>
      <c r="O43" s="1">
        <f t="shared" si="3"/>
        <v>1.3122071875000001</v>
      </c>
      <c r="P43" s="1">
        <f t="shared" si="3"/>
        <v>2894.2012499999996</v>
      </c>
    </row>
    <row r="44" spans="1:16">
      <c r="A44" t="s">
        <v>15</v>
      </c>
      <c r="B44" s="1">
        <f>STDEV(B5:B36)</f>
        <v>1.521022046032249</v>
      </c>
      <c r="C44" s="1">
        <f t="shared" ref="C44:P44" si="4">STDEV(C5:C36)</f>
        <v>1.3346347815018398E-5</v>
      </c>
      <c r="D44" s="1">
        <f t="shared" si="4"/>
        <v>216.9019551948266</v>
      </c>
      <c r="E44" s="1">
        <f t="shared" si="4"/>
        <v>63185.133047329015</v>
      </c>
      <c r="F44" s="1">
        <f t="shared" si="4"/>
        <v>0.17924066420974569</v>
      </c>
      <c r="G44" s="1">
        <f t="shared" si="4"/>
        <v>363.39468770514173</v>
      </c>
      <c r="H44" s="1">
        <f t="shared" si="4"/>
        <v>23852.108735392769</v>
      </c>
      <c r="I44" s="1">
        <f t="shared" si="4"/>
        <v>0.39228586116923037</v>
      </c>
      <c r="J44" s="1">
        <f t="shared" si="4"/>
        <v>326.69737307744776</v>
      </c>
      <c r="K44" s="1">
        <f t="shared" si="4"/>
        <v>1.521022046032249</v>
      </c>
      <c r="L44" s="1">
        <f t="shared" si="4"/>
        <v>0</v>
      </c>
      <c r="M44" s="1">
        <f t="shared" si="4"/>
        <v>86.047708594916813</v>
      </c>
      <c r="N44" s="1">
        <f t="shared" si="4"/>
        <v>0</v>
      </c>
      <c r="O44" s="1">
        <f t="shared" si="4"/>
        <v>0.44161065846793152</v>
      </c>
      <c r="P44" s="1">
        <f t="shared" si="4"/>
        <v>582.63218843867674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89B3-03C9-DA47-A9FA-6E243CBF952C}"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26</v>
      </c>
      <c r="C1" t="s">
        <v>1</v>
      </c>
      <c r="D1">
        <v>3000003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6</v>
      </c>
      <c r="C5">
        <v>1</v>
      </c>
      <c r="D5">
        <v>13606.86</v>
      </c>
      <c r="E5">
        <v>359725</v>
      </c>
      <c r="F5">
        <v>1.8475600000000001</v>
      </c>
      <c r="G5">
        <v>37373.980000000003</v>
      </c>
      <c r="H5">
        <v>3</v>
      </c>
      <c r="I5">
        <v>1.2063299999999999</v>
      </c>
      <c r="J5">
        <v>29252.48</v>
      </c>
      <c r="K5">
        <v>6</v>
      </c>
      <c r="L5">
        <v>1</v>
      </c>
      <c r="M5">
        <v>25056.37</v>
      </c>
      <c r="N5">
        <v>3</v>
      </c>
      <c r="O5">
        <v>1.2063299999999999</v>
      </c>
      <c r="P5">
        <v>64022.68</v>
      </c>
    </row>
    <row r="6" spans="1:16">
      <c r="A6">
        <v>1</v>
      </c>
      <c r="B6">
        <v>6</v>
      </c>
      <c r="C6">
        <v>1</v>
      </c>
      <c r="D6">
        <v>17365.11</v>
      </c>
      <c r="E6">
        <v>4</v>
      </c>
      <c r="F6">
        <v>2</v>
      </c>
      <c r="G6">
        <v>25096.98</v>
      </c>
      <c r="H6">
        <v>3</v>
      </c>
      <c r="I6">
        <v>1</v>
      </c>
      <c r="J6">
        <v>43283.38</v>
      </c>
      <c r="K6">
        <v>6</v>
      </c>
      <c r="L6">
        <v>1</v>
      </c>
      <c r="M6">
        <v>16270.77</v>
      </c>
      <c r="N6">
        <v>3</v>
      </c>
      <c r="O6">
        <v>1.9999899999999999</v>
      </c>
      <c r="P6">
        <v>67480.509999999995</v>
      </c>
    </row>
    <row r="7" spans="1:16">
      <c r="A7">
        <v>2</v>
      </c>
      <c r="B7">
        <v>6</v>
      </c>
      <c r="C7">
        <v>1</v>
      </c>
      <c r="D7">
        <v>10842.1</v>
      </c>
      <c r="E7">
        <v>61060</v>
      </c>
      <c r="F7">
        <v>1.97037</v>
      </c>
      <c r="G7">
        <v>28530.05</v>
      </c>
      <c r="H7">
        <v>3</v>
      </c>
      <c r="I7">
        <v>1.8273600000000001</v>
      </c>
      <c r="J7">
        <v>28207.52</v>
      </c>
      <c r="K7">
        <v>6</v>
      </c>
      <c r="L7">
        <v>1</v>
      </c>
      <c r="M7">
        <v>15504.2</v>
      </c>
      <c r="N7">
        <v>3</v>
      </c>
      <c r="O7">
        <v>1.8273699999999999</v>
      </c>
      <c r="P7">
        <v>71963.05</v>
      </c>
    </row>
    <row r="8" spans="1:16">
      <c r="A8">
        <v>3</v>
      </c>
      <c r="B8">
        <v>6</v>
      </c>
      <c r="C8">
        <v>1</v>
      </c>
      <c r="D8">
        <v>10983.25</v>
      </c>
      <c r="E8">
        <v>1051560</v>
      </c>
      <c r="F8">
        <v>1.6554</v>
      </c>
      <c r="G8">
        <v>33916.6</v>
      </c>
      <c r="H8">
        <v>51561</v>
      </c>
      <c r="I8">
        <v>1.9748600000000001</v>
      </c>
      <c r="J8">
        <v>34633.629999999997</v>
      </c>
      <c r="K8">
        <v>6</v>
      </c>
      <c r="L8">
        <v>1</v>
      </c>
      <c r="M8">
        <v>27159.88</v>
      </c>
      <c r="N8">
        <v>3</v>
      </c>
      <c r="O8">
        <v>1</v>
      </c>
      <c r="P8">
        <v>60112.41</v>
      </c>
    </row>
    <row r="9" spans="1:16">
      <c r="A9">
        <v>4</v>
      </c>
      <c r="B9">
        <v>3</v>
      </c>
      <c r="C9">
        <v>1</v>
      </c>
      <c r="D9">
        <v>17138.05</v>
      </c>
      <c r="E9">
        <v>3</v>
      </c>
      <c r="F9">
        <v>1.9999899999999999</v>
      </c>
      <c r="G9">
        <v>22775.14</v>
      </c>
      <c r="H9">
        <v>4</v>
      </c>
      <c r="I9">
        <v>1</v>
      </c>
      <c r="J9">
        <v>38495.65</v>
      </c>
      <c r="K9">
        <v>3</v>
      </c>
      <c r="L9">
        <v>1</v>
      </c>
      <c r="M9">
        <v>16870.55</v>
      </c>
      <c r="N9">
        <v>3</v>
      </c>
      <c r="O9">
        <v>1.9999899999999999</v>
      </c>
      <c r="P9">
        <v>62811.12</v>
      </c>
    </row>
    <row r="10" spans="1:16">
      <c r="A10">
        <v>5</v>
      </c>
      <c r="B10">
        <v>6</v>
      </c>
      <c r="C10">
        <v>1</v>
      </c>
      <c r="D10">
        <v>19804.560000000001</v>
      </c>
      <c r="E10">
        <v>814250</v>
      </c>
      <c r="F10">
        <v>1.7106699999999999</v>
      </c>
      <c r="G10">
        <v>24971.21</v>
      </c>
      <c r="H10">
        <v>3</v>
      </c>
      <c r="I10">
        <v>1.5300400000000001</v>
      </c>
      <c r="J10">
        <v>38735.96</v>
      </c>
      <c r="K10">
        <v>6</v>
      </c>
      <c r="L10">
        <v>1</v>
      </c>
      <c r="M10">
        <v>16373.38</v>
      </c>
      <c r="N10">
        <v>3</v>
      </c>
      <c r="O10">
        <v>1</v>
      </c>
      <c r="P10">
        <v>68713.710000000006</v>
      </c>
    </row>
    <row r="11" spans="1:16">
      <c r="A11">
        <v>6</v>
      </c>
      <c r="B11">
        <v>3</v>
      </c>
      <c r="C11">
        <v>1</v>
      </c>
      <c r="D11">
        <v>11384.16</v>
      </c>
      <c r="E11">
        <v>1623173</v>
      </c>
      <c r="F11">
        <v>1.552</v>
      </c>
      <c r="G11">
        <v>31433.24</v>
      </c>
      <c r="H11">
        <v>623173</v>
      </c>
      <c r="I11">
        <v>1.7624299999999999</v>
      </c>
      <c r="J11">
        <v>33442.83</v>
      </c>
      <c r="K11">
        <v>3</v>
      </c>
      <c r="L11">
        <v>1</v>
      </c>
      <c r="M11">
        <v>28630.16</v>
      </c>
      <c r="N11">
        <v>3</v>
      </c>
      <c r="O11">
        <v>1</v>
      </c>
      <c r="P11">
        <v>68137.87</v>
      </c>
    </row>
    <row r="12" spans="1:16">
      <c r="A12">
        <v>7</v>
      </c>
      <c r="B12">
        <v>3</v>
      </c>
      <c r="C12">
        <v>1</v>
      </c>
      <c r="D12">
        <v>19646.37</v>
      </c>
      <c r="E12">
        <v>1486559</v>
      </c>
      <c r="F12">
        <v>1.5736300000000001</v>
      </c>
      <c r="G12">
        <v>28420.83</v>
      </c>
      <c r="H12">
        <v>486559</v>
      </c>
      <c r="I12">
        <v>1.8043199999999999</v>
      </c>
      <c r="J12">
        <v>47859.41</v>
      </c>
      <c r="K12">
        <v>3</v>
      </c>
      <c r="L12">
        <v>1</v>
      </c>
      <c r="M12">
        <v>18227.7</v>
      </c>
      <c r="N12">
        <v>3</v>
      </c>
      <c r="O12">
        <v>1</v>
      </c>
      <c r="P12">
        <v>68929.259999999995</v>
      </c>
    </row>
    <row r="13" spans="1:16">
      <c r="A13">
        <v>8</v>
      </c>
      <c r="B13">
        <v>3</v>
      </c>
      <c r="C13">
        <v>1</v>
      </c>
      <c r="D13">
        <v>11204.39</v>
      </c>
      <c r="E13">
        <v>4</v>
      </c>
      <c r="F13">
        <v>2</v>
      </c>
      <c r="G13">
        <v>30265.16</v>
      </c>
      <c r="H13">
        <v>3</v>
      </c>
      <c r="I13">
        <v>1</v>
      </c>
      <c r="J13">
        <v>29437.24</v>
      </c>
      <c r="K13">
        <v>3</v>
      </c>
      <c r="L13">
        <v>1</v>
      </c>
      <c r="M13">
        <v>16704.84</v>
      </c>
      <c r="N13">
        <v>3</v>
      </c>
      <c r="O13">
        <v>1.9999899999999999</v>
      </c>
      <c r="P13">
        <v>71672.14</v>
      </c>
    </row>
    <row r="14" spans="1:16">
      <c r="A14">
        <v>9</v>
      </c>
      <c r="B14">
        <v>3</v>
      </c>
      <c r="C14">
        <v>1</v>
      </c>
      <c r="D14">
        <v>14861.23</v>
      </c>
      <c r="E14">
        <v>1592935</v>
      </c>
      <c r="F14">
        <v>1.5566500000000001</v>
      </c>
      <c r="G14">
        <v>36388.1</v>
      </c>
      <c r="H14">
        <v>592935</v>
      </c>
      <c r="I14">
        <v>1.7713300000000001</v>
      </c>
      <c r="J14">
        <v>32519.24</v>
      </c>
      <c r="K14">
        <v>3</v>
      </c>
      <c r="L14">
        <v>1</v>
      </c>
      <c r="M14">
        <v>26721.98</v>
      </c>
      <c r="N14">
        <v>3</v>
      </c>
      <c r="O14">
        <v>1</v>
      </c>
      <c r="P14">
        <v>63236.36</v>
      </c>
    </row>
    <row r="15" spans="1:16">
      <c r="A15">
        <v>10</v>
      </c>
      <c r="B15">
        <v>3</v>
      </c>
      <c r="C15">
        <v>1</v>
      </c>
      <c r="D15">
        <v>8555.5300000000007</v>
      </c>
      <c r="E15">
        <v>3</v>
      </c>
      <c r="F15">
        <v>2</v>
      </c>
      <c r="G15">
        <v>29516.78</v>
      </c>
      <c r="H15">
        <v>4</v>
      </c>
      <c r="I15">
        <v>1</v>
      </c>
      <c r="J15">
        <v>27947.06</v>
      </c>
      <c r="K15">
        <v>3</v>
      </c>
      <c r="L15">
        <v>1</v>
      </c>
      <c r="M15">
        <v>13850</v>
      </c>
      <c r="N15">
        <v>3</v>
      </c>
      <c r="O15">
        <v>1.9999899999999999</v>
      </c>
      <c r="P15">
        <v>67668.179999999993</v>
      </c>
    </row>
    <row r="16" spans="1:16">
      <c r="A16">
        <v>11</v>
      </c>
      <c r="B16">
        <v>6</v>
      </c>
      <c r="C16">
        <v>1</v>
      </c>
      <c r="D16">
        <v>11434.59</v>
      </c>
      <c r="E16">
        <v>680644</v>
      </c>
      <c r="F16">
        <v>1.7460899999999999</v>
      </c>
      <c r="G16">
        <v>29171.55</v>
      </c>
      <c r="H16">
        <v>3</v>
      </c>
      <c r="I16">
        <v>1.27383</v>
      </c>
      <c r="J16">
        <v>29597.22</v>
      </c>
      <c r="K16">
        <v>6</v>
      </c>
      <c r="L16">
        <v>1</v>
      </c>
      <c r="M16">
        <v>27043.54</v>
      </c>
      <c r="N16">
        <v>3</v>
      </c>
      <c r="O16">
        <v>1</v>
      </c>
      <c r="P16">
        <v>56483.63</v>
      </c>
    </row>
    <row r="17" spans="1:16">
      <c r="A17">
        <v>12</v>
      </c>
      <c r="B17">
        <v>3</v>
      </c>
      <c r="C17">
        <v>1</v>
      </c>
      <c r="D17">
        <v>21973.07</v>
      </c>
      <c r="E17">
        <v>1952883</v>
      </c>
      <c r="F17">
        <v>1.50596</v>
      </c>
      <c r="G17">
        <v>28259</v>
      </c>
      <c r="H17">
        <v>952883</v>
      </c>
      <c r="I17">
        <v>1.6773</v>
      </c>
      <c r="J17">
        <v>46596.66</v>
      </c>
      <c r="K17">
        <v>3</v>
      </c>
      <c r="L17">
        <v>1</v>
      </c>
      <c r="M17">
        <v>19181.5</v>
      </c>
      <c r="N17">
        <v>3</v>
      </c>
      <c r="O17">
        <v>1</v>
      </c>
      <c r="P17">
        <v>70812.490000000005</v>
      </c>
    </row>
    <row r="18" spans="1:16">
      <c r="A18">
        <v>13</v>
      </c>
      <c r="B18">
        <v>6</v>
      </c>
      <c r="C18">
        <v>1</v>
      </c>
      <c r="D18">
        <v>10335.799999999999</v>
      </c>
      <c r="E18">
        <v>4</v>
      </c>
      <c r="F18">
        <v>2</v>
      </c>
      <c r="G18">
        <v>27918.2</v>
      </c>
      <c r="H18">
        <v>3</v>
      </c>
      <c r="I18">
        <v>1</v>
      </c>
      <c r="J18">
        <v>27863.61</v>
      </c>
      <c r="K18">
        <v>6</v>
      </c>
      <c r="L18">
        <v>1</v>
      </c>
      <c r="M18">
        <v>16051.83</v>
      </c>
      <c r="N18">
        <v>3</v>
      </c>
      <c r="O18">
        <v>1.9999899999999999</v>
      </c>
      <c r="P18">
        <v>67718.3</v>
      </c>
    </row>
    <row r="19" spans="1:16">
      <c r="A19">
        <v>14</v>
      </c>
      <c r="B19">
        <v>3</v>
      </c>
      <c r="C19">
        <v>1</v>
      </c>
      <c r="D19">
        <v>10981.31</v>
      </c>
      <c r="E19">
        <v>3</v>
      </c>
      <c r="F19">
        <v>1.9999899999999999</v>
      </c>
      <c r="G19">
        <v>27351.66</v>
      </c>
      <c r="H19">
        <v>4</v>
      </c>
      <c r="I19">
        <v>1</v>
      </c>
      <c r="J19">
        <v>31246.55</v>
      </c>
      <c r="K19">
        <v>3</v>
      </c>
      <c r="L19">
        <v>1</v>
      </c>
      <c r="M19">
        <v>26995.8</v>
      </c>
      <c r="N19">
        <v>3</v>
      </c>
      <c r="O19">
        <v>1.9999899999999999</v>
      </c>
      <c r="P19">
        <v>58680.160000000003</v>
      </c>
    </row>
    <row r="20" spans="1:16">
      <c r="A20">
        <v>15</v>
      </c>
      <c r="B20">
        <v>6</v>
      </c>
      <c r="C20">
        <v>1</v>
      </c>
      <c r="D20">
        <v>11442.79</v>
      </c>
      <c r="E20">
        <v>4</v>
      </c>
      <c r="F20">
        <v>2</v>
      </c>
      <c r="G20">
        <v>29063.81</v>
      </c>
      <c r="H20">
        <v>3</v>
      </c>
      <c r="I20">
        <v>1</v>
      </c>
      <c r="J20">
        <v>28793.8</v>
      </c>
      <c r="K20">
        <v>6</v>
      </c>
      <c r="L20">
        <v>1</v>
      </c>
      <c r="M20">
        <v>23988.49</v>
      </c>
      <c r="N20">
        <v>3</v>
      </c>
      <c r="O20">
        <v>1.9999899999999999</v>
      </c>
      <c r="P20">
        <v>65031.15</v>
      </c>
    </row>
    <row r="21" spans="1:16">
      <c r="A21">
        <v>16</v>
      </c>
      <c r="B21">
        <v>6</v>
      </c>
      <c r="C21">
        <v>1</v>
      </c>
      <c r="D21">
        <v>10412.450000000001</v>
      </c>
      <c r="E21">
        <v>4</v>
      </c>
      <c r="F21">
        <v>2</v>
      </c>
      <c r="G21">
        <v>28228.880000000001</v>
      </c>
      <c r="H21">
        <v>3</v>
      </c>
      <c r="I21">
        <v>1</v>
      </c>
      <c r="J21">
        <v>30505.87</v>
      </c>
      <c r="K21">
        <v>6</v>
      </c>
      <c r="L21">
        <v>1</v>
      </c>
      <c r="M21">
        <v>27904.48</v>
      </c>
      <c r="N21">
        <v>3</v>
      </c>
      <c r="O21">
        <v>1.9999899999999999</v>
      </c>
      <c r="P21">
        <v>59439.49</v>
      </c>
    </row>
    <row r="22" spans="1:16">
      <c r="A22">
        <v>17</v>
      </c>
      <c r="B22">
        <v>3</v>
      </c>
      <c r="C22">
        <v>1</v>
      </c>
      <c r="D22">
        <v>11010.88</v>
      </c>
      <c r="E22">
        <v>4</v>
      </c>
      <c r="F22">
        <v>2</v>
      </c>
      <c r="G22">
        <v>30537.919999999998</v>
      </c>
      <c r="H22">
        <v>3</v>
      </c>
      <c r="I22">
        <v>1</v>
      </c>
      <c r="J22">
        <v>31333.32</v>
      </c>
      <c r="K22">
        <v>3</v>
      </c>
      <c r="L22">
        <v>1</v>
      </c>
      <c r="M22">
        <v>15759.42</v>
      </c>
      <c r="N22">
        <v>3</v>
      </c>
      <c r="O22">
        <v>1.9999899999999999</v>
      </c>
      <c r="P22">
        <v>67045.69</v>
      </c>
    </row>
    <row r="23" spans="1:16">
      <c r="A23">
        <v>18</v>
      </c>
      <c r="B23">
        <v>6</v>
      </c>
      <c r="C23">
        <v>1</v>
      </c>
      <c r="D23">
        <v>9820.2000000000007</v>
      </c>
      <c r="E23">
        <v>3</v>
      </c>
      <c r="F23">
        <v>1.9999899999999999</v>
      </c>
      <c r="G23">
        <v>27721.91</v>
      </c>
      <c r="H23">
        <v>4</v>
      </c>
      <c r="I23">
        <v>1</v>
      </c>
      <c r="J23">
        <v>29008.42</v>
      </c>
      <c r="K23">
        <v>6</v>
      </c>
      <c r="L23">
        <v>1</v>
      </c>
      <c r="M23">
        <v>27186.19</v>
      </c>
      <c r="N23">
        <v>3</v>
      </c>
      <c r="O23">
        <v>1.9999899999999999</v>
      </c>
      <c r="P23">
        <v>58608.02</v>
      </c>
    </row>
    <row r="24" spans="1:16">
      <c r="A24">
        <v>19</v>
      </c>
      <c r="B24">
        <v>3</v>
      </c>
      <c r="C24">
        <v>1</v>
      </c>
      <c r="D24">
        <v>11284.46</v>
      </c>
      <c r="E24">
        <v>1282878</v>
      </c>
      <c r="F24">
        <v>1.6092200000000001</v>
      </c>
      <c r="G24">
        <v>32578.38</v>
      </c>
      <c r="H24">
        <v>282879</v>
      </c>
      <c r="I24">
        <v>1.87608</v>
      </c>
      <c r="J24">
        <v>33341.379999999997</v>
      </c>
      <c r="K24">
        <v>3</v>
      </c>
      <c r="L24">
        <v>1</v>
      </c>
      <c r="M24">
        <v>26008.560000000001</v>
      </c>
      <c r="N24">
        <v>3</v>
      </c>
      <c r="O24">
        <v>1</v>
      </c>
      <c r="P24">
        <v>72844.72</v>
      </c>
    </row>
    <row r="25" spans="1:16">
      <c r="A25">
        <v>20</v>
      </c>
      <c r="B25">
        <v>6</v>
      </c>
      <c r="C25">
        <v>1</v>
      </c>
      <c r="D25">
        <v>15748.52</v>
      </c>
      <c r="E25">
        <v>270073</v>
      </c>
      <c r="F25">
        <v>1.88103</v>
      </c>
      <c r="G25">
        <v>24422.99</v>
      </c>
      <c r="H25">
        <v>3</v>
      </c>
      <c r="I25">
        <v>1.3620699999999999</v>
      </c>
      <c r="J25">
        <v>38490.28</v>
      </c>
      <c r="K25">
        <v>6</v>
      </c>
      <c r="L25">
        <v>1</v>
      </c>
      <c r="M25">
        <v>16619.46</v>
      </c>
      <c r="N25">
        <v>3</v>
      </c>
      <c r="O25">
        <v>1.36208</v>
      </c>
      <c r="P25">
        <v>65623.53</v>
      </c>
    </row>
    <row r="26" spans="1:16">
      <c r="A26">
        <v>21</v>
      </c>
      <c r="B26">
        <v>6</v>
      </c>
      <c r="C26">
        <v>1</v>
      </c>
      <c r="D26">
        <v>20334.91</v>
      </c>
      <c r="E26">
        <v>1096373</v>
      </c>
      <c r="F26">
        <v>1.64592</v>
      </c>
      <c r="G26">
        <v>28542.39</v>
      </c>
      <c r="H26">
        <v>96373</v>
      </c>
      <c r="I26">
        <v>1.9540299999999999</v>
      </c>
      <c r="J26">
        <v>43363.199999999997</v>
      </c>
      <c r="K26">
        <v>6</v>
      </c>
      <c r="L26">
        <v>1</v>
      </c>
      <c r="M26">
        <v>17154.53</v>
      </c>
      <c r="N26">
        <v>3</v>
      </c>
      <c r="O26">
        <v>1</v>
      </c>
      <c r="P26">
        <v>71977.27</v>
      </c>
    </row>
    <row r="27" spans="1:16">
      <c r="A27">
        <v>22</v>
      </c>
      <c r="B27">
        <v>6</v>
      </c>
      <c r="C27">
        <v>1</v>
      </c>
      <c r="D27">
        <v>9455.0499999999993</v>
      </c>
      <c r="E27">
        <v>3</v>
      </c>
      <c r="F27">
        <v>1.9999899999999999</v>
      </c>
      <c r="G27">
        <v>32240.799999999999</v>
      </c>
      <c r="H27">
        <v>4</v>
      </c>
      <c r="I27">
        <v>1</v>
      </c>
      <c r="J27">
        <v>31014.28</v>
      </c>
      <c r="K27">
        <v>6</v>
      </c>
      <c r="L27">
        <v>1</v>
      </c>
      <c r="M27">
        <v>17232.849999999999</v>
      </c>
      <c r="N27">
        <v>3</v>
      </c>
      <c r="O27">
        <v>1.9999899999999999</v>
      </c>
      <c r="P27">
        <v>68772.009999999995</v>
      </c>
    </row>
    <row r="28" spans="1:16">
      <c r="A28">
        <v>23</v>
      </c>
      <c r="B28">
        <v>3</v>
      </c>
      <c r="C28">
        <v>1</v>
      </c>
      <c r="D28">
        <v>10747.33</v>
      </c>
      <c r="E28">
        <v>3</v>
      </c>
      <c r="F28">
        <v>1.9999899999999999</v>
      </c>
      <c r="G28">
        <v>28831.56</v>
      </c>
      <c r="H28">
        <v>4</v>
      </c>
      <c r="I28">
        <v>1</v>
      </c>
      <c r="J28">
        <v>29152.07</v>
      </c>
      <c r="K28">
        <v>3</v>
      </c>
      <c r="L28">
        <v>1</v>
      </c>
      <c r="M28">
        <v>15046.82</v>
      </c>
      <c r="N28">
        <v>3</v>
      </c>
      <c r="O28">
        <v>1.9999899999999999</v>
      </c>
      <c r="P28">
        <v>74588.23</v>
      </c>
    </row>
    <row r="29" spans="1:16">
      <c r="A29">
        <v>24</v>
      </c>
      <c r="B29">
        <v>6</v>
      </c>
      <c r="C29">
        <v>1</v>
      </c>
      <c r="D29">
        <v>19153.23</v>
      </c>
      <c r="E29">
        <v>484285</v>
      </c>
      <c r="F29">
        <v>1.8050600000000001</v>
      </c>
      <c r="G29">
        <v>23992.39</v>
      </c>
      <c r="H29">
        <v>3</v>
      </c>
      <c r="I29">
        <v>1.02118</v>
      </c>
      <c r="J29">
        <v>39460.410000000003</v>
      </c>
      <c r="K29">
        <v>6</v>
      </c>
      <c r="L29">
        <v>1</v>
      </c>
      <c r="M29">
        <v>16254.76</v>
      </c>
      <c r="N29">
        <v>3</v>
      </c>
      <c r="O29">
        <v>1.02118</v>
      </c>
      <c r="P29">
        <v>54255.61</v>
      </c>
    </row>
    <row r="30" spans="1:16">
      <c r="A30">
        <v>25</v>
      </c>
      <c r="B30">
        <v>6</v>
      </c>
      <c r="C30">
        <v>1</v>
      </c>
      <c r="D30">
        <v>15019.87</v>
      </c>
      <c r="E30">
        <v>244797</v>
      </c>
      <c r="F30">
        <v>1.8909499999999999</v>
      </c>
      <c r="G30">
        <v>23927.9</v>
      </c>
      <c r="H30">
        <v>3</v>
      </c>
      <c r="I30">
        <v>1.4100299999999999</v>
      </c>
      <c r="J30">
        <v>47941.760000000002</v>
      </c>
      <c r="K30">
        <v>6</v>
      </c>
      <c r="L30">
        <v>1</v>
      </c>
      <c r="M30">
        <v>18615.330000000002</v>
      </c>
      <c r="N30">
        <v>3</v>
      </c>
      <c r="O30">
        <v>1.41004</v>
      </c>
      <c r="P30">
        <v>74799.14</v>
      </c>
    </row>
    <row r="31" spans="1:16">
      <c r="A31">
        <v>26</v>
      </c>
      <c r="B31">
        <v>3</v>
      </c>
      <c r="C31">
        <v>1</v>
      </c>
      <c r="D31">
        <v>12865.53</v>
      </c>
      <c r="E31">
        <v>3</v>
      </c>
      <c r="F31">
        <v>2</v>
      </c>
      <c r="G31">
        <v>28845.08</v>
      </c>
      <c r="H31">
        <v>4</v>
      </c>
      <c r="I31">
        <v>1</v>
      </c>
      <c r="J31">
        <v>30413.05</v>
      </c>
      <c r="K31">
        <v>3</v>
      </c>
      <c r="L31">
        <v>1</v>
      </c>
      <c r="M31">
        <v>15191.04</v>
      </c>
      <c r="N31">
        <v>3</v>
      </c>
      <c r="O31">
        <v>1.9999899999999999</v>
      </c>
      <c r="P31">
        <v>74562.11</v>
      </c>
    </row>
    <row r="32" spans="1:16">
      <c r="A32">
        <v>27</v>
      </c>
      <c r="B32">
        <v>6</v>
      </c>
      <c r="C32">
        <v>1</v>
      </c>
      <c r="D32">
        <v>11532.34</v>
      </c>
      <c r="E32">
        <v>367070</v>
      </c>
      <c r="F32">
        <v>1.8449199999999999</v>
      </c>
      <c r="G32">
        <v>33024.47</v>
      </c>
      <c r="H32">
        <v>3</v>
      </c>
      <c r="I32">
        <v>1.19448</v>
      </c>
      <c r="J32">
        <v>31204.83</v>
      </c>
      <c r="K32">
        <v>6</v>
      </c>
      <c r="L32">
        <v>1</v>
      </c>
      <c r="M32">
        <v>15178.43</v>
      </c>
      <c r="N32">
        <v>3</v>
      </c>
      <c r="O32">
        <v>1.19448</v>
      </c>
      <c r="P32">
        <v>73547.16</v>
      </c>
    </row>
    <row r="33" spans="1:16">
      <c r="A33">
        <v>28</v>
      </c>
      <c r="B33">
        <v>6</v>
      </c>
      <c r="C33">
        <v>1</v>
      </c>
      <c r="D33">
        <v>10193.57</v>
      </c>
      <c r="E33">
        <v>779041</v>
      </c>
      <c r="F33">
        <v>1.71967</v>
      </c>
      <c r="G33">
        <v>29816.799999999999</v>
      </c>
      <c r="H33">
        <v>3</v>
      </c>
      <c r="I33">
        <v>1.4570799999999999</v>
      </c>
      <c r="J33">
        <v>34563.07</v>
      </c>
      <c r="K33">
        <v>6</v>
      </c>
      <c r="L33">
        <v>1</v>
      </c>
      <c r="M33">
        <v>16816.82</v>
      </c>
      <c r="N33">
        <v>3</v>
      </c>
      <c r="O33">
        <v>1</v>
      </c>
      <c r="P33">
        <v>68685.279999999999</v>
      </c>
    </row>
    <row r="34" spans="1:16">
      <c r="A34">
        <v>29</v>
      </c>
      <c r="B34">
        <v>6</v>
      </c>
      <c r="C34">
        <v>1</v>
      </c>
      <c r="D34">
        <v>9705.19</v>
      </c>
      <c r="E34">
        <v>595469</v>
      </c>
      <c r="F34">
        <v>1.77057</v>
      </c>
      <c r="G34">
        <v>29509.64</v>
      </c>
      <c r="H34">
        <v>3</v>
      </c>
      <c r="I34">
        <v>1.1359399999999999</v>
      </c>
      <c r="J34">
        <v>31235.88</v>
      </c>
      <c r="K34">
        <v>6</v>
      </c>
      <c r="L34">
        <v>1</v>
      </c>
      <c r="M34">
        <v>24834.67</v>
      </c>
      <c r="N34">
        <v>3</v>
      </c>
      <c r="O34">
        <v>1</v>
      </c>
      <c r="P34">
        <v>59161.05</v>
      </c>
    </row>
    <row r="35" spans="1:16">
      <c r="A35">
        <v>30</v>
      </c>
      <c r="B35">
        <v>6</v>
      </c>
      <c r="C35">
        <v>1</v>
      </c>
      <c r="D35">
        <v>9398.27</v>
      </c>
      <c r="E35">
        <v>695337</v>
      </c>
      <c r="F35">
        <v>1.7420199999999999</v>
      </c>
      <c r="G35">
        <v>29868.720000000001</v>
      </c>
      <c r="H35">
        <v>3</v>
      </c>
      <c r="I35">
        <v>1.2994399999999999</v>
      </c>
      <c r="J35">
        <v>30976.17</v>
      </c>
      <c r="K35">
        <v>6</v>
      </c>
      <c r="L35">
        <v>1</v>
      </c>
      <c r="M35">
        <v>25616.7</v>
      </c>
      <c r="N35">
        <v>3</v>
      </c>
      <c r="O35">
        <v>1</v>
      </c>
      <c r="P35">
        <v>66890.19</v>
      </c>
    </row>
    <row r="36" spans="1:16">
      <c r="A36">
        <v>31</v>
      </c>
      <c r="B36">
        <v>3</v>
      </c>
      <c r="C36">
        <v>1</v>
      </c>
      <c r="D36">
        <v>19538.16</v>
      </c>
      <c r="E36">
        <v>3</v>
      </c>
      <c r="F36">
        <v>2</v>
      </c>
      <c r="G36">
        <v>24501.71</v>
      </c>
      <c r="H36">
        <v>4</v>
      </c>
      <c r="I36">
        <v>1</v>
      </c>
      <c r="J36">
        <v>28302.14</v>
      </c>
      <c r="K36">
        <v>3</v>
      </c>
      <c r="L36">
        <v>1</v>
      </c>
      <c r="M36">
        <v>24766.14</v>
      </c>
      <c r="N36">
        <v>3</v>
      </c>
      <c r="O36">
        <v>1.9999899999999999</v>
      </c>
      <c r="P36">
        <v>60146.12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</v>
      </c>
      <c r="D40" s="1">
        <f t="shared" si="0"/>
        <v>21973.07</v>
      </c>
      <c r="E40" s="1">
        <f t="shared" si="0"/>
        <v>1952883</v>
      </c>
      <c r="F40" s="1">
        <f t="shared" si="0"/>
        <v>2</v>
      </c>
      <c r="G40" s="1">
        <f t="shared" si="0"/>
        <v>37373.980000000003</v>
      </c>
      <c r="H40" s="1">
        <f t="shared" si="0"/>
        <v>952883</v>
      </c>
      <c r="I40" s="1">
        <f t="shared" si="0"/>
        <v>1.9748600000000001</v>
      </c>
      <c r="J40" s="1">
        <f t="shared" si="0"/>
        <v>47941.760000000002</v>
      </c>
      <c r="K40" s="1">
        <f t="shared" si="0"/>
        <v>6</v>
      </c>
      <c r="L40" s="1">
        <f t="shared" si="0"/>
        <v>1</v>
      </c>
      <c r="M40" s="1">
        <f t="shared" si="0"/>
        <v>28630.16</v>
      </c>
      <c r="N40" s="1">
        <f t="shared" si="0"/>
        <v>3</v>
      </c>
      <c r="O40" s="1">
        <f t="shared" si="0"/>
        <v>1.9999899999999999</v>
      </c>
      <c r="P40" s="1">
        <f t="shared" si="0"/>
        <v>74799.14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8555.5300000000007</v>
      </c>
      <c r="E41" s="1">
        <f t="shared" si="1"/>
        <v>3</v>
      </c>
      <c r="F41" s="1">
        <f t="shared" si="1"/>
        <v>1.50596</v>
      </c>
      <c r="G41" s="1">
        <f t="shared" si="1"/>
        <v>22775.14</v>
      </c>
      <c r="H41" s="1">
        <f t="shared" si="1"/>
        <v>3</v>
      </c>
      <c r="I41" s="1">
        <f t="shared" si="1"/>
        <v>1</v>
      </c>
      <c r="J41" s="1">
        <f t="shared" si="1"/>
        <v>27863.61</v>
      </c>
      <c r="K41" s="1">
        <f t="shared" si="1"/>
        <v>3</v>
      </c>
      <c r="L41" s="1">
        <f t="shared" si="1"/>
        <v>1</v>
      </c>
      <c r="M41" s="1">
        <f t="shared" si="1"/>
        <v>13850</v>
      </c>
      <c r="N41" s="1">
        <f t="shared" si="1"/>
        <v>3</v>
      </c>
      <c r="O41" s="1">
        <f t="shared" si="1"/>
        <v>1</v>
      </c>
      <c r="P41" s="1">
        <f t="shared" si="1"/>
        <v>54255.61</v>
      </c>
    </row>
    <row r="42" spans="1:16">
      <c r="A42" t="s">
        <v>13</v>
      </c>
      <c r="B42" s="1">
        <f>MEDIAN(B5:B36)</f>
        <v>6</v>
      </c>
      <c r="C42" s="1">
        <f t="shared" ref="C42:P42" si="2">MEDIAN(C5:C36)</f>
        <v>1</v>
      </c>
      <c r="D42" s="1">
        <f t="shared" si="2"/>
        <v>11409.375</v>
      </c>
      <c r="E42" s="1">
        <f t="shared" si="2"/>
        <v>257435</v>
      </c>
      <c r="F42" s="1">
        <f t="shared" si="2"/>
        <v>1.8859900000000001</v>
      </c>
      <c r="G42" s="1">
        <f t="shared" si="2"/>
        <v>28838.32</v>
      </c>
      <c r="H42" s="1">
        <f t="shared" si="2"/>
        <v>3</v>
      </c>
      <c r="I42" s="1">
        <f t="shared" si="2"/>
        <v>1.1652100000000001</v>
      </c>
      <c r="J42" s="1">
        <f t="shared" si="2"/>
        <v>31241.215</v>
      </c>
      <c r="K42" s="1">
        <f t="shared" si="2"/>
        <v>6</v>
      </c>
      <c r="L42" s="1">
        <f t="shared" si="2"/>
        <v>1</v>
      </c>
      <c r="M42" s="1">
        <f t="shared" si="2"/>
        <v>17730.275000000001</v>
      </c>
      <c r="N42" s="1">
        <f t="shared" si="2"/>
        <v>3</v>
      </c>
      <c r="O42" s="1">
        <f t="shared" si="2"/>
        <v>1.3860600000000001</v>
      </c>
      <c r="P42" s="1">
        <f t="shared" si="2"/>
        <v>67574.345000000001</v>
      </c>
    </row>
    <row r="43" spans="1:16">
      <c r="A43" t="s">
        <v>14</v>
      </c>
      <c r="B43" s="1">
        <f>AVERAGE(B5:B36)</f>
        <v>4.78125</v>
      </c>
      <c r="C43" s="1">
        <f t="shared" ref="C43:P43" si="3">AVERAGE(C5:C36)</f>
        <v>1</v>
      </c>
      <c r="D43" s="1">
        <f t="shared" si="3"/>
        <v>13368.097812500002</v>
      </c>
      <c r="E43" s="1">
        <f t="shared" si="3"/>
        <v>482442.5</v>
      </c>
      <c r="F43" s="1">
        <f t="shared" si="3"/>
        <v>1.8446137499999997</v>
      </c>
      <c r="G43" s="1">
        <f t="shared" si="3"/>
        <v>28970.119687500002</v>
      </c>
      <c r="H43" s="1">
        <f t="shared" si="3"/>
        <v>96451.4375</v>
      </c>
      <c r="I43" s="1">
        <f t="shared" si="3"/>
        <v>1.2980665624999996</v>
      </c>
      <c r="J43" s="1">
        <f t="shared" si="3"/>
        <v>34006.824062499996</v>
      </c>
      <c r="K43" s="1">
        <f t="shared" si="3"/>
        <v>4.78125</v>
      </c>
      <c r="L43" s="1">
        <f t="shared" si="3"/>
        <v>1</v>
      </c>
      <c r="M43" s="1">
        <f t="shared" si="3"/>
        <v>20463.037187500002</v>
      </c>
      <c r="N43" s="1">
        <f t="shared" si="3"/>
        <v>3</v>
      </c>
      <c r="O43" s="1">
        <f t="shared" si="3"/>
        <v>1.5006668749999998</v>
      </c>
      <c r="P43" s="1">
        <f t="shared" si="3"/>
        <v>66388.082500000004</v>
      </c>
    </row>
    <row r="44" spans="1:16">
      <c r="A44" t="s">
        <v>15</v>
      </c>
      <c r="B44" s="1">
        <f>STDEV(B5:B36)</f>
        <v>1.4969727517075382</v>
      </c>
      <c r="C44" s="1">
        <f t="shared" ref="C44:P44" si="4">STDEV(C5:C36)</f>
        <v>0</v>
      </c>
      <c r="D44" s="1">
        <f t="shared" si="4"/>
        <v>3927.9641153670336</v>
      </c>
      <c r="E44" s="1">
        <f t="shared" si="4"/>
        <v>593182.63065515307</v>
      </c>
      <c r="F44" s="1">
        <f t="shared" si="4"/>
        <v>0.17090805652596913</v>
      </c>
      <c r="G44" s="1">
        <f t="shared" si="4"/>
        <v>3454.3413744758714</v>
      </c>
      <c r="H44" s="1">
        <f t="shared" si="4"/>
        <v>232720.02018415197</v>
      </c>
      <c r="I44" s="1">
        <f t="shared" si="4"/>
        <v>0.35032416382369536</v>
      </c>
      <c r="J44" s="1">
        <f t="shared" si="4"/>
        <v>6135.8577237174104</v>
      </c>
      <c r="K44" s="1">
        <f t="shared" si="4"/>
        <v>1.4969727517075382</v>
      </c>
      <c r="L44" s="1">
        <f t="shared" si="4"/>
        <v>0</v>
      </c>
      <c r="M44" s="1">
        <f t="shared" si="4"/>
        <v>5077.6271472679418</v>
      </c>
      <c r="N44" s="1">
        <f t="shared" si="4"/>
        <v>0</v>
      </c>
      <c r="O44" s="1">
        <f t="shared" si="4"/>
        <v>0.47664772773108871</v>
      </c>
      <c r="P44" s="1">
        <f t="shared" si="4"/>
        <v>5718.0480249300499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workbookViewId="0">
      <selection activeCell="K12" sqref="K12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6.832031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17</v>
      </c>
      <c r="C1" t="s">
        <v>7</v>
      </c>
      <c r="M1" t="s">
        <v>8</v>
      </c>
      <c r="W1" t="s">
        <v>9</v>
      </c>
    </row>
    <row r="2" spans="1:34">
      <c r="A2">
        <v>6</v>
      </c>
      <c r="C2" s="4" t="s">
        <v>4</v>
      </c>
      <c r="D2" s="4"/>
      <c r="E2" s="4" t="s">
        <v>5</v>
      </c>
      <c r="F2" s="4"/>
      <c r="G2" t="s">
        <v>19</v>
      </c>
      <c r="I2" s="4" t="s">
        <v>6</v>
      </c>
      <c r="J2" s="4"/>
      <c r="K2" t="s">
        <v>20</v>
      </c>
      <c r="M2" s="4" t="s">
        <v>4</v>
      </c>
      <c r="N2" s="4"/>
      <c r="O2" s="4" t="s">
        <v>5</v>
      </c>
      <c r="P2" s="4"/>
      <c r="Q2" t="s">
        <v>19</v>
      </c>
      <c r="S2" s="4" t="s">
        <v>6</v>
      </c>
      <c r="T2" s="4"/>
      <c r="U2" t="s">
        <v>20</v>
      </c>
      <c r="W2" s="4" t="s">
        <v>4</v>
      </c>
      <c r="X2" s="4"/>
      <c r="Y2" s="4" t="s">
        <v>5</v>
      </c>
      <c r="Z2" s="4"/>
      <c r="AA2" t="s">
        <v>19</v>
      </c>
      <c r="AC2" s="4" t="s">
        <v>6</v>
      </c>
      <c r="AD2" s="4"/>
      <c r="AE2" t="s">
        <v>20</v>
      </c>
    </row>
    <row r="3" spans="1:34">
      <c r="A3" t="s">
        <v>1</v>
      </c>
      <c r="B3" t="s">
        <v>18</v>
      </c>
      <c r="C3" t="s">
        <v>14</v>
      </c>
      <c r="D3" t="s">
        <v>16</v>
      </c>
      <c r="E3" t="s">
        <v>14</v>
      </c>
      <c r="F3" t="s">
        <v>16</v>
      </c>
      <c r="G3" t="s">
        <v>14</v>
      </c>
      <c r="H3" t="s">
        <v>16</v>
      </c>
      <c r="I3" t="s">
        <v>14</v>
      </c>
      <c r="J3" t="s">
        <v>16</v>
      </c>
      <c r="K3" t="s">
        <v>14</v>
      </c>
      <c r="L3" t="s">
        <v>16</v>
      </c>
      <c r="M3" t="s">
        <v>14</v>
      </c>
      <c r="N3" t="s">
        <v>16</v>
      </c>
      <c r="O3" t="s">
        <v>14</v>
      </c>
      <c r="P3" t="s">
        <v>16</v>
      </c>
      <c r="Q3" t="s">
        <v>14</v>
      </c>
      <c r="R3" t="s">
        <v>16</v>
      </c>
      <c r="S3" t="s">
        <v>14</v>
      </c>
      <c r="T3" t="s">
        <v>16</v>
      </c>
      <c r="U3" t="s">
        <v>14</v>
      </c>
      <c r="V3" t="s">
        <v>16</v>
      </c>
      <c r="W3" t="s">
        <v>14</v>
      </c>
      <c r="X3" t="s">
        <v>16</v>
      </c>
      <c r="Y3" t="s">
        <v>14</v>
      </c>
      <c r="Z3" t="s">
        <v>16</v>
      </c>
      <c r="AA3" t="s">
        <v>14</v>
      </c>
      <c r="AB3" t="s">
        <v>16</v>
      </c>
      <c r="AC3" t="s">
        <v>14</v>
      </c>
      <c r="AD3" t="s">
        <v>16</v>
      </c>
      <c r="AE3" t="s">
        <v>14</v>
      </c>
      <c r="AF3" t="s">
        <v>16</v>
      </c>
    </row>
    <row r="4" spans="1:34">
      <c r="A4">
        <v>33</v>
      </c>
      <c r="B4" s="2">
        <f>SQRT(A4)</f>
        <v>5.7445626465380286</v>
      </c>
      <c r="C4" s="1">
        <v>4.375</v>
      </c>
      <c r="D4" s="1">
        <v>1.3854078239672525</v>
      </c>
      <c r="E4">
        <v>9.25</v>
      </c>
      <c r="F4">
        <v>6.2938782341102257</v>
      </c>
      <c r="G4">
        <v>4.625</v>
      </c>
      <c r="H4">
        <v>2.5871892831984238</v>
      </c>
      <c r="I4">
        <v>4.375</v>
      </c>
      <c r="J4">
        <v>1.3854078239672525</v>
      </c>
      <c r="K4">
        <v>3</v>
      </c>
      <c r="L4">
        <v>0</v>
      </c>
      <c r="M4">
        <v>1.0781518750000001</v>
      </c>
      <c r="N4">
        <v>5.6162722250301521E-2</v>
      </c>
      <c r="O4">
        <v>1.5704615624999996</v>
      </c>
      <c r="P4">
        <v>0.10158754931043078</v>
      </c>
      <c r="Q4">
        <v>1.3360215624999998</v>
      </c>
      <c r="R4">
        <v>0.28823670303224763</v>
      </c>
      <c r="S4">
        <v>1</v>
      </c>
      <c r="T4">
        <v>0</v>
      </c>
      <c r="U4">
        <v>1.2484093749999998</v>
      </c>
      <c r="V4">
        <v>0.22110204600587463</v>
      </c>
      <c r="W4">
        <v>4.0625000000000022E-2</v>
      </c>
      <c r="X4">
        <v>2.8504385627478399E-2</v>
      </c>
      <c r="Y4">
        <v>7.4687500000000032E-2</v>
      </c>
      <c r="Z4">
        <v>1.866242991473982E-2</v>
      </c>
      <c r="AA4">
        <v>8.8749999999999982E-2</v>
      </c>
      <c r="AB4">
        <v>1.8272136375967047E-2</v>
      </c>
      <c r="AC4">
        <v>5.5625000000000022E-2</v>
      </c>
      <c r="AD4">
        <v>1.5849595497026227E-2</v>
      </c>
      <c r="AE4">
        <v>0.17375000000000004</v>
      </c>
      <c r="AF4">
        <v>0.1792412322955817</v>
      </c>
      <c r="AH4">
        <f>A4/30</f>
        <v>1.1000000000000001</v>
      </c>
    </row>
    <row r="5" spans="1:34">
      <c r="A5">
        <v>303</v>
      </c>
      <c r="B5" s="2">
        <f t="shared" ref="B5:B9" si="0">SQRT(A5)</f>
        <v>17.406895185529212</v>
      </c>
      <c r="C5" s="1">
        <v>4.625</v>
      </c>
      <c r="D5" s="1">
        <v>1.4973094148742161</v>
      </c>
      <c r="E5">
        <v>57.90625</v>
      </c>
      <c r="F5">
        <v>57.569234265108719</v>
      </c>
      <c r="G5">
        <v>12.65625</v>
      </c>
      <c r="H5">
        <v>19.022243982480937</v>
      </c>
      <c r="I5">
        <v>4.625</v>
      </c>
      <c r="J5">
        <v>1.4973094148742161</v>
      </c>
      <c r="K5">
        <v>3</v>
      </c>
      <c r="L5">
        <v>0</v>
      </c>
      <c r="M5">
        <v>1.0217909375000005</v>
      </c>
      <c r="N5">
        <v>1.288044914047971E-2</v>
      </c>
      <c r="O5">
        <v>1.7928759374999996</v>
      </c>
      <c r="P5">
        <v>0.15832355144143345</v>
      </c>
      <c r="Q5">
        <v>1.3515312500000003</v>
      </c>
      <c r="R5">
        <v>0.39005158979500715</v>
      </c>
      <c r="S5">
        <v>1</v>
      </c>
      <c r="T5">
        <v>0</v>
      </c>
      <c r="U5">
        <v>1.409545625</v>
      </c>
      <c r="V5">
        <v>0.44085017527308212</v>
      </c>
      <c r="W5">
        <v>0.37968749999999996</v>
      </c>
      <c r="X5">
        <v>0.10890908830822656</v>
      </c>
      <c r="Y5">
        <v>0.74656249999999991</v>
      </c>
      <c r="Z5">
        <v>0.18399876182963551</v>
      </c>
      <c r="AA5">
        <v>0.99874999999999992</v>
      </c>
      <c r="AB5">
        <v>0.24249709010558787</v>
      </c>
      <c r="AC5">
        <v>0.57468750000000013</v>
      </c>
      <c r="AD5">
        <v>0.17893924676341397</v>
      </c>
      <c r="AE5">
        <v>1.4062500000000002</v>
      </c>
      <c r="AF5">
        <v>0.32573242531750707</v>
      </c>
      <c r="AH5">
        <f t="shared" ref="AH5:AH9" si="1">A5/30</f>
        <v>10.1</v>
      </c>
    </row>
    <row r="6" spans="1:34">
      <c r="A6">
        <v>3003</v>
      </c>
      <c r="B6" s="2">
        <f t="shared" si="0"/>
        <v>54.799635035281028</v>
      </c>
      <c r="C6" s="1">
        <v>4.125</v>
      </c>
      <c r="D6" s="1">
        <v>1.4756081305138942</v>
      </c>
      <c r="E6">
        <v>945.8125</v>
      </c>
      <c r="F6">
        <v>759.34485503687176</v>
      </c>
      <c r="G6">
        <v>317</v>
      </c>
      <c r="H6">
        <v>374.21522184174245</v>
      </c>
      <c r="I6">
        <v>4.125</v>
      </c>
      <c r="J6">
        <v>1.4756081305138942</v>
      </c>
      <c r="K6">
        <v>3</v>
      </c>
      <c r="L6">
        <v>0</v>
      </c>
      <c r="M6">
        <v>1.0017890624999997</v>
      </c>
      <c r="N6">
        <v>1.3154009798929263E-3</v>
      </c>
      <c r="O6">
        <v>1.7258906249999999</v>
      </c>
      <c r="P6">
        <v>0.19529657100102454</v>
      </c>
      <c r="Q6">
        <v>1.5535481250000001</v>
      </c>
      <c r="R6">
        <v>0.33103098772634582</v>
      </c>
      <c r="S6">
        <v>1</v>
      </c>
      <c r="T6">
        <v>0</v>
      </c>
      <c r="U6">
        <v>1.2942715625000001</v>
      </c>
      <c r="V6">
        <v>0.41232532313390446</v>
      </c>
      <c r="W6">
        <v>5.9084374999999998</v>
      </c>
      <c r="X6">
        <v>2.5824908073720785</v>
      </c>
      <c r="Y6">
        <v>12.200625</v>
      </c>
      <c r="Z6">
        <v>4.8107151487004005</v>
      </c>
      <c r="AA6">
        <v>15.008750000000003</v>
      </c>
      <c r="AB6">
        <v>5.458654418857825</v>
      </c>
      <c r="AC6">
        <v>8.6762499999999996</v>
      </c>
      <c r="AD6">
        <v>4.1695638744628702</v>
      </c>
      <c r="AE6">
        <v>25.4996875</v>
      </c>
      <c r="AF6">
        <v>10.734973439086989</v>
      </c>
      <c r="AH6">
        <f t="shared" si="1"/>
        <v>100.1</v>
      </c>
    </row>
    <row r="7" spans="1:34">
      <c r="A7">
        <v>30003</v>
      </c>
      <c r="B7" s="2">
        <f t="shared" si="0"/>
        <v>173.21374079443004</v>
      </c>
      <c r="C7" s="1">
        <v>4.6875</v>
      </c>
      <c r="D7" s="1">
        <v>1.5120483863225558</v>
      </c>
      <c r="E7">
        <v>8188.125</v>
      </c>
      <c r="F7">
        <v>7067.9048396664657</v>
      </c>
      <c r="G7">
        <v>2254</v>
      </c>
      <c r="H7">
        <v>3358.9035269304486</v>
      </c>
      <c r="I7">
        <v>4.6875</v>
      </c>
      <c r="J7">
        <v>1.5120483863225558</v>
      </c>
      <c r="K7">
        <v>3</v>
      </c>
      <c r="L7">
        <v>0</v>
      </c>
      <c r="M7">
        <v>1.0002140624999993</v>
      </c>
      <c r="N7">
        <v>1.4052572660798872E-4</v>
      </c>
      <c r="O7">
        <v>1.7548946874999998</v>
      </c>
      <c r="P7">
        <v>0.19022192417965594</v>
      </c>
      <c r="Q7">
        <v>1.4751190624999997</v>
      </c>
      <c r="R7">
        <v>0.35038544043215542</v>
      </c>
      <c r="S7">
        <v>1</v>
      </c>
      <c r="T7">
        <v>0</v>
      </c>
      <c r="U7">
        <v>1.3309590624999996</v>
      </c>
      <c r="V7">
        <v>0.45231660494121267</v>
      </c>
      <c r="W7">
        <v>53.750000000000007</v>
      </c>
      <c r="X7">
        <v>32.091408155756476</v>
      </c>
      <c r="Y7">
        <v>119.94000000000003</v>
      </c>
      <c r="Z7">
        <v>28.382792265282635</v>
      </c>
      <c r="AA7">
        <v>181.33562499999999</v>
      </c>
      <c r="AB7">
        <v>72.687709878209162</v>
      </c>
      <c r="AC7">
        <v>80.980624999999975</v>
      </c>
      <c r="AD7">
        <v>24.170861014399659</v>
      </c>
      <c r="AE7">
        <v>230.78156250000004</v>
      </c>
      <c r="AF7">
        <v>40.808957437764008</v>
      </c>
      <c r="AH7">
        <f t="shared" si="1"/>
        <v>1000.1</v>
      </c>
    </row>
    <row r="8" spans="1:34">
      <c r="A8">
        <v>300003</v>
      </c>
      <c r="B8" s="2">
        <f t="shared" si="0"/>
        <v>547.72529611110713</v>
      </c>
      <c r="C8" s="1">
        <v>4.40625</v>
      </c>
      <c r="D8" s="1">
        <v>1.521022046032249</v>
      </c>
      <c r="E8">
        <v>77789.71875</v>
      </c>
      <c r="F8">
        <v>63185.133047329015</v>
      </c>
      <c r="G8">
        <v>17572.1875</v>
      </c>
      <c r="H8">
        <v>23852.108735392769</v>
      </c>
      <c r="I8">
        <v>4.40625</v>
      </c>
      <c r="J8">
        <v>1.521022046032249</v>
      </c>
      <c r="K8">
        <v>3</v>
      </c>
      <c r="L8">
        <v>0</v>
      </c>
      <c r="M8">
        <v>1.0000165624999997</v>
      </c>
      <c r="N8">
        <v>1.3346347815018398E-5</v>
      </c>
      <c r="O8">
        <v>1.7590503125000001</v>
      </c>
      <c r="P8">
        <v>0.17924066420974569</v>
      </c>
      <c r="Q8">
        <v>1.5435990625000002</v>
      </c>
      <c r="R8">
        <v>0.39228586116923037</v>
      </c>
      <c r="S8">
        <v>1</v>
      </c>
      <c r="T8">
        <v>0</v>
      </c>
      <c r="U8">
        <v>1.3122071875000001</v>
      </c>
      <c r="V8">
        <v>0.44161065846793152</v>
      </c>
      <c r="W8">
        <v>574.83937500000002</v>
      </c>
      <c r="X8">
        <v>216.9019551948266</v>
      </c>
      <c r="Y8">
        <v>1471.7015625000004</v>
      </c>
      <c r="Z8">
        <v>363.39468770514173</v>
      </c>
      <c r="AA8">
        <v>1943.0671875</v>
      </c>
      <c r="AB8">
        <v>326.69737307744776</v>
      </c>
      <c r="AC8">
        <v>827.4643749999999</v>
      </c>
      <c r="AD8">
        <v>86.047708594916813</v>
      </c>
      <c r="AE8">
        <v>2894.2012499999996</v>
      </c>
      <c r="AF8">
        <v>582.63218843867674</v>
      </c>
      <c r="AH8">
        <f t="shared" si="1"/>
        <v>10000.1</v>
      </c>
    </row>
    <row r="9" spans="1:34">
      <c r="A9">
        <v>3000003</v>
      </c>
      <c r="B9" s="2">
        <f t="shared" si="0"/>
        <v>1732.0516735940646</v>
      </c>
      <c r="C9" s="1">
        <v>4.78125</v>
      </c>
      <c r="D9" s="1">
        <v>1.4969727517075382</v>
      </c>
      <c r="E9" s="1">
        <v>482442.5</v>
      </c>
      <c r="F9" s="1">
        <v>593182.63065515307</v>
      </c>
      <c r="G9" s="1">
        <v>96451.4375</v>
      </c>
      <c r="H9" s="1">
        <v>232720.02018415197</v>
      </c>
      <c r="I9">
        <v>4.78125</v>
      </c>
      <c r="J9">
        <v>1.4969727517075382</v>
      </c>
      <c r="K9">
        <v>3</v>
      </c>
      <c r="L9">
        <v>0</v>
      </c>
      <c r="M9">
        <v>1</v>
      </c>
      <c r="N9">
        <v>0</v>
      </c>
      <c r="O9">
        <v>1.8446137499999997</v>
      </c>
      <c r="P9">
        <v>0.17090805652596913</v>
      </c>
      <c r="Q9">
        <v>1.2980665624999996</v>
      </c>
      <c r="R9">
        <v>0.35032416382369536</v>
      </c>
      <c r="S9">
        <v>1</v>
      </c>
      <c r="T9">
        <v>0</v>
      </c>
      <c r="U9">
        <v>1.5006668749999998</v>
      </c>
      <c r="V9">
        <v>0.47664772773108871</v>
      </c>
      <c r="W9">
        <v>13368.097812500002</v>
      </c>
      <c r="X9">
        <v>3927.9641153670336</v>
      </c>
      <c r="Y9">
        <v>28970.119687500002</v>
      </c>
      <c r="Z9">
        <v>3454.3413744758714</v>
      </c>
      <c r="AA9">
        <v>34006.824062499996</v>
      </c>
      <c r="AB9">
        <v>6135.8577237174104</v>
      </c>
      <c r="AC9">
        <v>20463.037187500002</v>
      </c>
      <c r="AD9">
        <v>5077.6271472679418</v>
      </c>
      <c r="AE9">
        <v>66388.082500000004</v>
      </c>
      <c r="AF9">
        <v>5718.0480249300499</v>
      </c>
      <c r="AH9">
        <f t="shared" si="1"/>
        <v>100000.1</v>
      </c>
    </row>
    <row r="10" spans="1:34">
      <c r="B10" s="2"/>
      <c r="C10" s="1"/>
      <c r="D10" s="1"/>
      <c r="E10" s="1"/>
      <c r="F10" s="1"/>
      <c r="G10" s="1"/>
      <c r="H10" s="1"/>
    </row>
    <row r="11" spans="1:34">
      <c r="B11" s="2"/>
      <c r="C11" s="1"/>
      <c r="D11" s="1"/>
      <c r="E11" s="1"/>
      <c r="F11" s="1"/>
      <c r="G11" s="1"/>
      <c r="H11" s="1"/>
    </row>
    <row r="12" spans="1:34">
      <c r="B12" s="2"/>
      <c r="C12" s="1"/>
      <c r="D12" s="1"/>
      <c r="E12" s="1"/>
      <c r="F12" s="1"/>
      <c r="G12" s="1"/>
      <c r="H12" s="1"/>
    </row>
    <row r="13" spans="1:34">
      <c r="B13" s="2"/>
      <c r="C13" s="1"/>
      <c r="D13" s="1"/>
      <c r="E13" s="1"/>
      <c r="F13" s="1"/>
      <c r="G13" s="1"/>
      <c r="H13" s="1"/>
    </row>
    <row r="14" spans="1:34">
      <c r="B14" s="2"/>
      <c r="C14" s="1"/>
      <c r="D14" s="1"/>
      <c r="E14" s="1"/>
      <c r="F14" s="1"/>
      <c r="G14" s="1"/>
      <c r="H14" s="1"/>
    </row>
    <row r="15" spans="1:34">
      <c r="B15" s="2"/>
      <c r="C15" s="1"/>
      <c r="D15" s="1"/>
      <c r="E15" s="1"/>
      <c r="F15" s="1"/>
      <c r="G15" s="1"/>
      <c r="H15" s="1"/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2</vt:lpstr>
      <vt:lpstr>3</vt:lpstr>
      <vt:lpstr>4</vt:lpstr>
      <vt:lpstr>5</vt:lpstr>
      <vt:lpstr>6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2018-05-07T03:28:33Z</dcterms:modified>
</cp:coreProperties>
</file>