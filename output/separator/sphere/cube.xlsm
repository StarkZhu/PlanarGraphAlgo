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sphere/"/>
    </mc:Choice>
  </mc:AlternateContent>
  <xr:revisionPtr revIDLastSave="0" documentId="13_ncr:1_{7A904FB0-38E4-A745-98D5-F11FB863681C}" xr6:coauthVersionLast="32" xr6:coauthVersionMax="32" xr10:uidLastSave="{00000000-0000-0000-0000-000000000000}"/>
  <bookViews>
    <workbookView xWindow="2060" yWindow="460" windowWidth="21800" windowHeight="13940" tabRatio="500" xr2:uid="{00000000-000D-0000-FFFF-FFFF00000000}"/>
  </bookViews>
  <sheets>
    <sheet name="Summary" sheetId="6" r:id="rId1"/>
    <sheet name="1" sheetId="1" r:id="rId2"/>
    <sheet name="2" sheetId="5" r:id="rId3"/>
    <sheet name="3" sheetId="4" r:id="rId4"/>
    <sheet name="4" sheetId="3" r:id="rId5"/>
    <sheet name="5" sheetId="2" r:id="rId6"/>
    <sheet name="6" sheetId="7" r:id="rId7"/>
    <sheet name="7" sheetId="8" r:id="rId8"/>
    <sheet name="8" sheetId="9" r:id="rId9"/>
    <sheet name="9" sheetId="10" r:id="rId10"/>
    <sheet name="10" sheetId="11" r:id="rId11"/>
    <sheet name="11" sheetId="12" r:id="rId12"/>
    <sheet name="12" sheetId="13" r:id="rId13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6" l="1"/>
  <c r="B10" i="6"/>
  <c r="B11" i="6"/>
  <c r="B12" i="6"/>
  <c r="B13" i="6"/>
  <c r="B14" i="6"/>
  <c r="B15" i="6"/>
  <c r="AH9" i="6"/>
  <c r="AH10" i="6"/>
  <c r="AH11" i="6"/>
  <c r="AH12" i="6"/>
  <c r="AH13" i="6"/>
  <c r="AH14" i="6"/>
  <c r="AH15" i="6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B44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B43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B42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B41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B40" i="13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C44" i="12"/>
  <c r="B44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B44" i="9"/>
  <c r="P43" i="9"/>
  <c r="O43" i="9"/>
  <c r="N43" i="9"/>
  <c r="M43" i="9"/>
  <c r="L43" i="9"/>
  <c r="K43" i="9"/>
  <c r="J43" i="9"/>
  <c r="I43" i="9"/>
  <c r="H43" i="9"/>
  <c r="G43" i="9"/>
  <c r="F43" i="9"/>
  <c r="E43" i="9"/>
  <c r="D43" i="9"/>
  <c r="C43" i="9"/>
  <c r="B43" i="9"/>
  <c r="P42" i="9"/>
  <c r="O42" i="9"/>
  <c r="N42" i="9"/>
  <c r="M42" i="9"/>
  <c r="L42" i="9"/>
  <c r="K42" i="9"/>
  <c r="J42" i="9"/>
  <c r="I42" i="9"/>
  <c r="H42" i="9"/>
  <c r="G42" i="9"/>
  <c r="F42" i="9"/>
  <c r="E42" i="9"/>
  <c r="D42" i="9"/>
  <c r="C42" i="9"/>
  <c r="B42" i="9"/>
  <c r="P41" i="9"/>
  <c r="O41" i="9"/>
  <c r="N41" i="9"/>
  <c r="M41" i="9"/>
  <c r="L41" i="9"/>
  <c r="K41" i="9"/>
  <c r="J41" i="9"/>
  <c r="I41" i="9"/>
  <c r="H41" i="9"/>
  <c r="G41" i="9"/>
  <c r="F41" i="9"/>
  <c r="E41" i="9"/>
  <c r="D41" i="9"/>
  <c r="C41" i="9"/>
  <c r="B41" i="9"/>
  <c r="P40" i="9"/>
  <c r="O40" i="9"/>
  <c r="N40" i="9"/>
  <c r="M40" i="9"/>
  <c r="L40" i="9"/>
  <c r="K40" i="9"/>
  <c r="J40" i="9"/>
  <c r="I40" i="9"/>
  <c r="H40" i="9"/>
  <c r="G40" i="9"/>
  <c r="F40" i="9"/>
  <c r="E40" i="9"/>
  <c r="D40" i="9"/>
  <c r="C40" i="9"/>
  <c r="B40" i="9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<sst xmlns="http://schemas.openxmlformats.org/spreadsheetml/2006/main" count="651" uniqueCount="22">
  <si>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</si>
  <si>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</si>
  <si>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</si>
  <si>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</si>
  <si>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</si>
  <si>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</si>
  <si>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</si>
  <si>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</si>
  <si>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</si>
  <si>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</si>
  <si>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</si>
  <si>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</si>
  <si>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</si>
  <si>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</si>
  <si>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</si>
  <si>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</si>
  <si>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</si>
  <si>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</si>
  <si>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</si>
  <si>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</si>
  <si>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</si>
  <si>
    <t>sphere_Cube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</si>
</sst>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Cubic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Summary!$C$4:$C$15</c:f>
              <c:numCache>
                <c:formatCode>0.00</c:formatCode>
                <c:ptCount val="12"/>
                <c:pt idx="0">
                  <c:v>6.75</c:v>
                </c:pt>
                <c:pt idx="1">
                  <c:v>17.9375</c:v>
                </c:pt>
                <c:pt idx="2">
                  <c:v>53.4375</c:v>
                </c:pt>
                <c:pt idx="3">
                  <c:v>153.125</c:v>
                </c:pt>
                <c:pt idx="4">
                  <c:v>444.03125</c:v>
                </c:pt>
                <c:pt idx="5">
                  <c:v>1332.3125</c:v>
                </c:pt>
                <c:pt idx="6">
                  <c:v>3859.625</c:v>
                </c:pt>
                <c:pt idx="7">
                  <c:v>11570.90625</c:v>
                </c:pt>
                <c:pt idx="8">
                  <c:v>33674.65625</c:v>
                </c:pt>
                <c:pt idx="9">
                  <c:v>97868.15625</c:v>
                </c:pt>
                <c:pt idx="10">
                  <c:v>282027.875</c:v>
                </c:pt>
                <c:pt idx="11">
                  <c:v>851806.3125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Summary!$E$4:$E$15</c:f>
              <c:numCache>
                <c:formatCode>General</c:formatCode>
                <c:ptCount val="12"/>
                <c:pt idx="0">
                  <c:v>6</c:v>
                </c:pt>
                <c:pt idx="1">
                  <c:v>7.0625</c:v>
                </c:pt>
                <c:pt idx="2">
                  <c:v>7.78125</c:v>
                </c:pt>
                <c:pt idx="3">
                  <c:v>8.84375</c:v>
                </c:pt>
                <c:pt idx="4">
                  <c:v>9.40625</c:v>
                </c:pt>
                <c:pt idx="5" formatCode="0.00">
                  <c:v>9.84375</c:v>
                </c:pt>
                <c:pt idx="6" formatCode="0.00">
                  <c:v>11.1875</c:v>
                </c:pt>
                <c:pt idx="7" formatCode="0.00">
                  <c:v>11.34375</c:v>
                </c:pt>
                <c:pt idx="8" formatCode="0.00">
                  <c:v>12.53125</c:v>
                </c:pt>
                <c:pt idx="9" formatCode="0.00">
                  <c:v>12.75</c:v>
                </c:pt>
                <c:pt idx="10" formatCode="0.00">
                  <c:v>13.1875</c:v>
                </c:pt>
                <c:pt idx="11" formatCode="0.00">
                  <c:v>14.21875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Summary!$G$4:$G$15</c:f>
              <c:numCache>
                <c:formatCode>General</c:formatCode>
                <c:ptCount val="12"/>
                <c:pt idx="0">
                  <c:v>6</c:v>
                </c:pt>
                <c:pt idx="1">
                  <c:v>6.625</c:v>
                </c:pt>
                <c:pt idx="2">
                  <c:v>6.8125</c:v>
                </c:pt>
                <c:pt idx="3">
                  <c:v>7.09375</c:v>
                </c:pt>
                <c:pt idx="4">
                  <c:v>7.125</c:v>
                </c:pt>
                <c:pt idx="5" formatCode="0.00">
                  <c:v>6.90625</c:v>
                </c:pt>
                <c:pt idx="6" formatCode="0.00">
                  <c:v>7.5</c:v>
                </c:pt>
                <c:pt idx="7" formatCode="0.00">
                  <c:v>7.46875</c:v>
                </c:pt>
                <c:pt idx="8" formatCode="0.00">
                  <c:v>7.53125</c:v>
                </c:pt>
                <c:pt idx="9" formatCode="0.00">
                  <c:v>7.09375</c:v>
                </c:pt>
                <c:pt idx="10" formatCode="0.00">
                  <c:v>7.4375</c:v>
                </c:pt>
                <c:pt idx="11" formatCode="0.00">
                  <c:v>7.40625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Summary!$I$4:$I$15</c:f>
              <c:numCache>
                <c:formatCode>General</c:formatCode>
                <c:ptCount val="12"/>
                <c:pt idx="0">
                  <c:v>6</c:v>
                </c:pt>
                <c:pt idx="1">
                  <c:v>7.90625</c:v>
                </c:pt>
                <c:pt idx="2">
                  <c:v>8.53125</c:v>
                </c:pt>
                <c:pt idx="3">
                  <c:v>14.65625</c:v>
                </c:pt>
                <c:pt idx="4">
                  <c:v>16.59375</c:v>
                </c:pt>
                <c:pt idx="5">
                  <c:v>19.5625</c:v>
                </c:pt>
                <c:pt idx="6">
                  <c:v>61.09375</c:v>
                </c:pt>
                <c:pt idx="7">
                  <c:v>94.46875</c:v>
                </c:pt>
                <c:pt idx="8">
                  <c:v>77.375</c:v>
                </c:pt>
                <c:pt idx="9">
                  <c:v>323.3125</c:v>
                </c:pt>
                <c:pt idx="10">
                  <c:v>267.78125</c:v>
                </c:pt>
                <c:pt idx="11">
                  <c:v>447.90625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Summary!$K$4:$K$15</c:f>
              <c:numCache>
                <c:formatCode>General</c:formatCode>
                <c:ptCount val="12"/>
                <c:pt idx="0">
                  <c:v>6</c:v>
                </c:pt>
                <c:pt idx="1">
                  <c:v>6.9375</c:v>
                </c:pt>
                <c:pt idx="2">
                  <c:v>7.375</c:v>
                </c:pt>
                <c:pt idx="3">
                  <c:v>8.9375</c:v>
                </c:pt>
                <c:pt idx="4">
                  <c:v>9.28125</c:v>
                </c:pt>
                <c:pt idx="5">
                  <c:v>9.375</c:v>
                </c:pt>
                <c:pt idx="6">
                  <c:v>10.15625</c:v>
                </c:pt>
                <c:pt idx="7">
                  <c:v>10.03125</c:v>
                </c:pt>
                <c:pt idx="8">
                  <c:v>9.125</c:v>
                </c:pt>
                <c:pt idx="9">
                  <c:v>8.875</c:v>
                </c:pt>
                <c:pt idx="10">
                  <c:v>9.625</c:v>
                </c:pt>
                <c:pt idx="11">
                  <c:v>9.625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Summary!$B$4:$B$15</c:f>
              <c:numCache>
                <c:formatCode>0.000</c:formatCode>
                <c:ptCount val="12"/>
                <c:pt idx="0">
                  <c:v>3.7416573867739413</c:v>
                </c:pt>
                <c:pt idx="1">
                  <c:v>6.164414002968976</c:v>
                </c:pt>
                <c:pt idx="2">
                  <c:v>10.488088481701515</c:v>
                </c:pt>
                <c:pt idx="3">
                  <c:v>18.055470085267789</c:v>
                </c:pt>
                <c:pt idx="4">
                  <c:v>31.208973068654469</c:v>
                </c:pt>
                <c:pt idx="5">
                  <c:v>54.018515344278022</c:v>
                </c:pt>
                <c:pt idx="6">
                  <c:v>93.541434669348533</c:v>
                </c:pt>
                <c:pt idx="7">
                  <c:v>162.00617272190587</c:v>
                </c:pt>
                <c:pt idx="8">
                  <c:v>280.59579469407589</c:v>
                </c:pt>
                <c:pt idx="9">
                  <c:v>486.002057608813</c:v>
                </c:pt>
                <c:pt idx="10">
                  <c:v>841.777880441153</c:v>
                </c:pt>
                <c:pt idx="11">
                  <c:v>1458.0006858708948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Cubic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Summary!$M$4:$M$15</c:f>
              <c:numCache>
                <c:formatCode>General</c:formatCode>
                <c:ptCount val="12"/>
                <c:pt idx="0">
                  <c:v>1.7023775000000005</c:v>
                </c:pt>
                <c:pt idx="1">
                  <c:v>1.4094062500000004</c:v>
                </c:pt>
                <c:pt idx="2">
                  <c:v>1.3032003125000005</c:v>
                </c:pt>
                <c:pt idx="3">
                  <c:v>1.2520756249999998</c:v>
                </c:pt>
                <c:pt idx="4">
                  <c:v>1.5320459375</c:v>
                </c:pt>
                <c:pt idx="5">
                  <c:v>1.4208193749999996</c:v>
                </c:pt>
                <c:pt idx="6">
                  <c:v>1.3725346875000004</c:v>
                </c:pt>
                <c:pt idx="7">
                  <c:v>1.2284071875000002</c:v>
                </c:pt>
                <c:pt idx="8">
                  <c:v>1.2267728125000001</c:v>
                </c:pt>
                <c:pt idx="9">
                  <c:v>1.3200287499999999</c:v>
                </c:pt>
                <c:pt idx="10">
                  <c:v>1.4678300000000002</c:v>
                </c:pt>
                <c:pt idx="11">
                  <c:v>1.3285787500000001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Summary!$O$4:$O$15</c:f>
              <c:numCache>
                <c:formatCode>General</c:formatCode>
                <c:ptCount val="12"/>
                <c:pt idx="0">
                  <c:v>1.1388875000000001</c:v>
                </c:pt>
                <c:pt idx="1">
                  <c:v>1.0686496874999998</c:v>
                </c:pt>
                <c:pt idx="2">
                  <c:v>1.2417187499999998</c:v>
                </c:pt>
                <c:pt idx="3">
                  <c:v>1.3775478125</c:v>
                </c:pt>
                <c:pt idx="4">
                  <c:v>1.3233040625000003</c:v>
                </c:pt>
                <c:pt idx="5">
                  <c:v>1.2043143749999998</c:v>
                </c:pt>
                <c:pt idx="6">
                  <c:v>1.3024687500000001</c:v>
                </c:pt>
                <c:pt idx="7">
                  <c:v>1.3012190625000002</c:v>
                </c:pt>
                <c:pt idx="8">
                  <c:v>1.1996196874999998</c:v>
                </c:pt>
                <c:pt idx="9">
                  <c:v>1.2566937499999999</c:v>
                </c:pt>
                <c:pt idx="10">
                  <c:v>1.3474534375</c:v>
                </c:pt>
                <c:pt idx="11">
                  <c:v>1.2658740625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Summary!$Q$4:$Q$15</c:f>
              <c:numCache>
                <c:formatCode>General</c:formatCode>
                <c:ptCount val="12"/>
                <c:pt idx="0">
                  <c:v>1.062499375</c:v>
                </c:pt>
                <c:pt idx="1">
                  <c:v>1.0382746875</c:v>
                </c:pt>
                <c:pt idx="2">
                  <c:v>1.0445200000000003</c:v>
                </c:pt>
                <c:pt idx="3">
                  <c:v>1.1367103125000002</c:v>
                </c:pt>
                <c:pt idx="4">
                  <c:v>1.0867331250000001</c:v>
                </c:pt>
                <c:pt idx="5">
                  <c:v>1.08961</c:v>
                </c:pt>
                <c:pt idx="6">
                  <c:v>1.1319021874999999</c:v>
                </c:pt>
                <c:pt idx="7">
                  <c:v>1.1022281250000001</c:v>
                </c:pt>
                <c:pt idx="8">
                  <c:v>1.0725225</c:v>
                </c:pt>
                <c:pt idx="9">
                  <c:v>1.0797565624999999</c:v>
                </c:pt>
                <c:pt idx="10">
                  <c:v>1.1232671875000002</c:v>
                </c:pt>
                <c:pt idx="11">
                  <c:v>1.093885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Summary!$S$4:$S$15</c:f>
              <c:numCache>
                <c:formatCode>General</c:formatCode>
                <c:ptCount val="12"/>
                <c:pt idx="0">
                  <c:v>1.1388875000000001</c:v>
                </c:pt>
                <c:pt idx="1">
                  <c:v>1.0729375000000001</c:v>
                </c:pt>
                <c:pt idx="2">
                  <c:v>1.226551875</c:v>
                </c:pt>
                <c:pt idx="3">
                  <c:v>1.3476343749999997</c:v>
                </c:pt>
                <c:pt idx="4">
                  <c:v>1.3040175000000001</c:v>
                </c:pt>
                <c:pt idx="5">
                  <c:v>1.1996487499999999</c:v>
                </c:pt>
                <c:pt idx="6">
                  <c:v>1.2931699999999995</c:v>
                </c:pt>
                <c:pt idx="7">
                  <c:v>1.2960862500000001</c:v>
                </c:pt>
                <c:pt idx="8">
                  <c:v>1.1985059375</c:v>
                </c:pt>
                <c:pt idx="9">
                  <c:v>1.2537609374999998</c:v>
                </c:pt>
                <c:pt idx="10">
                  <c:v>1.3467437499999999</c:v>
                </c:pt>
                <c:pt idx="11">
                  <c:v>1.2655068749999998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Summary!$U$4:$U$15</c:f>
              <c:numCache>
                <c:formatCode>General</c:formatCode>
                <c:ptCount val="12"/>
                <c:pt idx="0">
                  <c:v>1.1388875000000001</c:v>
                </c:pt>
                <c:pt idx="1">
                  <c:v>1.0494315625000001</c:v>
                </c:pt>
                <c:pt idx="2">
                  <c:v>1.1876887500000002</c:v>
                </c:pt>
                <c:pt idx="3">
                  <c:v>1.2355981250000003</c:v>
                </c:pt>
                <c:pt idx="4">
                  <c:v>1.1050737499999996</c:v>
                </c:pt>
                <c:pt idx="5">
                  <c:v>1.1737281250000005</c:v>
                </c:pt>
                <c:pt idx="6">
                  <c:v>1.22944875</c:v>
                </c:pt>
                <c:pt idx="7">
                  <c:v>1.2365818749999997</c:v>
                </c:pt>
                <c:pt idx="8">
                  <c:v>1.1893653125000003</c:v>
                </c:pt>
                <c:pt idx="9">
                  <c:v>1.142415</c:v>
                </c:pt>
                <c:pt idx="10">
                  <c:v>1.1564409375000002</c:v>
                </c:pt>
                <c:pt idx="11">
                  <c:v>1.1473484375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Cubic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Summary!$W$4:$W$15</c:f>
              <c:numCache>
                <c:formatCode>General</c:formatCode>
                <c:ptCount val="12"/>
                <c:pt idx="0">
                  <c:v>0.27718750000000003</c:v>
                </c:pt>
                <c:pt idx="1">
                  <c:v>0.21187500000000006</c:v>
                </c:pt>
                <c:pt idx="2">
                  <c:v>0.36249999999999993</c:v>
                </c:pt>
                <c:pt idx="3">
                  <c:v>0.92437500000000006</c:v>
                </c:pt>
                <c:pt idx="4">
                  <c:v>3.0665624999999999</c:v>
                </c:pt>
                <c:pt idx="5">
                  <c:v>8.1968750000000004</c:v>
                </c:pt>
                <c:pt idx="6">
                  <c:v>23.228437499999998</c:v>
                </c:pt>
                <c:pt idx="7">
                  <c:v>59.069062500000008</c:v>
                </c:pt>
                <c:pt idx="8">
                  <c:v>195.22000000000006</c:v>
                </c:pt>
                <c:pt idx="9">
                  <c:v>642.97124999999983</c:v>
                </c:pt>
                <c:pt idx="10">
                  <c:v>2678.7015625000004</c:v>
                </c:pt>
                <c:pt idx="11">
                  <c:v>14267.872812500002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Summary!$Y$4:$Y$15</c:f>
              <c:numCache>
                <c:formatCode>General</c:formatCode>
                <c:ptCount val="12"/>
                <c:pt idx="0">
                  <c:v>0.45687500000000009</c:v>
                </c:pt>
                <c:pt idx="1">
                  <c:v>0.80781249999999993</c:v>
                </c:pt>
                <c:pt idx="2">
                  <c:v>1.2853125000000001</c:v>
                </c:pt>
                <c:pt idx="3">
                  <c:v>1.8587499999999999</c:v>
                </c:pt>
                <c:pt idx="4">
                  <c:v>8.0612499999999994</c:v>
                </c:pt>
                <c:pt idx="5">
                  <c:v>16.296562500000004</c:v>
                </c:pt>
                <c:pt idx="6">
                  <c:v>46.953124999999993</c:v>
                </c:pt>
                <c:pt idx="7">
                  <c:v>121.32031249999999</c:v>
                </c:pt>
                <c:pt idx="8">
                  <c:v>356.14249999999993</c:v>
                </c:pt>
                <c:pt idx="9">
                  <c:v>1361.6481249999999</c:v>
                </c:pt>
                <c:pt idx="10">
                  <c:v>5636.1440624999996</c:v>
                </c:pt>
                <c:pt idx="11">
                  <c:v>31965.187187500003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Summary!$AA$4:$AA$15</c:f>
              <c:numCache>
                <c:formatCode>General</c:formatCode>
                <c:ptCount val="12"/>
                <c:pt idx="0">
                  <c:v>0.59156249999999999</c:v>
                </c:pt>
                <c:pt idx="1">
                  <c:v>0.74124999999999996</c:v>
                </c:pt>
                <c:pt idx="2">
                  <c:v>1.9321875000000002</c:v>
                </c:pt>
                <c:pt idx="3">
                  <c:v>3.5028124999999983</c:v>
                </c:pt>
                <c:pt idx="4">
                  <c:v>9.3093749999999975</c:v>
                </c:pt>
                <c:pt idx="5">
                  <c:v>17.596562500000001</c:v>
                </c:pt>
                <c:pt idx="6">
                  <c:v>54.426562500000003</c:v>
                </c:pt>
                <c:pt idx="7">
                  <c:v>166.4715625</c:v>
                </c:pt>
                <c:pt idx="8">
                  <c:v>437.07031250000006</c:v>
                </c:pt>
                <c:pt idx="9">
                  <c:v>1688.5181250000003</c:v>
                </c:pt>
                <c:pt idx="10">
                  <c:v>6185.1637500000006</c:v>
                </c:pt>
                <c:pt idx="11">
                  <c:v>33206.207187500004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Summary!$AC$4:$AC$15</c:f>
              <c:numCache>
                <c:formatCode>General</c:formatCode>
                <c:ptCount val="12"/>
                <c:pt idx="0">
                  <c:v>0.62375000000000003</c:v>
                </c:pt>
                <c:pt idx="1">
                  <c:v>0.82937500000000008</c:v>
                </c:pt>
                <c:pt idx="2">
                  <c:v>1.7390624999999997</c:v>
                </c:pt>
                <c:pt idx="3">
                  <c:v>2.6943749999999995</c:v>
                </c:pt>
                <c:pt idx="4">
                  <c:v>9.3912499999999977</c:v>
                </c:pt>
                <c:pt idx="5">
                  <c:v>19.910937499999999</c:v>
                </c:pt>
                <c:pt idx="6">
                  <c:v>55.714999999999982</c:v>
                </c:pt>
                <c:pt idx="7">
                  <c:v>170.96718750000002</c:v>
                </c:pt>
                <c:pt idx="8">
                  <c:v>517.30937500000005</c:v>
                </c:pt>
                <c:pt idx="9">
                  <c:v>2005.0268750000002</c:v>
                </c:pt>
                <c:pt idx="10">
                  <c:v>7994.2893749999994</c:v>
                </c:pt>
                <c:pt idx="11">
                  <c:v>40888.539062499993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Summary!$AE$4:$AE$15</c:f>
              <c:numCache>
                <c:formatCode>General</c:formatCode>
                <c:ptCount val="12"/>
                <c:pt idx="0">
                  <c:v>0.92937499999999973</c:v>
                </c:pt>
                <c:pt idx="1">
                  <c:v>1.6615625000000001</c:v>
                </c:pt>
                <c:pt idx="2">
                  <c:v>1.9825000000000002</c:v>
                </c:pt>
                <c:pt idx="3">
                  <c:v>3.6106249999999998</c:v>
                </c:pt>
                <c:pt idx="4">
                  <c:v>16.122499999999995</c:v>
                </c:pt>
                <c:pt idx="5">
                  <c:v>29.905000000000005</c:v>
                </c:pt>
                <c:pt idx="6">
                  <c:v>81.325625000000002</c:v>
                </c:pt>
                <c:pt idx="7">
                  <c:v>251.10812499999997</c:v>
                </c:pt>
                <c:pt idx="8">
                  <c:v>711.85031249999997</c:v>
                </c:pt>
                <c:pt idx="9">
                  <c:v>2593.1881249999992</c:v>
                </c:pt>
                <c:pt idx="10">
                  <c:v>10487.028125000001</c:v>
                </c:pt>
                <c:pt idx="11">
                  <c:v>63003.318124999998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14</c:v>
                </c:pt>
                <c:pt idx="1">
                  <c:v>38</c:v>
                </c:pt>
                <c:pt idx="2">
                  <c:v>110</c:v>
                </c:pt>
                <c:pt idx="3">
                  <c:v>326</c:v>
                </c:pt>
                <c:pt idx="4">
                  <c:v>974</c:v>
                </c:pt>
                <c:pt idx="5">
                  <c:v>2918</c:v>
                </c:pt>
                <c:pt idx="6">
                  <c:v>8750</c:v>
                </c:pt>
                <c:pt idx="7">
                  <c:v>26246</c:v>
                </c:pt>
                <c:pt idx="8">
                  <c:v>78734</c:v>
                </c:pt>
                <c:pt idx="9">
                  <c:v>236198</c:v>
                </c:pt>
                <c:pt idx="10">
                  <c:v>708590</c:v>
                </c:pt>
                <c:pt idx="11">
                  <c:v>2125766</c:v>
                </c:pt>
              </c:numCache>
            </c:numRef>
          </c:xVal>
          <c:yVal>
            <c:numRef>
              <c:f>Summary!$AH$4:$AH$15</c:f>
              <c:numCache>
                <c:formatCode>General</c:formatCode>
                <c:ptCount val="12"/>
                <c:pt idx="0">
                  <c:v>0.46666666666666667</c:v>
                </c:pt>
                <c:pt idx="1">
                  <c:v>1.2666666666666666</c:v>
                </c:pt>
                <c:pt idx="2">
                  <c:v>3.6666666666666665</c:v>
                </c:pt>
                <c:pt idx="3">
                  <c:v>10.866666666666667</c:v>
                </c:pt>
                <c:pt idx="4">
                  <c:v>32.466666666666669</c:v>
                </c:pt>
                <c:pt idx="5">
                  <c:v>97.266666666666666</c:v>
                </c:pt>
                <c:pt idx="6">
                  <c:v>291.66666666666669</c:v>
                </c:pt>
                <c:pt idx="7">
                  <c:v>874.86666666666667</c:v>
                </c:pt>
                <c:pt idx="8">
                  <c:v>2624.4666666666667</c:v>
                </c:pt>
                <c:pt idx="9">
                  <c:v>7873.2666666666664</c:v>
                </c:pt>
                <c:pt idx="10">
                  <c:v>23619.666666666668</c:v>
                </c:pt>
                <c:pt idx="11">
                  <c:v>70858.866666666669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63500</xdr:colOff>
      <xdr:row>17</xdr:row>
      <xdr:rowOff>114300</xdr:rowOff>
    </xdr:from>
    <xdr:to>
      <xdr:col>10</xdr:col>
      <xdr:colOff>482600</xdr:colOff>
      <xdr:row>40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1270000</xdr:colOff>
      <xdr:row>17</xdr:row>
      <xdr:rowOff>88900</xdr:rowOff>
    </xdr:from>
    <xdr:to>
      <xdr:col>19</xdr:col>
      <xdr:colOff>419100</xdr:colOff>
      <xdr:row>39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38100</xdr:colOff>
      <xdr:row>17</xdr:row>
      <xdr:rowOff>114300</xdr:rowOff>
    </xdr:from>
    <xdr:to>
      <xdr:col>31</xdr:col>
      <xdr:colOff>203200</xdr:colOff>
      <xdr:row>40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D1" workbookViewId="0">
      <selection activeCell="V16" sqref="V16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8.66406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17</v>
      </c>
      <c r="C1" t="s">
        <v>7</v>
      </c>
      <c r="M1" t="s">
        <v>8</v>
      </c>
      <c r="W1" t="s">
        <v>9</v>
      </c>
    </row>
    <row r="2" spans="1:34">
      <c r="A2">
        <v>12</v>
      </c>
      <c r="C2" s="4" t="s">
        <v>4</v>
      </c>
      <c r="D2" s="4"/>
      <c r="E2" s="4" t="s">
        <v>5</v>
      </c>
      <c r="F2" s="4"/>
      <c r="G2" t="s">
        <v>19</v>
      </c>
      <c r="I2" s="4" t="s">
        <v>6</v>
      </c>
      <c r="J2" s="4"/>
      <c r="K2" t="s">
        <v>20</v>
      </c>
      <c r="M2" s="4" t="s">
        <v>4</v>
      </c>
      <c r="N2" s="4"/>
      <c r="O2" s="4" t="s">
        <v>5</v>
      </c>
      <c r="P2" s="4"/>
      <c r="Q2" t="s">
        <v>19</v>
      </c>
      <c r="S2" s="4" t="s">
        <v>6</v>
      </c>
      <c r="T2" s="4"/>
      <c r="U2" t="s">
        <v>20</v>
      </c>
      <c r="W2" s="4" t="s">
        <v>4</v>
      </c>
      <c r="X2" s="4"/>
      <c r="Y2" s="4" t="s">
        <v>5</v>
      </c>
      <c r="Z2" s="4"/>
      <c r="AA2" t="s">
        <v>19</v>
      </c>
      <c r="AC2" s="4" t="s">
        <v>6</v>
      </c>
      <c r="AD2" s="4"/>
      <c r="AE2" t="s">
        <v>20</v>
      </c>
    </row>
    <row r="3" spans="1:34">
      <c r="A3" t="s">
        <v>1</v>
      </c>
      <c r="B3" t="s">
        <v>18</v>
      </c>
      <c r="C3" t="s">
        <v>14</v>
      </c>
      <c r="D3" t="s">
        <v>16</v>
      </c>
      <c r="E3" t="s">
        <v>14</v>
      </c>
      <c r="F3" t="s">
        <v>16</v>
      </c>
      <c r="G3" t="s">
        <v>14</v>
      </c>
      <c r="H3" t="s">
        <v>16</v>
      </c>
      <c r="I3" t="s">
        <v>14</v>
      </c>
      <c r="J3" t="s">
        <v>16</v>
      </c>
      <c r="K3" t="s">
        <v>14</v>
      </c>
      <c r="L3" t="s">
        <v>16</v>
      </c>
      <c r="M3" t="s">
        <v>14</v>
      </c>
      <c r="N3" t="s">
        <v>16</v>
      </c>
      <c r="O3" t="s">
        <v>14</v>
      </c>
      <c r="P3" t="s">
        <v>16</v>
      </c>
      <c r="Q3" t="s">
        <v>14</v>
      </c>
      <c r="R3" t="s">
        <v>16</v>
      </c>
      <c r="S3" t="s">
        <v>14</v>
      </c>
      <c r="T3" t="s">
        <v>16</v>
      </c>
      <c r="U3" t="s">
        <v>14</v>
      </c>
      <c r="V3" t="s">
        <v>16</v>
      </c>
      <c r="W3" t="s">
        <v>14</v>
      </c>
      <c r="X3" t="s">
        <v>16</v>
      </c>
      <c r="Y3" t="s">
        <v>14</v>
      </c>
      <c r="Z3" t="s">
        <v>16</v>
      </c>
      <c r="AA3" t="s">
        <v>14</v>
      </c>
      <c r="AB3" t="s">
        <v>16</v>
      </c>
      <c r="AC3" t="s">
        <v>14</v>
      </c>
      <c r="AD3" t="s">
        <v>16</v>
      </c>
      <c r="AE3" t="s">
        <v>14</v>
      </c>
      <c r="AF3" t="s">
        <v>16</v>
      </c>
    </row>
    <row r="4" spans="1:34">
      <c r="A4">
        <v>14</v>
      </c>
      <c r="B4" s="2">
        <f>SQRT(A4)</f>
        <v>3.7416573867739413</v>
      </c>
      <c r="C4" s="1">
        <v>6.75</v>
      </c>
      <c r="D4" s="1">
        <v>0.98373875367592944</v>
      </c>
      <c r="E4">
        <v>6</v>
      </c>
      <c r="F4">
        <v>0</v>
      </c>
      <c r="G4">
        <v>6</v>
      </c>
      <c r="H4">
        <v>0</v>
      </c>
      <c r="I4">
        <v>6</v>
      </c>
      <c r="J4">
        <v>0</v>
      </c>
      <c r="K4">
        <v>6</v>
      </c>
      <c r="L4">
        <v>0</v>
      </c>
      <c r="M4">
        <v>1.7023775000000005</v>
      </c>
      <c r="N4">
        <v>0.20299449182102136</v>
      </c>
      <c r="O4">
        <v>1.1388875000000001</v>
      </c>
      <c r="P4">
        <v>0.10930321292093259</v>
      </c>
      <c r="Q4">
        <v>1.062499375</v>
      </c>
      <c r="R4">
        <v>0.10151085363668456</v>
      </c>
      <c r="S4">
        <v>1.1388875000000001</v>
      </c>
      <c r="T4">
        <v>0.10930321292093259</v>
      </c>
      <c r="U4">
        <v>1.1388875000000001</v>
      </c>
      <c r="V4">
        <v>0.10930321292093259</v>
      </c>
      <c r="W4">
        <v>0.27718750000000003</v>
      </c>
      <c r="X4">
        <v>0.51434414470619594</v>
      </c>
      <c r="Y4">
        <v>0.45687500000000009</v>
      </c>
      <c r="Z4">
        <v>0.44622023710271153</v>
      </c>
      <c r="AA4">
        <v>0.59156249999999999</v>
      </c>
      <c r="AB4">
        <v>0.43330023395093564</v>
      </c>
      <c r="AC4">
        <v>0.62375000000000003</v>
      </c>
      <c r="AD4">
        <v>0.35702850703929734</v>
      </c>
      <c r="AE4">
        <v>0.92937499999999973</v>
      </c>
      <c r="AF4">
        <v>0.56829080186456638</v>
      </c>
      <c r="AH4">
        <f>A4/30</f>
        <v>0.46666666666666667</v>
      </c>
    </row>
    <row r="5" spans="1:34">
      <c r="A5">
        <v>38</v>
      </c>
      <c r="B5" s="2">
        <f t="shared" ref="B5:B15" si="0">SQRT(A5)</f>
        <v>6.164414002968976</v>
      </c>
      <c r="C5" s="1">
        <v>17.9375</v>
      </c>
      <c r="D5" s="1">
        <v>1.3425421240462847</v>
      </c>
      <c r="E5">
        <v>7.0625</v>
      </c>
      <c r="F5">
        <v>0.87758833761768995</v>
      </c>
      <c r="G5">
        <v>6.625</v>
      </c>
      <c r="H5">
        <v>0.49186937683796472</v>
      </c>
      <c r="I5">
        <v>7.90625</v>
      </c>
      <c r="J5">
        <v>1.4448880970176292</v>
      </c>
      <c r="K5">
        <v>6.9375</v>
      </c>
      <c r="L5">
        <v>1.4797013648139472</v>
      </c>
      <c r="M5">
        <v>1.4094062500000004</v>
      </c>
      <c r="N5">
        <v>0.28247904682499858</v>
      </c>
      <c r="O5">
        <v>1.0686496874999998</v>
      </c>
      <c r="P5">
        <v>0.14610913533702116</v>
      </c>
      <c r="Q5">
        <v>1.0382746875</v>
      </c>
      <c r="R5">
        <v>5.5112471393732661E-2</v>
      </c>
      <c r="S5">
        <v>1.0729375000000001</v>
      </c>
      <c r="T5">
        <v>0.12940489759889515</v>
      </c>
      <c r="U5">
        <v>1.0494315625000001</v>
      </c>
      <c r="V5">
        <v>8.927951172362486E-2</v>
      </c>
      <c r="W5">
        <v>0.21187500000000006</v>
      </c>
      <c r="X5">
        <v>5.195764404005937E-2</v>
      </c>
      <c r="Y5">
        <v>0.80781249999999993</v>
      </c>
      <c r="Z5">
        <v>2.2265853132673952</v>
      </c>
      <c r="AA5">
        <v>0.74124999999999996</v>
      </c>
      <c r="AB5">
        <v>0.68865811546804556</v>
      </c>
      <c r="AC5">
        <v>0.82937500000000008</v>
      </c>
      <c r="AD5">
        <v>0.65146454115868524</v>
      </c>
      <c r="AE5">
        <v>1.6615625000000001</v>
      </c>
      <c r="AF5">
        <v>1.9448179438388109</v>
      </c>
      <c r="AH5">
        <f t="shared" ref="AH5:AH15" si="1">A5/30</f>
        <v>1.2666666666666666</v>
      </c>
    </row>
    <row r="6" spans="1:34">
      <c r="A6">
        <v>110</v>
      </c>
      <c r="B6" s="2">
        <f t="shared" si="0"/>
        <v>10.488088481701515</v>
      </c>
      <c r="C6" s="1">
        <v>53.4375</v>
      </c>
      <c r="D6" s="1">
        <v>1.7027018377822634</v>
      </c>
      <c r="E6">
        <v>7.78125</v>
      </c>
      <c r="F6">
        <v>0.42001344064515445</v>
      </c>
      <c r="G6">
        <v>6.8125</v>
      </c>
      <c r="H6">
        <v>0.39655776945626603</v>
      </c>
      <c r="I6">
        <v>8.53125</v>
      </c>
      <c r="J6">
        <v>1.5023503092198247</v>
      </c>
      <c r="K6">
        <v>7.375</v>
      </c>
      <c r="L6">
        <v>2.2396716349184014</v>
      </c>
      <c r="M6">
        <v>1.3032003125000005</v>
      </c>
      <c r="N6">
        <v>0.1874898562328659</v>
      </c>
      <c r="O6">
        <v>1.2417187499999998</v>
      </c>
      <c r="P6">
        <v>0.22848524713792376</v>
      </c>
      <c r="Q6">
        <v>1.0445200000000003</v>
      </c>
      <c r="R6">
        <v>8.6032188574787227E-2</v>
      </c>
      <c r="S6">
        <v>1.226551875</v>
      </c>
      <c r="T6">
        <v>0.21923116155412606</v>
      </c>
      <c r="U6">
        <v>1.1876887500000002</v>
      </c>
      <c r="V6">
        <v>0.18865526392029991</v>
      </c>
      <c r="W6">
        <v>0.36249999999999993</v>
      </c>
      <c r="X6">
        <v>0.22242069989534588</v>
      </c>
      <c r="Y6">
        <v>1.2853125000000001</v>
      </c>
      <c r="Z6">
        <v>2.7832100107088</v>
      </c>
      <c r="AA6">
        <v>1.9321875000000002</v>
      </c>
      <c r="AB6">
        <v>3.2207730332098237</v>
      </c>
      <c r="AC6">
        <v>1.7390624999999997</v>
      </c>
      <c r="AD6">
        <v>2.7698496050647621</v>
      </c>
      <c r="AE6">
        <v>1.9825000000000002</v>
      </c>
      <c r="AF6">
        <v>1.7884125236753152</v>
      </c>
      <c r="AH6">
        <f t="shared" si="1"/>
        <v>3.6666666666666665</v>
      </c>
    </row>
    <row r="7" spans="1:34">
      <c r="A7">
        <v>326</v>
      </c>
      <c r="B7" s="2">
        <f t="shared" si="0"/>
        <v>18.055470085267789</v>
      </c>
      <c r="C7" s="1">
        <v>153.125</v>
      </c>
      <c r="D7" s="1">
        <v>11.850547829993673</v>
      </c>
      <c r="E7">
        <v>8.84375</v>
      </c>
      <c r="F7">
        <v>0.84660136485109794</v>
      </c>
      <c r="G7">
        <v>7.09375</v>
      </c>
      <c r="H7">
        <v>0.64053279234127902</v>
      </c>
      <c r="I7">
        <v>14.65625</v>
      </c>
      <c r="J7">
        <v>5.4097246665372847</v>
      </c>
      <c r="K7">
        <v>8.9375</v>
      </c>
      <c r="L7">
        <v>2.9614458108029904</v>
      </c>
      <c r="M7">
        <v>1.2520756249999998</v>
      </c>
      <c r="N7">
        <v>0.17629177573881782</v>
      </c>
      <c r="O7">
        <v>1.3775478125</v>
      </c>
      <c r="P7">
        <v>0.33251414462986639</v>
      </c>
      <c r="Q7">
        <v>1.1367103125000002</v>
      </c>
      <c r="R7">
        <v>0.17731383121067654</v>
      </c>
      <c r="S7">
        <v>1.3476343749999997</v>
      </c>
      <c r="T7">
        <v>0.31122668293992994</v>
      </c>
      <c r="U7">
        <v>1.2355981250000003</v>
      </c>
      <c r="V7">
        <v>0.21037484429584025</v>
      </c>
      <c r="W7">
        <v>0.92437500000000006</v>
      </c>
      <c r="X7">
        <v>1.1378018918780586</v>
      </c>
      <c r="Y7">
        <v>1.8587499999999999</v>
      </c>
      <c r="Z7">
        <v>1.364441868641983</v>
      </c>
      <c r="AA7">
        <v>3.5028124999999983</v>
      </c>
      <c r="AB7">
        <v>2.4463313340526351</v>
      </c>
      <c r="AC7">
        <v>2.6943749999999995</v>
      </c>
      <c r="AD7">
        <v>2.3069249711641353</v>
      </c>
      <c r="AE7">
        <v>3.6106249999999998</v>
      </c>
      <c r="AF7">
        <v>2.7136286116444688</v>
      </c>
      <c r="AH7">
        <f t="shared" si="1"/>
        <v>10.866666666666667</v>
      </c>
    </row>
    <row r="8" spans="1:34">
      <c r="A8">
        <v>974</v>
      </c>
      <c r="B8" s="2">
        <f t="shared" si="0"/>
        <v>31.208973068654469</v>
      </c>
      <c r="C8" s="1">
        <v>444.03125</v>
      </c>
      <c r="D8" s="1">
        <v>54.186943061840061</v>
      </c>
      <c r="E8">
        <v>9.40625</v>
      </c>
      <c r="F8">
        <v>1.2664243542988622</v>
      </c>
      <c r="G8">
        <v>7.125</v>
      </c>
      <c r="H8">
        <v>0.90696231738771282</v>
      </c>
      <c r="I8">
        <v>16.59375</v>
      </c>
      <c r="J8">
        <v>10.260665183115567</v>
      </c>
      <c r="K8">
        <v>9.28125</v>
      </c>
      <c r="L8">
        <v>2.6546900068102235</v>
      </c>
      <c r="M8">
        <v>1.5320459375</v>
      </c>
      <c r="N8">
        <v>0.24640703673785702</v>
      </c>
      <c r="O8">
        <v>1.3233040625000003</v>
      </c>
      <c r="P8">
        <v>0.29204040454946367</v>
      </c>
      <c r="Q8">
        <v>1.0867331250000001</v>
      </c>
      <c r="R8">
        <v>0.15133083365833125</v>
      </c>
      <c r="S8">
        <v>1.3040175000000001</v>
      </c>
      <c r="T8">
        <v>0.2847709451244923</v>
      </c>
      <c r="U8">
        <v>1.1050737499999996</v>
      </c>
      <c r="V8">
        <v>0.1384431923034217</v>
      </c>
      <c r="W8">
        <v>3.0665624999999999</v>
      </c>
      <c r="X8">
        <v>2.5798682254107228</v>
      </c>
      <c r="Y8">
        <v>8.0612499999999994</v>
      </c>
      <c r="Z8">
        <v>7.1133145261816653</v>
      </c>
      <c r="AA8">
        <v>9.3093749999999975</v>
      </c>
      <c r="AB8">
        <v>6.1947667494947041</v>
      </c>
      <c r="AC8">
        <v>9.3912499999999977</v>
      </c>
      <c r="AD8">
        <v>6.3739260955056398</v>
      </c>
      <c r="AE8">
        <v>16.122499999999995</v>
      </c>
      <c r="AF8">
        <v>10.542900990255134</v>
      </c>
      <c r="AH8">
        <f t="shared" si="1"/>
        <v>32.466666666666669</v>
      </c>
    </row>
    <row r="9" spans="1:34">
      <c r="A9">
        <v>2918</v>
      </c>
      <c r="B9" s="2">
        <f t="shared" si="0"/>
        <v>54.018515344278022</v>
      </c>
      <c r="C9" s="1">
        <v>1332.3125</v>
      </c>
      <c r="D9" s="1">
        <v>123.61919610303769</v>
      </c>
      <c r="E9" s="1">
        <v>9.84375</v>
      </c>
      <c r="F9" s="1">
        <v>1.1103435969220548</v>
      </c>
      <c r="G9" s="1">
        <v>6.90625</v>
      </c>
      <c r="H9" s="1">
        <v>0.99545337377239262</v>
      </c>
      <c r="I9">
        <v>19.5625</v>
      </c>
      <c r="J9">
        <v>12.813645700152328</v>
      </c>
      <c r="K9">
        <v>9.375</v>
      </c>
      <c r="L9">
        <v>2.6730434508856344</v>
      </c>
      <c r="M9">
        <v>1.4208193749999996</v>
      </c>
      <c r="N9">
        <v>0.17548902774151601</v>
      </c>
      <c r="O9">
        <v>1.2043143749999998</v>
      </c>
      <c r="P9">
        <v>0.23511984233080296</v>
      </c>
      <c r="Q9">
        <v>1.08961</v>
      </c>
      <c r="R9">
        <v>0.15435350961034822</v>
      </c>
      <c r="S9">
        <v>1.1996487499999999</v>
      </c>
      <c r="T9">
        <v>0.23468200413091644</v>
      </c>
      <c r="U9">
        <v>1.1737281250000005</v>
      </c>
      <c r="V9">
        <v>0.238883457095274</v>
      </c>
      <c r="W9">
        <v>8.1968750000000004</v>
      </c>
      <c r="X9">
        <v>5.9674474131769468</v>
      </c>
      <c r="Y9">
        <v>16.296562500000004</v>
      </c>
      <c r="Z9">
        <v>10.087809509781847</v>
      </c>
      <c r="AA9">
        <v>17.596562500000001</v>
      </c>
      <c r="AB9">
        <v>8.9338791955028469</v>
      </c>
      <c r="AC9">
        <v>19.910937499999999</v>
      </c>
      <c r="AD9">
        <v>9.41143003064753</v>
      </c>
      <c r="AE9">
        <v>29.905000000000005</v>
      </c>
      <c r="AF9">
        <v>20.164105124797164</v>
      </c>
      <c r="AH9">
        <f t="shared" si="1"/>
        <v>97.266666666666666</v>
      </c>
    </row>
    <row r="10" spans="1:34">
      <c r="A10">
        <v>8750</v>
      </c>
      <c r="B10" s="2">
        <f t="shared" si="0"/>
        <v>93.541434669348533</v>
      </c>
      <c r="C10" s="1">
        <v>3859.625</v>
      </c>
      <c r="D10" s="1">
        <v>187.3696966582549</v>
      </c>
      <c r="E10" s="1">
        <v>11.1875</v>
      </c>
      <c r="F10" s="1">
        <v>1.6740428175045909</v>
      </c>
      <c r="G10" s="1">
        <v>7.5</v>
      </c>
      <c r="H10" s="1">
        <v>1.2951522516054665</v>
      </c>
      <c r="I10">
        <v>61.09375</v>
      </c>
      <c r="J10">
        <v>31.786951446435761</v>
      </c>
      <c r="K10">
        <v>10.15625</v>
      </c>
      <c r="L10">
        <v>3.0807348830035406</v>
      </c>
      <c r="M10">
        <v>1.3725346875000004</v>
      </c>
      <c r="N10">
        <v>0.2326134707216872</v>
      </c>
      <c r="O10">
        <v>1.3024687500000001</v>
      </c>
      <c r="P10">
        <v>0.35166843495019917</v>
      </c>
      <c r="Q10">
        <v>1.1319021874999999</v>
      </c>
      <c r="R10">
        <v>0.17359603111143174</v>
      </c>
      <c r="S10">
        <v>1.2931699999999995</v>
      </c>
      <c r="T10">
        <v>0.34102469291921783</v>
      </c>
      <c r="U10">
        <v>1.22944875</v>
      </c>
      <c r="V10">
        <v>0.26837101736155755</v>
      </c>
      <c r="W10">
        <v>23.228437499999998</v>
      </c>
      <c r="X10">
        <v>8.245113942902897</v>
      </c>
      <c r="Y10">
        <v>46.953124999999993</v>
      </c>
      <c r="Z10">
        <v>13.653538933303187</v>
      </c>
      <c r="AA10">
        <v>54.426562500000003</v>
      </c>
      <c r="AB10">
        <v>15.92989026740146</v>
      </c>
      <c r="AC10">
        <v>55.714999999999982</v>
      </c>
      <c r="AD10">
        <v>16.278470047789416</v>
      </c>
      <c r="AE10">
        <v>81.325625000000002</v>
      </c>
      <c r="AF10">
        <v>24.843403607850952</v>
      </c>
      <c r="AH10">
        <f t="shared" si="1"/>
        <v>291.66666666666669</v>
      </c>
    </row>
    <row r="11" spans="1:34">
      <c r="A11">
        <v>26246</v>
      </c>
      <c r="B11" s="2">
        <f t="shared" si="0"/>
        <v>162.00617272190587</v>
      </c>
      <c r="C11" s="1">
        <v>11570.90625</v>
      </c>
      <c r="D11" s="1">
        <v>316.60001827634289</v>
      </c>
      <c r="E11" s="1">
        <v>11.34375</v>
      </c>
      <c r="F11" s="1">
        <v>2.009804596504106</v>
      </c>
      <c r="G11" s="1">
        <v>7.46875</v>
      </c>
      <c r="H11" s="1">
        <v>1.3194420863966856</v>
      </c>
      <c r="I11">
        <v>94.46875</v>
      </c>
      <c r="J11">
        <v>85.8287809367975</v>
      </c>
      <c r="K11">
        <v>10.03125</v>
      </c>
      <c r="L11">
        <v>2.8110883554124522</v>
      </c>
      <c r="M11">
        <v>1.2284071875000002</v>
      </c>
      <c r="N11">
        <v>0.20194881327246381</v>
      </c>
      <c r="O11">
        <v>1.3012190625000002</v>
      </c>
      <c r="P11">
        <v>0.37690292090001537</v>
      </c>
      <c r="Q11">
        <v>1.1022281250000001</v>
      </c>
      <c r="R11">
        <v>0.16304752531853814</v>
      </c>
      <c r="S11">
        <v>1.2960862500000001</v>
      </c>
      <c r="T11">
        <v>0.37262441742712299</v>
      </c>
      <c r="U11">
        <v>1.2365818749999997</v>
      </c>
      <c r="V11">
        <v>0.27085737268589716</v>
      </c>
      <c r="W11">
        <v>59.069062500000008</v>
      </c>
      <c r="X11">
        <v>9.3936826264404711</v>
      </c>
      <c r="Y11">
        <v>121.32031249999999</v>
      </c>
      <c r="Z11">
        <v>16.551067694704191</v>
      </c>
      <c r="AA11">
        <v>166.4715625</v>
      </c>
      <c r="AB11">
        <v>16.431291373154945</v>
      </c>
      <c r="AC11">
        <v>170.96718750000002</v>
      </c>
      <c r="AD11">
        <v>20.9205127357097</v>
      </c>
      <c r="AE11">
        <v>251.10812499999997</v>
      </c>
      <c r="AF11">
        <v>18.15194834250671</v>
      </c>
      <c r="AH11">
        <f t="shared" si="1"/>
        <v>874.86666666666667</v>
      </c>
    </row>
    <row r="12" spans="1:34">
      <c r="A12">
        <v>78734</v>
      </c>
      <c r="B12" s="2">
        <f t="shared" si="0"/>
        <v>280.59579469407589</v>
      </c>
      <c r="C12" s="1">
        <v>33674.65625</v>
      </c>
      <c r="D12" s="1">
        <v>1167.9432047994014</v>
      </c>
      <c r="E12" s="1">
        <v>12.53125</v>
      </c>
      <c r="F12" s="1">
        <v>1.3908543440819434</v>
      </c>
      <c r="G12" s="1">
        <v>7.53125</v>
      </c>
      <c r="H12" s="1">
        <v>1.3908543440819434</v>
      </c>
      <c r="I12">
        <v>77.375</v>
      </c>
      <c r="J12">
        <v>77.294055190175754</v>
      </c>
      <c r="K12">
        <v>9.125</v>
      </c>
      <c r="L12">
        <v>3.2700991402550432</v>
      </c>
      <c r="M12">
        <v>1.2267728125000001</v>
      </c>
      <c r="N12">
        <v>0.17133996939181756</v>
      </c>
      <c r="O12">
        <v>1.1996196874999998</v>
      </c>
      <c r="P12">
        <v>0.21032660739269021</v>
      </c>
      <c r="Q12">
        <v>1.0725225</v>
      </c>
      <c r="R12">
        <v>0.13058469465224246</v>
      </c>
      <c r="S12">
        <v>1.1985059375</v>
      </c>
      <c r="T12">
        <v>0.20957683470329866</v>
      </c>
      <c r="U12">
        <v>1.1893653125000003</v>
      </c>
      <c r="V12">
        <v>0.25426828779960631</v>
      </c>
      <c r="W12">
        <v>195.22000000000006</v>
      </c>
      <c r="X12">
        <v>99.890073064214761</v>
      </c>
      <c r="Y12">
        <v>356.14249999999993</v>
      </c>
      <c r="Z12">
        <v>11.399874362635357</v>
      </c>
      <c r="AA12">
        <v>437.07031250000006</v>
      </c>
      <c r="AB12">
        <v>14.88912061884178</v>
      </c>
      <c r="AC12">
        <v>517.30937500000005</v>
      </c>
      <c r="AD12">
        <v>25.695194095331793</v>
      </c>
      <c r="AE12">
        <v>711.85031249999997</v>
      </c>
      <c r="AF12">
        <v>51.973242649579745</v>
      </c>
      <c r="AH12">
        <f t="shared" si="1"/>
        <v>2624.4666666666667</v>
      </c>
    </row>
    <row r="13" spans="1:34">
      <c r="A13">
        <v>236198</v>
      </c>
      <c r="B13" s="2">
        <f t="shared" si="0"/>
        <v>486.002057608813</v>
      </c>
      <c r="C13" s="1">
        <v>97868.15625</v>
      </c>
      <c r="D13" s="1">
        <v>5649.8606155195002</v>
      </c>
      <c r="E13" s="1">
        <v>12.75</v>
      </c>
      <c r="F13" s="1">
        <v>1.6848470783484639</v>
      </c>
      <c r="G13" s="1">
        <v>7.09375</v>
      </c>
      <c r="H13" s="1">
        <v>1.3285785515888533</v>
      </c>
      <c r="I13">
        <v>323.3125</v>
      </c>
      <c r="J13">
        <v>204.01524887663066</v>
      </c>
      <c r="K13">
        <v>8.875</v>
      </c>
      <c r="L13">
        <v>2.7444959581890678</v>
      </c>
      <c r="M13">
        <v>1.3200287499999999</v>
      </c>
      <c r="N13">
        <v>0.25436768124685705</v>
      </c>
      <c r="O13">
        <v>1.2566937499999999</v>
      </c>
      <c r="P13">
        <v>0.32769576928126304</v>
      </c>
      <c r="Q13">
        <v>1.0797565624999999</v>
      </c>
      <c r="R13">
        <v>0.1378865800766064</v>
      </c>
      <c r="S13">
        <v>1.2537609374999998</v>
      </c>
      <c r="T13">
        <v>0.32347410085646666</v>
      </c>
      <c r="U13">
        <v>1.142415</v>
      </c>
      <c r="V13">
        <v>0.23045141644593017</v>
      </c>
      <c r="W13">
        <v>642.97124999999983</v>
      </c>
      <c r="X13">
        <v>20.07351195625878</v>
      </c>
      <c r="Y13">
        <v>1361.6481249999999</v>
      </c>
      <c r="Z13">
        <v>166.84625152512243</v>
      </c>
      <c r="AA13">
        <v>1688.5181250000003</v>
      </c>
      <c r="AB13">
        <v>40.612975317168093</v>
      </c>
      <c r="AC13">
        <v>2005.0268750000002</v>
      </c>
      <c r="AD13">
        <v>78.571088725228591</v>
      </c>
      <c r="AE13">
        <v>2593.1881249999992</v>
      </c>
      <c r="AF13">
        <v>224.989771142938</v>
      </c>
      <c r="AH13">
        <f t="shared" si="1"/>
        <v>7873.2666666666664</v>
      </c>
    </row>
    <row r="14" spans="1:34">
      <c r="A14">
        <v>708590</v>
      </c>
      <c r="B14" s="2">
        <f t="shared" si="0"/>
        <v>841.777880441153</v>
      </c>
      <c r="C14" s="1">
        <v>282027.875</v>
      </c>
      <c r="D14" s="1">
        <v>16567.970451660542</v>
      </c>
      <c r="E14" s="1">
        <v>13.1875</v>
      </c>
      <c r="F14" s="1">
        <v>2.2351661553306243</v>
      </c>
      <c r="G14" s="1">
        <v>7.4375</v>
      </c>
      <c r="H14" s="1">
        <v>1.5849595497026252</v>
      </c>
      <c r="I14">
        <v>267.78125</v>
      </c>
      <c r="J14">
        <v>289.37058886765413</v>
      </c>
      <c r="K14">
        <v>9.625</v>
      </c>
      <c r="L14">
        <v>2.9375214481028928</v>
      </c>
      <c r="M14">
        <v>1.4678300000000002</v>
      </c>
      <c r="N14">
        <v>0.1614210995322288</v>
      </c>
      <c r="O14">
        <v>1.3474534375</v>
      </c>
      <c r="P14">
        <v>0.33932923068530357</v>
      </c>
      <c r="Q14">
        <v>1.1232671875000002</v>
      </c>
      <c r="R14">
        <v>0.17366045786913611</v>
      </c>
      <c r="S14">
        <v>1.3467437499999999</v>
      </c>
      <c r="T14">
        <v>0.33897207920750388</v>
      </c>
      <c r="U14">
        <v>1.1564409375000002</v>
      </c>
      <c r="V14">
        <v>0.20454479760708824</v>
      </c>
      <c r="W14">
        <v>2678.7015625000004</v>
      </c>
      <c r="X14">
        <v>691.47112816412766</v>
      </c>
      <c r="Y14">
        <v>5636.1440624999996</v>
      </c>
      <c r="Z14">
        <v>1005.6399807628826</v>
      </c>
      <c r="AA14">
        <v>6185.1637500000006</v>
      </c>
      <c r="AB14">
        <v>855.83809812653499</v>
      </c>
      <c r="AC14">
        <v>7994.2893749999994</v>
      </c>
      <c r="AD14">
        <v>1174.8397736326804</v>
      </c>
      <c r="AE14">
        <v>10487.028125000001</v>
      </c>
      <c r="AF14">
        <v>777.86077168022268</v>
      </c>
      <c r="AH14">
        <f t="shared" si="1"/>
        <v>23619.666666666668</v>
      </c>
    </row>
    <row r="15" spans="1:34">
      <c r="A15">
        <v>2125766</v>
      </c>
      <c r="B15" s="2">
        <f t="shared" si="0"/>
        <v>1458.0006858708948</v>
      </c>
      <c r="C15" s="1">
        <v>851806.3125</v>
      </c>
      <c r="D15" s="1">
        <v>36271.937625732098</v>
      </c>
      <c r="E15" s="1">
        <v>14.21875</v>
      </c>
      <c r="F15" s="1">
        <v>1.8962505448996601</v>
      </c>
      <c r="G15" s="1">
        <v>7.40625</v>
      </c>
      <c r="H15" s="1">
        <v>1.3879521930969312</v>
      </c>
      <c r="I15">
        <v>447.90625</v>
      </c>
      <c r="J15">
        <v>486.25005908449759</v>
      </c>
      <c r="K15">
        <v>9.625</v>
      </c>
      <c r="L15">
        <v>2.6970712909352428</v>
      </c>
      <c r="M15">
        <v>1.3285787500000001</v>
      </c>
      <c r="N15">
        <v>0.16036670112789783</v>
      </c>
      <c r="O15">
        <v>1.2658740625</v>
      </c>
      <c r="P15">
        <v>0.24037073495935277</v>
      </c>
      <c r="Q15">
        <v>1.093885</v>
      </c>
      <c r="R15">
        <v>0.1494079107246219</v>
      </c>
      <c r="S15">
        <v>1.2655068749999998</v>
      </c>
      <c r="T15">
        <v>0.24011418304547821</v>
      </c>
      <c r="U15">
        <v>1.1473484375</v>
      </c>
      <c r="V15">
        <v>0.1858525784855784</v>
      </c>
      <c r="W15">
        <v>14267.872812500002</v>
      </c>
      <c r="X15">
        <v>4725.81301339522</v>
      </c>
      <c r="Y15">
        <v>31965.187187500003</v>
      </c>
      <c r="Z15">
        <v>7555.2328457588592</v>
      </c>
      <c r="AA15">
        <v>33206.207187500004</v>
      </c>
      <c r="AB15">
        <v>6068.3558618396773</v>
      </c>
      <c r="AC15">
        <v>40888.539062499993</v>
      </c>
      <c r="AD15">
        <v>7349.1633030440598</v>
      </c>
      <c r="AE15">
        <v>63003.318124999998</v>
      </c>
      <c r="AF15">
        <v>10246.86183549319</v>
      </c>
      <c r="AH15">
        <f t="shared" si="1"/>
        <v>70858.866666666669</v>
      </c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topLeftCell="A32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14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6</v>
      </c>
      <c r="C5">
        <v>1.85714</v>
      </c>
      <c r="D5">
        <v>3.07</v>
      </c>
      <c r="E5">
        <v>6</v>
      </c>
      <c r="F5">
        <v>1.2222200000000001</v>
      </c>
      <c r="G5">
        <v>2.2999999999999998</v>
      </c>
      <c r="H5">
        <v>6</v>
      </c>
      <c r="I5">
        <v>1</v>
      </c>
      <c r="J5">
        <v>1.73</v>
      </c>
      <c r="K5">
        <v>6</v>
      </c>
      <c r="L5">
        <v>1.2222200000000001</v>
      </c>
      <c r="M5">
        <v>1.65</v>
      </c>
      <c r="N5">
        <v>6</v>
      </c>
      <c r="O5">
        <v>1.2222200000000001</v>
      </c>
      <c r="P5">
        <v>2.68</v>
      </c>
    </row>
    <row r="6" spans="1:16">
      <c r="A6">
        <v>1</v>
      </c>
      <c r="B6">
        <v>6</v>
      </c>
      <c r="C6">
        <v>1.85714</v>
      </c>
      <c r="D6">
        <v>0.43</v>
      </c>
      <c r="E6">
        <v>6</v>
      </c>
      <c r="F6">
        <v>1.2222200000000001</v>
      </c>
      <c r="G6">
        <v>0.81</v>
      </c>
      <c r="H6">
        <v>6</v>
      </c>
      <c r="I6">
        <v>1.2222200000000001</v>
      </c>
      <c r="J6">
        <v>0.84</v>
      </c>
      <c r="K6">
        <v>6</v>
      </c>
      <c r="L6">
        <v>1.2222200000000001</v>
      </c>
      <c r="M6">
        <v>1.1299999999999999</v>
      </c>
      <c r="N6">
        <v>6</v>
      </c>
      <c r="O6">
        <v>1.2222200000000001</v>
      </c>
      <c r="P6">
        <v>1.52</v>
      </c>
    </row>
    <row r="7" spans="1:16">
      <c r="A7">
        <v>2</v>
      </c>
      <c r="B7">
        <v>8</v>
      </c>
      <c r="C7">
        <v>1.4444399999999999</v>
      </c>
      <c r="D7">
        <v>0.24</v>
      </c>
      <c r="E7">
        <v>6</v>
      </c>
      <c r="F7">
        <v>1</v>
      </c>
      <c r="G7">
        <v>0.48</v>
      </c>
      <c r="H7">
        <v>6</v>
      </c>
      <c r="I7">
        <v>1</v>
      </c>
      <c r="J7">
        <v>0.81</v>
      </c>
      <c r="K7">
        <v>6</v>
      </c>
      <c r="L7">
        <v>1</v>
      </c>
      <c r="M7">
        <v>0.87</v>
      </c>
      <c r="N7">
        <v>6</v>
      </c>
      <c r="O7">
        <v>1</v>
      </c>
      <c r="P7">
        <v>0.96</v>
      </c>
    </row>
    <row r="8" spans="1:16">
      <c r="A8">
        <v>3</v>
      </c>
      <c r="B8">
        <v>6</v>
      </c>
      <c r="C8">
        <v>1.85714</v>
      </c>
      <c r="D8">
        <v>0.23</v>
      </c>
      <c r="E8">
        <v>6</v>
      </c>
      <c r="F8">
        <v>1.2222200000000001</v>
      </c>
      <c r="G8">
        <v>0.51</v>
      </c>
      <c r="H8">
        <v>6</v>
      </c>
      <c r="I8">
        <v>1.2222200000000001</v>
      </c>
      <c r="J8">
        <v>0.87</v>
      </c>
      <c r="K8">
        <v>6</v>
      </c>
      <c r="L8">
        <v>1.2222200000000001</v>
      </c>
      <c r="M8">
        <v>1.03</v>
      </c>
      <c r="N8">
        <v>6</v>
      </c>
      <c r="O8">
        <v>1.2222200000000001</v>
      </c>
      <c r="P8">
        <v>2.11</v>
      </c>
    </row>
    <row r="9" spans="1:16">
      <c r="A9">
        <v>4</v>
      </c>
      <c r="B9">
        <v>8</v>
      </c>
      <c r="C9">
        <v>1.4444399999999999</v>
      </c>
      <c r="D9">
        <v>0.21</v>
      </c>
      <c r="E9">
        <v>6</v>
      </c>
      <c r="F9">
        <v>1</v>
      </c>
      <c r="G9">
        <v>0.44</v>
      </c>
      <c r="H9">
        <v>6</v>
      </c>
      <c r="I9">
        <v>1</v>
      </c>
      <c r="J9">
        <v>0.62</v>
      </c>
      <c r="K9">
        <v>6</v>
      </c>
      <c r="L9">
        <v>1</v>
      </c>
      <c r="M9">
        <v>1.9</v>
      </c>
      <c r="N9">
        <v>6</v>
      </c>
      <c r="O9">
        <v>1</v>
      </c>
      <c r="P9">
        <v>1.05</v>
      </c>
    </row>
    <row r="10" spans="1:16">
      <c r="A10">
        <v>5</v>
      </c>
      <c r="B10">
        <v>8</v>
      </c>
      <c r="C10">
        <v>1.4444399999999999</v>
      </c>
      <c r="D10">
        <v>0.23</v>
      </c>
      <c r="E10">
        <v>6</v>
      </c>
      <c r="F10">
        <v>1</v>
      </c>
      <c r="G10">
        <v>0.4</v>
      </c>
      <c r="H10">
        <v>6</v>
      </c>
      <c r="I10">
        <v>1</v>
      </c>
      <c r="J10">
        <v>0.63</v>
      </c>
      <c r="K10">
        <v>6</v>
      </c>
      <c r="L10">
        <v>1</v>
      </c>
      <c r="M10">
        <v>0.69</v>
      </c>
      <c r="N10">
        <v>6</v>
      </c>
      <c r="O10">
        <v>1</v>
      </c>
      <c r="P10">
        <v>0.76</v>
      </c>
    </row>
    <row r="11" spans="1:16">
      <c r="A11">
        <v>6</v>
      </c>
      <c r="B11">
        <v>6</v>
      </c>
      <c r="C11">
        <v>1.85714</v>
      </c>
      <c r="D11">
        <v>0.24</v>
      </c>
      <c r="E11">
        <v>6</v>
      </c>
      <c r="F11">
        <v>1.2222200000000001</v>
      </c>
      <c r="G11">
        <v>0.41</v>
      </c>
      <c r="H11">
        <v>6</v>
      </c>
      <c r="I11">
        <v>1.2222200000000001</v>
      </c>
      <c r="J11">
        <v>0.52</v>
      </c>
      <c r="K11">
        <v>6</v>
      </c>
      <c r="L11">
        <v>1.2222200000000001</v>
      </c>
      <c r="M11">
        <v>0.62</v>
      </c>
      <c r="N11">
        <v>6</v>
      </c>
      <c r="O11">
        <v>1.2222200000000001</v>
      </c>
      <c r="P11">
        <v>0.87</v>
      </c>
    </row>
    <row r="12" spans="1:16">
      <c r="A12">
        <v>7</v>
      </c>
      <c r="B12">
        <v>8</v>
      </c>
      <c r="C12">
        <v>1.4444399999999999</v>
      </c>
      <c r="D12">
        <v>0.22</v>
      </c>
      <c r="E12">
        <v>6</v>
      </c>
      <c r="F12">
        <v>1</v>
      </c>
      <c r="G12">
        <v>0.37</v>
      </c>
      <c r="H12">
        <v>6</v>
      </c>
      <c r="I12">
        <v>1</v>
      </c>
      <c r="J12">
        <v>0.52</v>
      </c>
      <c r="K12">
        <v>6</v>
      </c>
      <c r="L12">
        <v>1</v>
      </c>
      <c r="M12">
        <v>0.66</v>
      </c>
      <c r="N12">
        <v>6</v>
      </c>
      <c r="O12">
        <v>1</v>
      </c>
      <c r="P12">
        <v>0.76</v>
      </c>
    </row>
    <row r="13" spans="1:16">
      <c r="A13">
        <v>8</v>
      </c>
      <c r="B13">
        <v>6</v>
      </c>
      <c r="C13">
        <v>1.85714</v>
      </c>
      <c r="D13">
        <v>0.19</v>
      </c>
      <c r="E13">
        <v>6</v>
      </c>
      <c r="F13">
        <v>1.2222200000000001</v>
      </c>
      <c r="G13">
        <v>0.4</v>
      </c>
      <c r="H13">
        <v>6</v>
      </c>
      <c r="I13">
        <v>1</v>
      </c>
      <c r="J13">
        <v>0.43</v>
      </c>
      <c r="K13">
        <v>6</v>
      </c>
      <c r="L13">
        <v>1.2222200000000001</v>
      </c>
      <c r="M13">
        <v>0.51</v>
      </c>
      <c r="N13">
        <v>6</v>
      </c>
      <c r="O13">
        <v>1.2222200000000001</v>
      </c>
      <c r="P13">
        <v>0.71</v>
      </c>
    </row>
    <row r="14" spans="1:16">
      <c r="A14">
        <v>9</v>
      </c>
      <c r="B14">
        <v>6</v>
      </c>
      <c r="C14">
        <v>1.85714</v>
      </c>
      <c r="D14">
        <v>0.17</v>
      </c>
      <c r="E14">
        <v>6</v>
      </c>
      <c r="F14">
        <v>1.2222200000000001</v>
      </c>
      <c r="G14">
        <v>0.34</v>
      </c>
      <c r="H14">
        <v>6</v>
      </c>
      <c r="I14">
        <v>1.2222200000000001</v>
      </c>
      <c r="J14">
        <v>0.49</v>
      </c>
      <c r="K14">
        <v>6</v>
      </c>
      <c r="L14">
        <v>1.2222200000000001</v>
      </c>
      <c r="M14">
        <v>0.57999999999999996</v>
      </c>
      <c r="N14">
        <v>6</v>
      </c>
      <c r="O14">
        <v>1.2222200000000001</v>
      </c>
      <c r="P14">
        <v>0.73</v>
      </c>
    </row>
    <row r="15" spans="1:16">
      <c r="A15">
        <v>10</v>
      </c>
      <c r="B15">
        <v>6</v>
      </c>
      <c r="C15">
        <v>1.85714</v>
      </c>
      <c r="D15">
        <v>0.21</v>
      </c>
      <c r="E15">
        <v>6</v>
      </c>
      <c r="F15">
        <v>1.2222200000000001</v>
      </c>
      <c r="G15">
        <v>0.38</v>
      </c>
      <c r="H15">
        <v>6</v>
      </c>
      <c r="I15">
        <v>1.2222200000000001</v>
      </c>
      <c r="J15">
        <v>0.48</v>
      </c>
      <c r="K15">
        <v>6</v>
      </c>
      <c r="L15">
        <v>1.2222200000000001</v>
      </c>
      <c r="M15">
        <v>0.57999999999999996</v>
      </c>
      <c r="N15">
        <v>6</v>
      </c>
      <c r="O15">
        <v>1.2222200000000001</v>
      </c>
      <c r="P15">
        <v>0.83</v>
      </c>
    </row>
    <row r="16" spans="1:16">
      <c r="A16">
        <v>11</v>
      </c>
      <c r="B16">
        <v>6</v>
      </c>
      <c r="C16">
        <v>1.85714</v>
      </c>
      <c r="D16">
        <v>0.22</v>
      </c>
      <c r="E16">
        <v>6</v>
      </c>
      <c r="F16">
        <v>1.2222200000000001</v>
      </c>
      <c r="G16">
        <v>0.39</v>
      </c>
      <c r="H16">
        <v>6</v>
      </c>
      <c r="I16">
        <v>1.2222200000000001</v>
      </c>
      <c r="J16">
        <v>1.39</v>
      </c>
      <c r="K16">
        <v>6</v>
      </c>
      <c r="L16">
        <v>1.2222200000000001</v>
      </c>
      <c r="M16">
        <v>0.56999999999999995</v>
      </c>
      <c r="N16">
        <v>6</v>
      </c>
      <c r="O16">
        <v>1.2222200000000001</v>
      </c>
      <c r="P16">
        <v>0.77</v>
      </c>
    </row>
    <row r="17" spans="1:16">
      <c r="A17">
        <v>12</v>
      </c>
      <c r="B17">
        <v>8</v>
      </c>
      <c r="C17">
        <v>1.4444399999999999</v>
      </c>
      <c r="D17">
        <v>0.19</v>
      </c>
      <c r="E17">
        <v>6</v>
      </c>
      <c r="F17">
        <v>1</v>
      </c>
      <c r="G17">
        <v>1.87</v>
      </c>
      <c r="H17">
        <v>6</v>
      </c>
      <c r="I17">
        <v>1</v>
      </c>
      <c r="J17">
        <v>0.93</v>
      </c>
      <c r="K17">
        <v>6</v>
      </c>
      <c r="L17">
        <v>1</v>
      </c>
      <c r="M17">
        <v>0.51</v>
      </c>
      <c r="N17">
        <v>6</v>
      </c>
      <c r="O17">
        <v>1</v>
      </c>
      <c r="P17">
        <v>1.5</v>
      </c>
    </row>
    <row r="18" spans="1:16">
      <c r="A18">
        <v>13</v>
      </c>
      <c r="B18">
        <v>6</v>
      </c>
      <c r="C18">
        <v>1.85714</v>
      </c>
      <c r="D18">
        <v>0.22</v>
      </c>
      <c r="E18">
        <v>6</v>
      </c>
      <c r="F18">
        <v>1.2222200000000001</v>
      </c>
      <c r="G18">
        <v>0.37</v>
      </c>
      <c r="H18">
        <v>6</v>
      </c>
      <c r="I18">
        <v>1.2222200000000001</v>
      </c>
      <c r="J18">
        <v>0.56999999999999995</v>
      </c>
      <c r="K18">
        <v>6</v>
      </c>
      <c r="L18">
        <v>1.2222200000000001</v>
      </c>
      <c r="M18">
        <v>0.69</v>
      </c>
      <c r="N18">
        <v>6</v>
      </c>
      <c r="O18">
        <v>1.2222200000000001</v>
      </c>
      <c r="P18">
        <v>1.73</v>
      </c>
    </row>
    <row r="19" spans="1:16">
      <c r="A19">
        <v>14</v>
      </c>
      <c r="B19">
        <v>8</v>
      </c>
      <c r="C19">
        <v>1.4444399999999999</v>
      </c>
      <c r="D19">
        <v>0.2</v>
      </c>
      <c r="E19">
        <v>6</v>
      </c>
      <c r="F19">
        <v>1</v>
      </c>
      <c r="G19">
        <v>0.3</v>
      </c>
      <c r="H19">
        <v>6</v>
      </c>
      <c r="I19">
        <v>1</v>
      </c>
      <c r="J19">
        <v>0.41</v>
      </c>
      <c r="K19">
        <v>6</v>
      </c>
      <c r="L19">
        <v>1</v>
      </c>
      <c r="M19">
        <v>0.48</v>
      </c>
      <c r="N19">
        <v>6</v>
      </c>
      <c r="O19">
        <v>1</v>
      </c>
      <c r="P19">
        <v>0.63</v>
      </c>
    </row>
    <row r="20" spans="1:16">
      <c r="A20">
        <v>15</v>
      </c>
      <c r="B20">
        <v>6</v>
      </c>
      <c r="C20">
        <v>1.85714</v>
      </c>
      <c r="D20">
        <v>0.17</v>
      </c>
      <c r="E20">
        <v>6</v>
      </c>
      <c r="F20">
        <v>1.2222200000000001</v>
      </c>
      <c r="G20">
        <v>0.44</v>
      </c>
      <c r="H20">
        <v>6</v>
      </c>
      <c r="I20">
        <v>1</v>
      </c>
      <c r="J20">
        <v>0.38</v>
      </c>
      <c r="K20">
        <v>6</v>
      </c>
      <c r="L20">
        <v>1.2222200000000001</v>
      </c>
      <c r="M20">
        <v>0.73</v>
      </c>
      <c r="N20">
        <v>6</v>
      </c>
      <c r="O20">
        <v>1.2222200000000001</v>
      </c>
      <c r="P20">
        <v>1.3</v>
      </c>
    </row>
    <row r="21" spans="1:16">
      <c r="A21">
        <v>16</v>
      </c>
      <c r="B21">
        <v>8</v>
      </c>
      <c r="C21">
        <v>1.4444399999999999</v>
      </c>
      <c r="D21">
        <v>0.27</v>
      </c>
      <c r="E21">
        <v>6</v>
      </c>
      <c r="F21">
        <v>1</v>
      </c>
      <c r="G21">
        <v>0.37</v>
      </c>
      <c r="H21">
        <v>6</v>
      </c>
      <c r="I21">
        <v>1</v>
      </c>
      <c r="J21">
        <v>0.37</v>
      </c>
      <c r="K21">
        <v>6</v>
      </c>
      <c r="L21">
        <v>1</v>
      </c>
      <c r="M21">
        <v>0.52</v>
      </c>
      <c r="N21">
        <v>6</v>
      </c>
      <c r="O21">
        <v>1</v>
      </c>
      <c r="P21">
        <v>0.65</v>
      </c>
    </row>
    <row r="22" spans="1:16">
      <c r="A22">
        <v>17</v>
      </c>
      <c r="B22">
        <v>8</v>
      </c>
      <c r="C22">
        <v>1.4444399999999999</v>
      </c>
      <c r="D22">
        <v>0.19</v>
      </c>
      <c r="E22">
        <v>6</v>
      </c>
      <c r="F22">
        <v>1</v>
      </c>
      <c r="G22">
        <v>0.33</v>
      </c>
      <c r="H22">
        <v>6</v>
      </c>
      <c r="I22">
        <v>1</v>
      </c>
      <c r="J22">
        <v>0.42</v>
      </c>
      <c r="K22">
        <v>6</v>
      </c>
      <c r="L22">
        <v>1</v>
      </c>
      <c r="M22">
        <v>0.46</v>
      </c>
      <c r="N22">
        <v>6</v>
      </c>
      <c r="O22">
        <v>1</v>
      </c>
      <c r="P22">
        <v>0.62</v>
      </c>
    </row>
    <row r="23" spans="1:16">
      <c r="A23">
        <v>18</v>
      </c>
      <c r="B23">
        <v>8</v>
      </c>
      <c r="C23">
        <v>1.4444399999999999</v>
      </c>
      <c r="D23">
        <v>0.25</v>
      </c>
      <c r="E23">
        <v>6</v>
      </c>
      <c r="F23">
        <v>1</v>
      </c>
      <c r="G23">
        <v>0.34</v>
      </c>
      <c r="H23">
        <v>6</v>
      </c>
      <c r="I23">
        <v>1</v>
      </c>
      <c r="J23">
        <v>0.33</v>
      </c>
      <c r="K23">
        <v>6</v>
      </c>
      <c r="L23">
        <v>1</v>
      </c>
      <c r="M23">
        <v>0.47</v>
      </c>
      <c r="N23">
        <v>6</v>
      </c>
      <c r="O23">
        <v>1</v>
      </c>
      <c r="P23">
        <v>0.56000000000000005</v>
      </c>
    </row>
    <row r="24" spans="1:16">
      <c r="A24">
        <v>19</v>
      </c>
      <c r="B24">
        <v>6</v>
      </c>
      <c r="C24">
        <v>1.85714</v>
      </c>
      <c r="D24">
        <v>0.2</v>
      </c>
      <c r="E24">
        <v>6</v>
      </c>
      <c r="F24">
        <v>1.2222200000000001</v>
      </c>
      <c r="G24">
        <v>0.35</v>
      </c>
      <c r="H24">
        <v>6</v>
      </c>
      <c r="I24">
        <v>1</v>
      </c>
      <c r="J24">
        <v>0.34</v>
      </c>
      <c r="K24">
        <v>6</v>
      </c>
      <c r="L24">
        <v>1.2222200000000001</v>
      </c>
      <c r="M24">
        <v>0.46</v>
      </c>
      <c r="N24">
        <v>6</v>
      </c>
      <c r="O24">
        <v>1.2222200000000001</v>
      </c>
      <c r="P24">
        <v>0.99</v>
      </c>
    </row>
    <row r="25" spans="1:16">
      <c r="A25">
        <v>20</v>
      </c>
      <c r="B25">
        <v>6</v>
      </c>
      <c r="C25">
        <v>1.85714</v>
      </c>
      <c r="D25">
        <v>0.23</v>
      </c>
      <c r="E25">
        <v>6</v>
      </c>
      <c r="F25">
        <v>1.2222200000000001</v>
      </c>
      <c r="G25">
        <v>0.27</v>
      </c>
      <c r="H25">
        <v>6</v>
      </c>
      <c r="I25">
        <v>1</v>
      </c>
      <c r="J25">
        <v>0.31</v>
      </c>
      <c r="K25">
        <v>6</v>
      </c>
      <c r="L25">
        <v>1.2222200000000001</v>
      </c>
      <c r="M25">
        <v>0.43</v>
      </c>
      <c r="N25">
        <v>6</v>
      </c>
      <c r="O25">
        <v>1.2222200000000001</v>
      </c>
      <c r="P25">
        <v>0.79</v>
      </c>
    </row>
    <row r="26" spans="1:16">
      <c r="A26">
        <v>21</v>
      </c>
      <c r="B26">
        <v>6</v>
      </c>
      <c r="C26">
        <v>1.85714</v>
      </c>
      <c r="D26">
        <v>0.13</v>
      </c>
      <c r="E26">
        <v>6</v>
      </c>
      <c r="F26">
        <v>1.2222200000000001</v>
      </c>
      <c r="G26">
        <v>0.35</v>
      </c>
      <c r="H26">
        <v>6</v>
      </c>
      <c r="I26">
        <v>1</v>
      </c>
      <c r="J26">
        <v>0.37</v>
      </c>
      <c r="K26">
        <v>6</v>
      </c>
      <c r="L26">
        <v>1.2222200000000001</v>
      </c>
      <c r="M26">
        <v>0.46</v>
      </c>
      <c r="N26">
        <v>6</v>
      </c>
      <c r="O26">
        <v>1.2222200000000001</v>
      </c>
      <c r="P26">
        <v>0.53</v>
      </c>
    </row>
    <row r="27" spans="1:16">
      <c r="A27">
        <v>22</v>
      </c>
      <c r="B27">
        <v>6</v>
      </c>
      <c r="C27">
        <v>1.85714</v>
      </c>
      <c r="D27">
        <v>0.19</v>
      </c>
      <c r="E27">
        <v>6</v>
      </c>
      <c r="F27">
        <v>1.2222200000000001</v>
      </c>
      <c r="G27">
        <v>0.24</v>
      </c>
      <c r="H27">
        <v>6</v>
      </c>
      <c r="I27">
        <v>1</v>
      </c>
      <c r="J27">
        <v>0.32</v>
      </c>
      <c r="K27">
        <v>6</v>
      </c>
      <c r="L27">
        <v>1.2222200000000001</v>
      </c>
      <c r="M27">
        <v>0.42</v>
      </c>
      <c r="N27">
        <v>6</v>
      </c>
      <c r="O27">
        <v>1.2222200000000001</v>
      </c>
      <c r="P27">
        <v>0.49</v>
      </c>
    </row>
    <row r="28" spans="1:16">
      <c r="A28">
        <v>23</v>
      </c>
      <c r="B28">
        <v>6</v>
      </c>
      <c r="C28">
        <v>1.85714</v>
      </c>
      <c r="D28">
        <v>0.13</v>
      </c>
      <c r="E28">
        <v>6</v>
      </c>
      <c r="F28">
        <v>1.2222200000000001</v>
      </c>
      <c r="G28">
        <v>0.24</v>
      </c>
      <c r="H28">
        <v>6</v>
      </c>
      <c r="I28">
        <v>1</v>
      </c>
      <c r="J28">
        <v>0.51</v>
      </c>
      <c r="K28">
        <v>6</v>
      </c>
      <c r="L28">
        <v>1.2222200000000001</v>
      </c>
      <c r="M28">
        <v>0.49</v>
      </c>
      <c r="N28">
        <v>6</v>
      </c>
      <c r="O28">
        <v>1.2222200000000001</v>
      </c>
      <c r="P28">
        <v>0.35</v>
      </c>
    </row>
    <row r="29" spans="1:16">
      <c r="A29">
        <v>24</v>
      </c>
      <c r="B29">
        <v>8</v>
      </c>
      <c r="C29">
        <v>1.4444399999999999</v>
      </c>
      <c r="D29">
        <v>7.0000000000000007E-2</v>
      </c>
      <c r="E29">
        <v>6</v>
      </c>
      <c r="F29">
        <v>1</v>
      </c>
      <c r="G29">
        <v>0.22</v>
      </c>
      <c r="H29">
        <v>6</v>
      </c>
      <c r="I29">
        <v>1</v>
      </c>
      <c r="J29">
        <v>0.22</v>
      </c>
      <c r="K29">
        <v>6</v>
      </c>
      <c r="L29">
        <v>1</v>
      </c>
      <c r="M29">
        <v>0.38</v>
      </c>
      <c r="N29">
        <v>6</v>
      </c>
      <c r="O29">
        <v>1</v>
      </c>
      <c r="P29">
        <v>0.51</v>
      </c>
    </row>
    <row r="30" spans="1:16">
      <c r="A30">
        <v>25</v>
      </c>
      <c r="B30">
        <v>8</v>
      </c>
      <c r="C30">
        <v>1.4444399999999999</v>
      </c>
      <c r="D30">
        <v>0.11</v>
      </c>
      <c r="E30">
        <v>6</v>
      </c>
      <c r="F30">
        <v>1</v>
      </c>
      <c r="G30">
        <v>0.22</v>
      </c>
      <c r="H30">
        <v>6</v>
      </c>
      <c r="I30">
        <v>1</v>
      </c>
      <c r="J30">
        <v>2.16</v>
      </c>
      <c r="K30">
        <v>6</v>
      </c>
      <c r="L30">
        <v>1</v>
      </c>
      <c r="M30">
        <v>0.54</v>
      </c>
      <c r="N30">
        <v>6</v>
      </c>
      <c r="O30">
        <v>1</v>
      </c>
      <c r="P30">
        <v>0.5</v>
      </c>
    </row>
    <row r="31" spans="1:16">
      <c r="A31">
        <v>26</v>
      </c>
      <c r="B31">
        <v>6</v>
      </c>
      <c r="C31">
        <v>1.85714</v>
      </c>
      <c r="D31">
        <v>0.11</v>
      </c>
      <c r="E31">
        <v>6</v>
      </c>
      <c r="F31">
        <v>1.2222200000000001</v>
      </c>
      <c r="G31">
        <v>0.23</v>
      </c>
      <c r="H31">
        <v>6</v>
      </c>
      <c r="I31">
        <v>1</v>
      </c>
      <c r="J31">
        <v>0.31</v>
      </c>
      <c r="K31">
        <v>6</v>
      </c>
      <c r="L31">
        <v>1.2222200000000001</v>
      </c>
      <c r="M31">
        <v>0.34</v>
      </c>
      <c r="N31">
        <v>6</v>
      </c>
      <c r="O31">
        <v>1.2222200000000001</v>
      </c>
      <c r="P31">
        <v>0.55000000000000004</v>
      </c>
    </row>
    <row r="32" spans="1:16">
      <c r="A32">
        <v>27</v>
      </c>
      <c r="B32">
        <v>6</v>
      </c>
      <c r="C32">
        <v>1.85714</v>
      </c>
      <c r="D32">
        <v>0.09</v>
      </c>
      <c r="E32">
        <v>6</v>
      </c>
      <c r="F32">
        <v>1.2222200000000001</v>
      </c>
      <c r="G32">
        <v>0.21</v>
      </c>
      <c r="H32">
        <v>6</v>
      </c>
      <c r="I32">
        <v>1.2222200000000001</v>
      </c>
      <c r="J32">
        <v>0.34</v>
      </c>
      <c r="K32">
        <v>6</v>
      </c>
      <c r="L32">
        <v>1.2222200000000001</v>
      </c>
      <c r="M32">
        <v>0.38</v>
      </c>
      <c r="N32">
        <v>6</v>
      </c>
      <c r="O32">
        <v>1.2222200000000001</v>
      </c>
      <c r="P32">
        <v>0.54</v>
      </c>
    </row>
    <row r="33" spans="1:16">
      <c r="A33">
        <v>28</v>
      </c>
      <c r="B33">
        <v>8</v>
      </c>
      <c r="C33">
        <v>1.4444399999999999</v>
      </c>
      <c r="D33">
        <v>0.1</v>
      </c>
      <c r="E33">
        <v>6</v>
      </c>
      <c r="F33">
        <v>1</v>
      </c>
      <c r="G33">
        <v>0.34</v>
      </c>
      <c r="H33">
        <v>6</v>
      </c>
      <c r="I33">
        <v>1</v>
      </c>
      <c r="J33">
        <v>0.3</v>
      </c>
      <c r="K33">
        <v>6</v>
      </c>
      <c r="L33">
        <v>1</v>
      </c>
      <c r="M33">
        <v>0.35</v>
      </c>
      <c r="N33">
        <v>6</v>
      </c>
      <c r="O33">
        <v>1</v>
      </c>
      <c r="P33">
        <v>2.2000000000000002</v>
      </c>
    </row>
    <row r="34" spans="1:16">
      <c r="A34">
        <v>29</v>
      </c>
      <c r="B34">
        <v>6</v>
      </c>
      <c r="C34">
        <v>1.85714</v>
      </c>
      <c r="D34">
        <v>0.14000000000000001</v>
      </c>
      <c r="E34">
        <v>6</v>
      </c>
      <c r="F34">
        <v>1.2222200000000001</v>
      </c>
      <c r="G34">
        <v>0.23</v>
      </c>
      <c r="H34">
        <v>6</v>
      </c>
      <c r="I34">
        <v>1</v>
      </c>
      <c r="J34">
        <v>0.34</v>
      </c>
      <c r="K34">
        <v>6</v>
      </c>
      <c r="L34">
        <v>1.2222200000000001</v>
      </c>
      <c r="M34">
        <v>0.35</v>
      </c>
      <c r="N34">
        <v>6</v>
      </c>
      <c r="O34">
        <v>1.2222200000000001</v>
      </c>
      <c r="P34">
        <v>0.47</v>
      </c>
    </row>
    <row r="35" spans="1:16">
      <c r="A35">
        <v>30</v>
      </c>
      <c r="B35">
        <v>6</v>
      </c>
      <c r="C35">
        <v>1.85714</v>
      </c>
      <c r="D35">
        <v>0.1</v>
      </c>
      <c r="E35">
        <v>6</v>
      </c>
      <c r="F35">
        <v>1.2222200000000001</v>
      </c>
      <c r="G35">
        <v>0.23</v>
      </c>
      <c r="H35">
        <v>6</v>
      </c>
      <c r="I35">
        <v>1.2222200000000001</v>
      </c>
      <c r="J35">
        <v>0.39</v>
      </c>
      <c r="K35">
        <v>6</v>
      </c>
      <c r="L35">
        <v>1.2222200000000001</v>
      </c>
      <c r="M35">
        <v>0.34</v>
      </c>
      <c r="N35">
        <v>6</v>
      </c>
      <c r="O35">
        <v>1.2222200000000001</v>
      </c>
      <c r="P35">
        <v>0.49</v>
      </c>
    </row>
    <row r="36" spans="1:16">
      <c r="A36">
        <v>31</v>
      </c>
      <c r="B36">
        <v>6</v>
      </c>
      <c r="C36">
        <v>1.85714</v>
      </c>
      <c r="D36">
        <v>0.12</v>
      </c>
      <c r="E36">
        <v>6</v>
      </c>
      <c r="F36">
        <v>1.2222200000000001</v>
      </c>
      <c r="G36">
        <v>0.24</v>
      </c>
      <c r="H36">
        <v>6</v>
      </c>
      <c r="I36">
        <v>1</v>
      </c>
      <c r="J36">
        <v>0.28000000000000003</v>
      </c>
      <c r="K36">
        <v>6</v>
      </c>
      <c r="L36">
        <v>1.2222200000000001</v>
      </c>
      <c r="M36">
        <v>0.37</v>
      </c>
      <c r="N36">
        <v>6</v>
      </c>
      <c r="O36">
        <v>1.2222200000000001</v>
      </c>
      <c r="P36">
        <v>0.59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8</v>
      </c>
      <c r="C40" s="1">
        <f t="shared" ref="C40:J40" si="0">MAX(C5:C36)</f>
        <v>1.85714</v>
      </c>
      <c r="D40" s="1">
        <f t="shared" si="0"/>
        <v>3.07</v>
      </c>
      <c r="E40" s="1">
        <f t="shared" si="0"/>
        <v>6</v>
      </c>
      <c r="F40" s="1">
        <f t="shared" si="0"/>
        <v>1.2222200000000001</v>
      </c>
      <c r="G40" s="1">
        <f t="shared" si="0"/>
        <v>2.2999999999999998</v>
      </c>
      <c r="H40" s="1">
        <f t="shared" si="0"/>
        <v>6</v>
      </c>
      <c r="I40" s="1">
        <f t="shared" si="0"/>
        <v>1.2222200000000001</v>
      </c>
      <c r="J40" s="1">
        <f t="shared" si="0"/>
        <v>2.16</v>
      </c>
      <c r="K40" s="1">
        <f t="shared" ref="K40:P40" si="1">MAX(K5:K36)</f>
        <v>6</v>
      </c>
      <c r="L40" s="1">
        <f t="shared" si="1"/>
        <v>1.2222200000000001</v>
      </c>
      <c r="M40" s="1">
        <f t="shared" si="1"/>
        <v>1.9</v>
      </c>
      <c r="N40" s="1">
        <f t="shared" si="1"/>
        <v>6</v>
      </c>
      <c r="O40" s="1">
        <f t="shared" si="1"/>
        <v>1.2222200000000001</v>
      </c>
      <c r="P40" s="1">
        <f t="shared" si="1"/>
        <v>2.68</v>
      </c>
    </row>
    <row r="41" spans="1:16">
      <c r="A41" t="s">
        <v>12</v>
      </c>
      <c r="B41" s="1">
        <f>MIN(B5:B36)</f>
        <v>6</v>
      </c>
      <c r="C41" s="1">
        <f t="shared" ref="C41:J41" si="2">MIN(C5:C36)</f>
        <v>1.4444399999999999</v>
      </c>
      <c r="D41" s="1">
        <f t="shared" si="2"/>
        <v>7.0000000000000007E-2</v>
      </c>
      <c r="E41" s="1">
        <f t="shared" si="2"/>
        <v>6</v>
      </c>
      <c r="F41" s="1">
        <f t="shared" si="2"/>
        <v>1</v>
      </c>
      <c r="G41" s="1">
        <f t="shared" si="2"/>
        <v>0.21</v>
      </c>
      <c r="H41" s="1">
        <f t="shared" si="2"/>
        <v>6</v>
      </c>
      <c r="I41" s="1">
        <f t="shared" si="2"/>
        <v>1</v>
      </c>
      <c r="J41" s="1">
        <f t="shared" si="2"/>
        <v>0.22</v>
      </c>
      <c r="K41" s="1">
        <f t="shared" ref="K41:P41" si="3">MIN(K5:K36)</f>
        <v>6</v>
      </c>
      <c r="L41" s="1">
        <f t="shared" si="3"/>
        <v>1</v>
      </c>
      <c r="M41" s="1">
        <f t="shared" si="3"/>
        <v>0.34</v>
      </c>
      <c r="N41" s="1">
        <f t="shared" si="3"/>
        <v>6</v>
      </c>
      <c r="O41" s="1">
        <f t="shared" si="3"/>
        <v>1</v>
      </c>
      <c r="P41" s="1">
        <f t="shared" si="3"/>
        <v>0.35</v>
      </c>
    </row>
    <row r="42" spans="1:16">
      <c r="A42" t="s">
        <v>13</v>
      </c>
      <c r="B42" s="1">
        <f>MEDIAN(B5:B36)</f>
        <v>6</v>
      </c>
      <c r="C42" s="1">
        <f t="shared" ref="C42:J42" si="4">MEDIAN(C5:C36)</f>
        <v>1.85714</v>
      </c>
      <c r="D42" s="1">
        <f t="shared" si="4"/>
        <v>0.19500000000000001</v>
      </c>
      <c r="E42" s="1">
        <f t="shared" si="4"/>
        <v>6</v>
      </c>
      <c r="F42" s="1">
        <f t="shared" si="4"/>
        <v>1.2222200000000001</v>
      </c>
      <c r="G42" s="1">
        <f t="shared" si="4"/>
        <v>0.35</v>
      </c>
      <c r="H42" s="1">
        <f t="shared" si="4"/>
        <v>6</v>
      </c>
      <c r="I42" s="1">
        <f t="shared" si="4"/>
        <v>1</v>
      </c>
      <c r="J42" s="1">
        <f t="shared" si="4"/>
        <v>0.42499999999999999</v>
      </c>
      <c r="K42" s="1">
        <f t="shared" ref="K42:P42" si="5">MEDIAN(K5:K36)</f>
        <v>6</v>
      </c>
      <c r="L42" s="1">
        <f t="shared" si="5"/>
        <v>1.2222200000000001</v>
      </c>
      <c r="M42" s="1">
        <f t="shared" si="5"/>
        <v>0.51</v>
      </c>
      <c r="N42" s="1">
        <f t="shared" si="5"/>
        <v>6</v>
      </c>
      <c r="O42" s="1">
        <f t="shared" si="5"/>
        <v>1.2222200000000001</v>
      </c>
      <c r="P42" s="1">
        <f t="shared" si="5"/>
        <v>0.745</v>
      </c>
    </row>
    <row r="43" spans="1:16">
      <c r="A43" t="s">
        <v>14</v>
      </c>
      <c r="B43" s="1">
        <f>AVERAGE(B5:B36)</f>
        <v>6.75</v>
      </c>
      <c r="C43" s="1">
        <f t="shared" ref="C43:J43" si="6">AVERAGE(C5:C36)</f>
        <v>1.7023775000000005</v>
      </c>
      <c r="D43" s="1">
        <f t="shared" si="6"/>
        <v>0.27718750000000003</v>
      </c>
      <c r="E43" s="1">
        <f t="shared" si="6"/>
        <v>6</v>
      </c>
      <c r="F43" s="1">
        <f t="shared" si="6"/>
        <v>1.1388875000000001</v>
      </c>
      <c r="G43" s="1">
        <f t="shared" si="6"/>
        <v>0.45687500000000009</v>
      </c>
      <c r="H43" s="1">
        <f t="shared" si="6"/>
        <v>6</v>
      </c>
      <c r="I43" s="1">
        <f t="shared" si="6"/>
        <v>1.062499375</v>
      </c>
      <c r="J43" s="1">
        <f t="shared" si="6"/>
        <v>0.59156249999999999</v>
      </c>
      <c r="K43" s="1">
        <f t="shared" ref="K43:P43" si="7">AVERAGE(K5:K36)</f>
        <v>6</v>
      </c>
      <c r="L43" s="1">
        <f t="shared" si="7"/>
        <v>1.1388875000000001</v>
      </c>
      <c r="M43" s="1">
        <f t="shared" si="7"/>
        <v>0.62375000000000003</v>
      </c>
      <c r="N43" s="1">
        <f t="shared" si="7"/>
        <v>6</v>
      </c>
      <c r="O43" s="1">
        <f t="shared" si="7"/>
        <v>1.1388875000000001</v>
      </c>
      <c r="P43" s="1">
        <f t="shared" si="7"/>
        <v>0.92937499999999973</v>
      </c>
    </row>
    <row r="44" spans="1:16">
      <c r="A44" t="s">
        <v>15</v>
      </c>
      <c r="B44" s="1">
        <f>STDEV(B5:B36)</f>
        <v>0.98373875367592944</v>
      </c>
      <c r="C44" s="1">
        <f t="shared" ref="C44:J44" si="8">STDEV(C5:C36)</f>
        <v>0.20299449182102136</v>
      </c>
      <c r="D44" s="1">
        <f t="shared" si="8"/>
        <v>0.51434414470619594</v>
      </c>
      <c r="E44" s="1">
        <f t="shared" si="8"/>
        <v>0</v>
      </c>
      <c r="F44" s="1">
        <f t="shared" si="8"/>
        <v>0.10930321292093259</v>
      </c>
      <c r="G44" s="1">
        <f t="shared" si="8"/>
        <v>0.44622023710271153</v>
      </c>
      <c r="H44" s="1">
        <f t="shared" si="8"/>
        <v>0</v>
      </c>
      <c r="I44" s="1">
        <f t="shared" si="8"/>
        <v>0.10151085363668456</v>
      </c>
      <c r="J44" s="1">
        <f t="shared" si="8"/>
        <v>0.43330023395093564</v>
      </c>
      <c r="K44" s="1">
        <f t="shared" ref="K44:P44" si="9">STDEV(K5:K36)</f>
        <v>0</v>
      </c>
      <c r="L44" s="1">
        <f t="shared" si="9"/>
        <v>0.10930321292093259</v>
      </c>
      <c r="M44" s="1">
        <f t="shared" si="9"/>
        <v>0.35702850703929734</v>
      </c>
      <c r="N44" s="1">
        <f t="shared" si="9"/>
        <v>0</v>
      </c>
      <c r="O44" s="1">
        <f t="shared" si="9"/>
        <v>0.10930321292093259</v>
      </c>
      <c r="P44" s="1">
        <f t="shared" si="9"/>
        <v>0.56829080186456638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38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17</v>
      </c>
      <c r="C5">
        <v>1.6190500000000001</v>
      </c>
      <c r="D5">
        <v>0.26</v>
      </c>
      <c r="E5">
        <v>7</v>
      </c>
      <c r="F5">
        <v>1.04545</v>
      </c>
      <c r="G5">
        <v>0.43</v>
      </c>
      <c r="H5">
        <v>7</v>
      </c>
      <c r="I5">
        <v>1.04545</v>
      </c>
      <c r="J5">
        <v>0.56999999999999995</v>
      </c>
      <c r="K5">
        <v>9</v>
      </c>
      <c r="L5">
        <v>1.04348</v>
      </c>
      <c r="M5">
        <v>0.59</v>
      </c>
      <c r="N5">
        <v>6</v>
      </c>
      <c r="O5">
        <v>1</v>
      </c>
      <c r="P5">
        <v>0.82</v>
      </c>
    </row>
    <row r="6" spans="1:16">
      <c r="A6">
        <v>1</v>
      </c>
      <c r="B6">
        <v>17</v>
      </c>
      <c r="C6">
        <v>1.6190500000000001</v>
      </c>
      <c r="D6">
        <v>0.24</v>
      </c>
      <c r="E6">
        <v>7</v>
      </c>
      <c r="F6">
        <v>1.04545</v>
      </c>
      <c r="G6">
        <v>0.4</v>
      </c>
      <c r="H6">
        <v>7</v>
      </c>
      <c r="I6">
        <v>1.04545</v>
      </c>
      <c r="J6">
        <v>0.59</v>
      </c>
      <c r="K6">
        <v>9</v>
      </c>
      <c r="L6">
        <v>1.04348</v>
      </c>
      <c r="M6">
        <v>0.68</v>
      </c>
      <c r="N6">
        <v>6</v>
      </c>
      <c r="O6">
        <v>1</v>
      </c>
      <c r="P6">
        <v>0.86</v>
      </c>
    </row>
    <row r="7" spans="1:16">
      <c r="A7">
        <v>2</v>
      </c>
      <c r="B7">
        <v>20</v>
      </c>
      <c r="C7">
        <v>1</v>
      </c>
      <c r="D7">
        <v>0.21</v>
      </c>
      <c r="E7">
        <v>6</v>
      </c>
      <c r="F7">
        <v>1</v>
      </c>
      <c r="G7">
        <v>0.63</v>
      </c>
      <c r="H7">
        <v>6</v>
      </c>
      <c r="I7">
        <v>1</v>
      </c>
      <c r="J7">
        <v>1.1599999999999999</v>
      </c>
      <c r="K7">
        <v>6</v>
      </c>
      <c r="L7">
        <v>1</v>
      </c>
      <c r="M7">
        <v>0.68</v>
      </c>
      <c r="N7">
        <v>8</v>
      </c>
      <c r="O7">
        <v>1.09091</v>
      </c>
      <c r="P7">
        <v>1.22</v>
      </c>
    </row>
    <row r="8" spans="1:16">
      <c r="A8">
        <v>3</v>
      </c>
      <c r="B8">
        <v>17</v>
      </c>
      <c r="C8">
        <v>1.6190500000000001</v>
      </c>
      <c r="D8">
        <v>0.3</v>
      </c>
      <c r="E8">
        <v>8</v>
      </c>
      <c r="F8">
        <v>1.3</v>
      </c>
      <c r="G8">
        <v>0.53</v>
      </c>
      <c r="H8">
        <v>7</v>
      </c>
      <c r="I8">
        <v>1.04545</v>
      </c>
      <c r="J8">
        <v>1.01</v>
      </c>
      <c r="K8">
        <v>9</v>
      </c>
      <c r="L8">
        <v>1.13636</v>
      </c>
      <c r="M8">
        <v>2.68</v>
      </c>
      <c r="N8">
        <v>6</v>
      </c>
      <c r="O8">
        <v>1</v>
      </c>
      <c r="P8">
        <v>0.85</v>
      </c>
    </row>
    <row r="9" spans="1:16">
      <c r="A9">
        <v>4</v>
      </c>
      <c r="B9">
        <v>17</v>
      </c>
      <c r="C9">
        <v>1.6190500000000001</v>
      </c>
      <c r="D9">
        <v>0.19</v>
      </c>
      <c r="E9">
        <v>8</v>
      </c>
      <c r="F9">
        <v>1.3</v>
      </c>
      <c r="G9">
        <v>0.36</v>
      </c>
      <c r="H9">
        <v>7</v>
      </c>
      <c r="I9">
        <v>1.04545</v>
      </c>
      <c r="J9">
        <v>0.56000000000000005</v>
      </c>
      <c r="K9">
        <v>9</v>
      </c>
      <c r="L9">
        <v>1.13636</v>
      </c>
      <c r="M9">
        <v>0.53</v>
      </c>
      <c r="N9">
        <v>6</v>
      </c>
      <c r="O9">
        <v>1</v>
      </c>
      <c r="P9">
        <v>0.82</v>
      </c>
    </row>
    <row r="10" spans="1:16">
      <c r="A10">
        <v>5</v>
      </c>
      <c r="B10">
        <v>17</v>
      </c>
      <c r="C10">
        <v>1.6190500000000001</v>
      </c>
      <c r="D10">
        <v>0.19</v>
      </c>
      <c r="E10">
        <v>8</v>
      </c>
      <c r="F10">
        <v>1</v>
      </c>
      <c r="G10">
        <v>0.37</v>
      </c>
      <c r="H10">
        <v>7</v>
      </c>
      <c r="I10">
        <v>1.04545</v>
      </c>
      <c r="J10">
        <v>0.6</v>
      </c>
      <c r="K10">
        <v>9</v>
      </c>
      <c r="L10">
        <v>1.04348</v>
      </c>
      <c r="M10">
        <v>0.56000000000000005</v>
      </c>
      <c r="N10">
        <v>6</v>
      </c>
      <c r="O10">
        <v>1</v>
      </c>
      <c r="P10">
        <v>5.69</v>
      </c>
    </row>
    <row r="11" spans="1:16">
      <c r="A11">
        <v>6</v>
      </c>
      <c r="B11">
        <v>17</v>
      </c>
      <c r="C11">
        <v>1.6190500000000001</v>
      </c>
      <c r="D11">
        <v>0.22</v>
      </c>
      <c r="E11">
        <v>7</v>
      </c>
      <c r="F11">
        <v>1.04545</v>
      </c>
      <c r="G11">
        <v>0.4</v>
      </c>
      <c r="H11">
        <v>7</v>
      </c>
      <c r="I11">
        <v>1.04545</v>
      </c>
      <c r="J11">
        <v>0.56000000000000005</v>
      </c>
      <c r="K11">
        <v>9</v>
      </c>
      <c r="L11">
        <v>1.04348</v>
      </c>
      <c r="M11">
        <v>0.54</v>
      </c>
      <c r="N11">
        <v>6</v>
      </c>
      <c r="O11">
        <v>1</v>
      </c>
      <c r="P11">
        <v>0.95</v>
      </c>
    </row>
    <row r="12" spans="1:16">
      <c r="A12">
        <v>7</v>
      </c>
      <c r="B12">
        <v>17</v>
      </c>
      <c r="C12">
        <v>1.6190500000000001</v>
      </c>
      <c r="D12">
        <v>0.21</v>
      </c>
      <c r="E12">
        <v>8</v>
      </c>
      <c r="F12">
        <v>1</v>
      </c>
      <c r="G12">
        <v>1.17</v>
      </c>
      <c r="H12">
        <v>7</v>
      </c>
      <c r="I12">
        <v>1.04545</v>
      </c>
      <c r="J12">
        <v>0.68</v>
      </c>
      <c r="K12">
        <v>9</v>
      </c>
      <c r="L12">
        <v>1.04348</v>
      </c>
      <c r="M12">
        <v>0.56000000000000005</v>
      </c>
      <c r="N12">
        <v>6</v>
      </c>
      <c r="O12">
        <v>1</v>
      </c>
      <c r="P12">
        <v>2.0699999999999998</v>
      </c>
    </row>
    <row r="13" spans="1:16">
      <c r="A13">
        <v>8</v>
      </c>
      <c r="B13">
        <v>17</v>
      </c>
      <c r="C13">
        <v>1.6190500000000001</v>
      </c>
      <c r="D13">
        <v>0.22</v>
      </c>
      <c r="E13">
        <v>8</v>
      </c>
      <c r="F13">
        <v>1</v>
      </c>
      <c r="G13">
        <v>0.4</v>
      </c>
      <c r="H13">
        <v>7</v>
      </c>
      <c r="I13">
        <v>1.04545</v>
      </c>
      <c r="J13">
        <v>0.56000000000000005</v>
      </c>
      <c r="K13">
        <v>9</v>
      </c>
      <c r="L13">
        <v>1.04348</v>
      </c>
      <c r="M13">
        <v>0.57999999999999996</v>
      </c>
      <c r="N13">
        <v>6</v>
      </c>
      <c r="O13">
        <v>1</v>
      </c>
      <c r="P13">
        <v>0.86</v>
      </c>
    </row>
    <row r="14" spans="1:16">
      <c r="A14">
        <v>9</v>
      </c>
      <c r="B14">
        <v>17</v>
      </c>
      <c r="C14">
        <v>1.6190500000000001</v>
      </c>
      <c r="D14">
        <v>0.2</v>
      </c>
      <c r="E14">
        <v>8</v>
      </c>
      <c r="F14">
        <v>1</v>
      </c>
      <c r="G14">
        <v>0.37</v>
      </c>
      <c r="H14">
        <v>7</v>
      </c>
      <c r="I14">
        <v>1.04545</v>
      </c>
      <c r="J14">
        <v>0.55000000000000004</v>
      </c>
      <c r="K14">
        <v>9</v>
      </c>
      <c r="L14">
        <v>1.04348</v>
      </c>
      <c r="M14">
        <v>0.54</v>
      </c>
      <c r="N14">
        <v>6</v>
      </c>
      <c r="O14">
        <v>1</v>
      </c>
      <c r="P14">
        <v>1.58</v>
      </c>
    </row>
    <row r="15" spans="1:16">
      <c r="A15">
        <v>10</v>
      </c>
      <c r="B15">
        <v>20</v>
      </c>
      <c r="C15">
        <v>1</v>
      </c>
      <c r="D15">
        <v>0.2</v>
      </c>
      <c r="E15">
        <v>6</v>
      </c>
      <c r="F15">
        <v>1</v>
      </c>
      <c r="G15">
        <v>0.36</v>
      </c>
      <c r="H15">
        <v>6</v>
      </c>
      <c r="I15">
        <v>1</v>
      </c>
      <c r="J15">
        <v>0.54</v>
      </c>
      <c r="K15">
        <v>6</v>
      </c>
      <c r="L15">
        <v>1</v>
      </c>
      <c r="M15">
        <v>0.48</v>
      </c>
      <c r="N15">
        <v>8</v>
      </c>
      <c r="O15">
        <v>1.09091</v>
      </c>
      <c r="P15">
        <v>0.84</v>
      </c>
    </row>
    <row r="16" spans="1:16">
      <c r="A16">
        <v>11</v>
      </c>
      <c r="B16">
        <v>17</v>
      </c>
      <c r="C16">
        <v>1.6190500000000001</v>
      </c>
      <c r="D16">
        <v>0.18</v>
      </c>
      <c r="E16">
        <v>7</v>
      </c>
      <c r="F16">
        <v>1.04545</v>
      </c>
      <c r="G16">
        <v>0.31</v>
      </c>
      <c r="H16">
        <v>7</v>
      </c>
      <c r="I16">
        <v>1.04545</v>
      </c>
      <c r="J16">
        <v>0.5</v>
      </c>
      <c r="K16">
        <v>9</v>
      </c>
      <c r="L16">
        <v>1.04348</v>
      </c>
      <c r="M16">
        <v>0.49</v>
      </c>
      <c r="N16">
        <v>6</v>
      </c>
      <c r="O16">
        <v>1</v>
      </c>
      <c r="P16">
        <v>0.73</v>
      </c>
    </row>
    <row r="17" spans="1:16">
      <c r="A17">
        <v>12</v>
      </c>
      <c r="B17">
        <v>17</v>
      </c>
      <c r="C17">
        <v>1.6190500000000001</v>
      </c>
      <c r="D17">
        <v>0.18</v>
      </c>
      <c r="E17">
        <v>8</v>
      </c>
      <c r="F17">
        <v>1</v>
      </c>
      <c r="G17">
        <v>0.68</v>
      </c>
      <c r="H17">
        <v>7</v>
      </c>
      <c r="I17">
        <v>1.04545</v>
      </c>
      <c r="J17">
        <v>0.53</v>
      </c>
      <c r="K17">
        <v>9</v>
      </c>
      <c r="L17">
        <v>1.04348</v>
      </c>
      <c r="M17">
        <v>2.96</v>
      </c>
      <c r="N17">
        <v>6</v>
      </c>
      <c r="O17">
        <v>1</v>
      </c>
      <c r="P17">
        <v>0.85</v>
      </c>
    </row>
    <row r="18" spans="1:16">
      <c r="A18">
        <v>13</v>
      </c>
      <c r="B18">
        <v>17</v>
      </c>
      <c r="C18">
        <v>1.6190500000000001</v>
      </c>
      <c r="D18">
        <v>0.21</v>
      </c>
      <c r="E18">
        <v>8</v>
      </c>
      <c r="F18">
        <v>1</v>
      </c>
      <c r="G18">
        <v>0.35</v>
      </c>
      <c r="H18">
        <v>7</v>
      </c>
      <c r="I18">
        <v>1.04545</v>
      </c>
      <c r="J18">
        <v>0.56999999999999995</v>
      </c>
      <c r="K18">
        <v>9</v>
      </c>
      <c r="L18">
        <v>1.04348</v>
      </c>
      <c r="M18">
        <v>0.52</v>
      </c>
      <c r="N18">
        <v>6</v>
      </c>
      <c r="O18">
        <v>1</v>
      </c>
      <c r="P18">
        <v>0.75</v>
      </c>
    </row>
    <row r="19" spans="1:16">
      <c r="A19">
        <v>14</v>
      </c>
      <c r="B19">
        <v>17</v>
      </c>
      <c r="C19">
        <v>1.6190500000000001</v>
      </c>
      <c r="D19">
        <v>0.18</v>
      </c>
      <c r="E19">
        <v>8</v>
      </c>
      <c r="F19">
        <v>1</v>
      </c>
      <c r="G19">
        <v>0.37</v>
      </c>
      <c r="H19">
        <v>7</v>
      </c>
      <c r="I19">
        <v>1.04545</v>
      </c>
      <c r="J19">
        <v>0.65</v>
      </c>
      <c r="K19">
        <v>9</v>
      </c>
      <c r="L19">
        <v>1.04348</v>
      </c>
      <c r="M19">
        <v>0.51</v>
      </c>
      <c r="N19">
        <v>6</v>
      </c>
      <c r="O19">
        <v>1</v>
      </c>
      <c r="P19">
        <v>1.08</v>
      </c>
    </row>
    <row r="20" spans="1:16">
      <c r="A20">
        <v>15</v>
      </c>
      <c r="B20">
        <v>17</v>
      </c>
      <c r="C20">
        <v>1.6190500000000001</v>
      </c>
      <c r="D20">
        <v>0.33</v>
      </c>
      <c r="E20">
        <v>8</v>
      </c>
      <c r="F20">
        <v>1</v>
      </c>
      <c r="G20">
        <v>0.39</v>
      </c>
      <c r="H20">
        <v>7</v>
      </c>
      <c r="I20">
        <v>1.04545</v>
      </c>
      <c r="J20">
        <v>0.57999999999999996</v>
      </c>
      <c r="K20">
        <v>9</v>
      </c>
      <c r="L20">
        <v>1.04348</v>
      </c>
      <c r="M20">
        <v>0.6</v>
      </c>
      <c r="N20">
        <v>6</v>
      </c>
      <c r="O20">
        <v>1</v>
      </c>
      <c r="P20">
        <v>0.81</v>
      </c>
    </row>
    <row r="21" spans="1:16">
      <c r="A21">
        <v>16</v>
      </c>
      <c r="B21">
        <v>17</v>
      </c>
      <c r="C21">
        <v>1.6190500000000001</v>
      </c>
      <c r="D21">
        <v>0.19</v>
      </c>
      <c r="E21">
        <v>7</v>
      </c>
      <c r="F21">
        <v>1.04545</v>
      </c>
      <c r="G21">
        <v>0.5</v>
      </c>
      <c r="H21">
        <v>7</v>
      </c>
      <c r="I21">
        <v>1.04545</v>
      </c>
      <c r="J21">
        <v>0.52</v>
      </c>
      <c r="K21">
        <v>9</v>
      </c>
      <c r="L21">
        <v>1.04348</v>
      </c>
      <c r="M21">
        <v>0.56000000000000005</v>
      </c>
      <c r="N21">
        <v>6</v>
      </c>
      <c r="O21">
        <v>1</v>
      </c>
      <c r="P21">
        <v>0.78</v>
      </c>
    </row>
    <row r="22" spans="1:16">
      <c r="A22">
        <v>17</v>
      </c>
      <c r="B22">
        <v>18</v>
      </c>
      <c r="C22">
        <v>1.24</v>
      </c>
      <c r="D22">
        <v>0.18</v>
      </c>
      <c r="E22">
        <v>7</v>
      </c>
      <c r="F22">
        <v>1.64706</v>
      </c>
      <c r="G22">
        <v>0.32</v>
      </c>
      <c r="H22">
        <v>6</v>
      </c>
      <c r="I22">
        <v>1.31579</v>
      </c>
      <c r="J22">
        <v>0.52</v>
      </c>
      <c r="K22">
        <v>7</v>
      </c>
      <c r="L22">
        <v>1.64706</v>
      </c>
      <c r="M22">
        <v>0.51</v>
      </c>
      <c r="N22">
        <v>10</v>
      </c>
      <c r="O22">
        <v>1.4</v>
      </c>
      <c r="P22">
        <v>10.11</v>
      </c>
    </row>
    <row r="23" spans="1:16">
      <c r="A23">
        <v>18</v>
      </c>
      <c r="B23">
        <v>18</v>
      </c>
      <c r="C23">
        <v>1.24</v>
      </c>
      <c r="D23">
        <v>0.2</v>
      </c>
      <c r="E23">
        <v>6</v>
      </c>
      <c r="F23">
        <v>1.31579</v>
      </c>
      <c r="G23">
        <v>0.35</v>
      </c>
      <c r="H23">
        <v>6</v>
      </c>
      <c r="I23">
        <v>1</v>
      </c>
      <c r="J23">
        <v>0.53</v>
      </c>
      <c r="K23">
        <v>6</v>
      </c>
      <c r="L23">
        <v>1.31579</v>
      </c>
      <c r="M23">
        <v>0.47</v>
      </c>
      <c r="N23">
        <v>11</v>
      </c>
      <c r="O23">
        <v>1.2272700000000001</v>
      </c>
      <c r="P23">
        <v>1.07</v>
      </c>
    </row>
    <row r="24" spans="1:16">
      <c r="A24">
        <v>19</v>
      </c>
      <c r="B24">
        <v>20</v>
      </c>
      <c r="C24">
        <v>1</v>
      </c>
      <c r="D24">
        <v>0.21</v>
      </c>
      <c r="E24">
        <v>6</v>
      </c>
      <c r="F24">
        <v>1</v>
      </c>
      <c r="G24">
        <v>0.33</v>
      </c>
      <c r="H24">
        <v>6</v>
      </c>
      <c r="I24">
        <v>1</v>
      </c>
      <c r="J24">
        <v>0.56999999999999995</v>
      </c>
      <c r="K24">
        <v>6</v>
      </c>
      <c r="L24">
        <v>1</v>
      </c>
      <c r="M24">
        <v>1.22</v>
      </c>
      <c r="N24">
        <v>8</v>
      </c>
      <c r="O24">
        <v>1.09091</v>
      </c>
      <c r="P24">
        <v>2.54</v>
      </c>
    </row>
    <row r="25" spans="1:16">
      <c r="A25">
        <v>20</v>
      </c>
      <c r="B25">
        <v>17</v>
      </c>
      <c r="C25">
        <v>1.6190500000000001</v>
      </c>
      <c r="D25">
        <v>0.19</v>
      </c>
      <c r="E25">
        <v>7</v>
      </c>
      <c r="F25">
        <v>1.04545</v>
      </c>
      <c r="G25">
        <v>0.33</v>
      </c>
      <c r="H25">
        <v>7</v>
      </c>
      <c r="I25">
        <v>1.04545</v>
      </c>
      <c r="J25">
        <v>0.51</v>
      </c>
      <c r="K25">
        <v>9</v>
      </c>
      <c r="L25">
        <v>1.04348</v>
      </c>
      <c r="M25">
        <v>0.49</v>
      </c>
      <c r="N25">
        <v>6</v>
      </c>
      <c r="O25">
        <v>1</v>
      </c>
      <c r="P25">
        <v>0.76</v>
      </c>
    </row>
    <row r="26" spans="1:16">
      <c r="A26">
        <v>21</v>
      </c>
      <c r="B26">
        <v>20</v>
      </c>
      <c r="C26">
        <v>1</v>
      </c>
      <c r="D26">
        <v>0.19</v>
      </c>
      <c r="E26">
        <v>6</v>
      </c>
      <c r="F26">
        <v>1</v>
      </c>
      <c r="G26">
        <v>12.97</v>
      </c>
      <c r="H26">
        <v>6</v>
      </c>
      <c r="I26">
        <v>1</v>
      </c>
      <c r="J26">
        <v>0.4</v>
      </c>
      <c r="K26">
        <v>6</v>
      </c>
      <c r="L26">
        <v>1</v>
      </c>
      <c r="M26">
        <v>0.38</v>
      </c>
      <c r="N26">
        <v>7</v>
      </c>
      <c r="O26">
        <v>1.04545</v>
      </c>
      <c r="P26">
        <v>0.6</v>
      </c>
    </row>
    <row r="27" spans="1:16">
      <c r="A27">
        <v>22</v>
      </c>
      <c r="B27">
        <v>17</v>
      </c>
      <c r="C27">
        <v>1.6190500000000001</v>
      </c>
      <c r="D27">
        <v>0.2</v>
      </c>
      <c r="E27">
        <v>7</v>
      </c>
      <c r="F27">
        <v>1.04545</v>
      </c>
      <c r="G27">
        <v>0.22</v>
      </c>
      <c r="H27">
        <v>7</v>
      </c>
      <c r="I27">
        <v>1.04545</v>
      </c>
      <c r="J27">
        <v>0.68</v>
      </c>
      <c r="K27">
        <v>9</v>
      </c>
      <c r="L27">
        <v>1.04348</v>
      </c>
      <c r="M27">
        <v>1.03</v>
      </c>
      <c r="N27">
        <v>6</v>
      </c>
      <c r="O27">
        <v>1</v>
      </c>
      <c r="P27">
        <v>1.86</v>
      </c>
    </row>
    <row r="28" spans="1:16">
      <c r="A28">
        <v>23</v>
      </c>
      <c r="B28">
        <v>20</v>
      </c>
      <c r="C28">
        <v>1</v>
      </c>
      <c r="D28">
        <v>0.35</v>
      </c>
      <c r="E28">
        <v>6</v>
      </c>
      <c r="F28">
        <v>1</v>
      </c>
      <c r="G28">
        <v>0.63</v>
      </c>
      <c r="H28">
        <v>6</v>
      </c>
      <c r="I28">
        <v>1</v>
      </c>
      <c r="J28">
        <v>0.87</v>
      </c>
      <c r="K28">
        <v>6</v>
      </c>
      <c r="L28">
        <v>1</v>
      </c>
      <c r="M28">
        <v>0.74</v>
      </c>
      <c r="N28">
        <v>8</v>
      </c>
      <c r="O28">
        <v>1.09091</v>
      </c>
      <c r="P28">
        <v>2.66</v>
      </c>
    </row>
    <row r="29" spans="1:16">
      <c r="A29">
        <v>24</v>
      </c>
      <c r="B29">
        <v>17</v>
      </c>
      <c r="C29">
        <v>1.6190500000000001</v>
      </c>
      <c r="D29">
        <v>0.17</v>
      </c>
      <c r="E29">
        <v>8</v>
      </c>
      <c r="F29">
        <v>1</v>
      </c>
      <c r="G29">
        <v>0.28999999999999998</v>
      </c>
      <c r="H29">
        <v>7</v>
      </c>
      <c r="I29">
        <v>1.04545</v>
      </c>
      <c r="J29">
        <v>2.0499999999999998</v>
      </c>
      <c r="K29">
        <v>9</v>
      </c>
      <c r="L29">
        <v>1.04348</v>
      </c>
      <c r="M29">
        <v>2.14</v>
      </c>
      <c r="N29">
        <v>6</v>
      </c>
      <c r="O29">
        <v>1</v>
      </c>
      <c r="P29">
        <v>0.79</v>
      </c>
    </row>
    <row r="30" spans="1:16">
      <c r="A30">
        <v>25</v>
      </c>
      <c r="B30">
        <v>18</v>
      </c>
      <c r="C30">
        <v>1.24</v>
      </c>
      <c r="D30">
        <v>0.19</v>
      </c>
      <c r="E30">
        <v>6</v>
      </c>
      <c r="F30">
        <v>1.31579</v>
      </c>
      <c r="G30">
        <v>0.32</v>
      </c>
      <c r="H30">
        <v>6</v>
      </c>
      <c r="I30">
        <v>1</v>
      </c>
      <c r="J30">
        <v>0.5</v>
      </c>
      <c r="K30">
        <v>6</v>
      </c>
      <c r="L30">
        <v>1.31579</v>
      </c>
      <c r="M30">
        <v>0.52</v>
      </c>
      <c r="N30">
        <v>11</v>
      </c>
      <c r="O30">
        <v>1.2272700000000001</v>
      </c>
      <c r="P30">
        <v>0.83</v>
      </c>
    </row>
    <row r="31" spans="1:16">
      <c r="A31">
        <v>26</v>
      </c>
      <c r="B31">
        <v>20</v>
      </c>
      <c r="C31">
        <v>1</v>
      </c>
      <c r="D31">
        <v>0.31</v>
      </c>
      <c r="E31">
        <v>6</v>
      </c>
      <c r="F31">
        <v>1</v>
      </c>
      <c r="G31">
        <v>0.57999999999999996</v>
      </c>
      <c r="H31">
        <v>6</v>
      </c>
      <c r="I31">
        <v>1</v>
      </c>
      <c r="J31">
        <v>0.66</v>
      </c>
      <c r="K31">
        <v>6</v>
      </c>
      <c r="L31">
        <v>1</v>
      </c>
      <c r="M31">
        <v>0.68</v>
      </c>
      <c r="N31">
        <v>7</v>
      </c>
      <c r="O31">
        <v>1.04545</v>
      </c>
      <c r="P31">
        <v>1.34</v>
      </c>
    </row>
    <row r="32" spans="1:16">
      <c r="A32">
        <v>27</v>
      </c>
      <c r="B32">
        <v>20</v>
      </c>
      <c r="C32">
        <v>1</v>
      </c>
      <c r="D32">
        <v>0.15</v>
      </c>
      <c r="E32">
        <v>6</v>
      </c>
      <c r="F32">
        <v>1</v>
      </c>
      <c r="G32">
        <v>0.26</v>
      </c>
      <c r="H32">
        <v>6</v>
      </c>
      <c r="I32">
        <v>1</v>
      </c>
      <c r="J32">
        <v>0.41</v>
      </c>
      <c r="K32">
        <v>6</v>
      </c>
      <c r="L32">
        <v>1</v>
      </c>
      <c r="M32">
        <v>0.41</v>
      </c>
      <c r="N32">
        <v>8</v>
      </c>
      <c r="O32">
        <v>1.09091</v>
      </c>
      <c r="P32">
        <v>5.22</v>
      </c>
    </row>
    <row r="33" spans="1:16">
      <c r="A33">
        <v>28</v>
      </c>
      <c r="B33">
        <v>20</v>
      </c>
      <c r="C33">
        <v>1</v>
      </c>
      <c r="D33">
        <v>0.13</v>
      </c>
      <c r="E33">
        <v>6</v>
      </c>
      <c r="F33">
        <v>1</v>
      </c>
      <c r="G33">
        <v>0.24</v>
      </c>
      <c r="H33">
        <v>6</v>
      </c>
      <c r="I33">
        <v>1</v>
      </c>
      <c r="J33">
        <v>0.38</v>
      </c>
      <c r="K33">
        <v>6</v>
      </c>
      <c r="L33">
        <v>1</v>
      </c>
      <c r="M33">
        <v>0.35</v>
      </c>
      <c r="N33">
        <v>8</v>
      </c>
      <c r="O33">
        <v>1.09091</v>
      </c>
      <c r="P33">
        <v>1.18</v>
      </c>
    </row>
    <row r="34" spans="1:16">
      <c r="A34">
        <v>29</v>
      </c>
      <c r="B34">
        <v>20</v>
      </c>
      <c r="C34">
        <v>1</v>
      </c>
      <c r="D34">
        <v>0.17</v>
      </c>
      <c r="E34">
        <v>6</v>
      </c>
      <c r="F34">
        <v>1</v>
      </c>
      <c r="G34">
        <v>0.28000000000000003</v>
      </c>
      <c r="H34">
        <v>6</v>
      </c>
      <c r="I34">
        <v>1</v>
      </c>
      <c r="J34">
        <v>4.12</v>
      </c>
      <c r="K34">
        <v>6</v>
      </c>
      <c r="L34">
        <v>1</v>
      </c>
      <c r="M34">
        <v>1.86</v>
      </c>
      <c r="N34">
        <v>8</v>
      </c>
      <c r="O34">
        <v>1.09091</v>
      </c>
      <c r="P34">
        <v>1.21</v>
      </c>
    </row>
    <row r="35" spans="1:16">
      <c r="A35">
        <v>30</v>
      </c>
      <c r="B35">
        <v>17</v>
      </c>
      <c r="C35">
        <v>1.6190500000000001</v>
      </c>
      <c r="D35">
        <v>0.28000000000000003</v>
      </c>
      <c r="E35">
        <v>8</v>
      </c>
      <c r="F35">
        <v>1</v>
      </c>
      <c r="G35">
        <v>0.45</v>
      </c>
      <c r="H35">
        <v>7</v>
      </c>
      <c r="I35">
        <v>1.04545</v>
      </c>
      <c r="J35">
        <v>0.41</v>
      </c>
      <c r="K35">
        <v>9</v>
      </c>
      <c r="L35">
        <v>1.04348</v>
      </c>
      <c r="M35">
        <v>0.92</v>
      </c>
      <c r="N35">
        <v>6</v>
      </c>
      <c r="O35">
        <v>1</v>
      </c>
      <c r="P35">
        <v>0.63</v>
      </c>
    </row>
    <row r="36" spans="1:16">
      <c r="A36">
        <v>31</v>
      </c>
      <c r="B36">
        <v>17</v>
      </c>
      <c r="C36">
        <v>1.6190500000000001</v>
      </c>
      <c r="D36">
        <v>0.15</v>
      </c>
      <c r="E36">
        <v>8</v>
      </c>
      <c r="F36">
        <v>1</v>
      </c>
      <c r="G36">
        <v>0.26</v>
      </c>
      <c r="H36">
        <v>7</v>
      </c>
      <c r="I36">
        <v>1.04545</v>
      </c>
      <c r="J36">
        <v>0.38</v>
      </c>
      <c r="K36">
        <v>9</v>
      </c>
      <c r="L36">
        <v>1.04348</v>
      </c>
      <c r="M36">
        <v>0.76</v>
      </c>
      <c r="N36">
        <v>6</v>
      </c>
      <c r="O36">
        <v>1</v>
      </c>
      <c r="P36">
        <v>0.81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20</v>
      </c>
      <c r="C40" s="1">
        <f t="shared" ref="C40:P40" si="0">MAX(C5:C36)</f>
        <v>1.6190500000000001</v>
      </c>
      <c r="D40" s="1">
        <f t="shared" si="0"/>
        <v>0.35</v>
      </c>
      <c r="E40" s="1">
        <f t="shared" si="0"/>
        <v>8</v>
      </c>
      <c r="F40" s="1">
        <f t="shared" si="0"/>
        <v>1.64706</v>
      </c>
      <c r="G40" s="1">
        <f t="shared" si="0"/>
        <v>12.97</v>
      </c>
      <c r="H40" s="1">
        <f t="shared" si="0"/>
        <v>7</v>
      </c>
      <c r="I40" s="1">
        <f t="shared" si="0"/>
        <v>1.31579</v>
      </c>
      <c r="J40" s="1">
        <f t="shared" si="0"/>
        <v>4.12</v>
      </c>
      <c r="K40" s="1">
        <f t="shared" si="0"/>
        <v>9</v>
      </c>
      <c r="L40" s="1">
        <f t="shared" si="0"/>
        <v>1.64706</v>
      </c>
      <c r="M40" s="1">
        <f t="shared" si="0"/>
        <v>2.96</v>
      </c>
      <c r="N40" s="1">
        <f t="shared" si="0"/>
        <v>11</v>
      </c>
      <c r="O40" s="1">
        <f t="shared" si="0"/>
        <v>1.4</v>
      </c>
      <c r="P40" s="1">
        <f t="shared" si="0"/>
        <v>10.11</v>
      </c>
    </row>
    <row r="41" spans="1:16">
      <c r="A41" t="s">
        <v>12</v>
      </c>
      <c r="B41" s="1">
        <f>MIN(B5:B36)</f>
        <v>17</v>
      </c>
      <c r="C41" s="1">
        <f t="shared" ref="C41:P41" si="1">MIN(C5:C36)</f>
        <v>1</v>
      </c>
      <c r="D41" s="1">
        <f t="shared" si="1"/>
        <v>0.13</v>
      </c>
      <c r="E41" s="1">
        <f t="shared" si="1"/>
        <v>6</v>
      </c>
      <c r="F41" s="1">
        <f t="shared" si="1"/>
        <v>1</v>
      </c>
      <c r="G41" s="1">
        <f t="shared" si="1"/>
        <v>0.22</v>
      </c>
      <c r="H41" s="1">
        <f t="shared" si="1"/>
        <v>6</v>
      </c>
      <c r="I41" s="1">
        <f t="shared" si="1"/>
        <v>1</v>
      </c>
      <c r="J41" s="1">
        <f t="shared" si="1"/>
        <v>0.38</v>
      </c>
      <c r="K41" s="1">
        <f t="shared" si="1"/>
        <v>6</v>
      </c>
      <c r="L41" s="1">
        <f t="shared" si="1"/>
        <v>1</v>
      </c>
      <c r="M41" s="1">
        <f t="shared" si="1"/>
        <v>0.35</v>
      </c>
      <c r="N41" s="1">
        <f t="shared" si="1"/>
        <v>6</v>
      </c>
      <c r="O41" s="1">
        <f t="shared" si="1"/>
        <v>1</v>
      </c>
      <c r="P41" s="1">
        <f t="shared" si="1"/>
        <v>0.6</v>
      </c>
    </row>
    <row r="42" spans="1:16">
      <c r="A42" t="s">
        <v>13</v>
      </c>
      <c r="B42" s="1">
        <f>MEDIAN(B5:B36)</f>
        <v>17</v>
      </c>
      <c r="C42" s="1">
        <f t="shared" ref="C42:P42" si="2">MEDIAN(C5:C36)</f>
        <v>1.6190500000000001</v>
      </c>
      <c r="D42" s="1">
        <f t="shared" si="2"/>
        <v>0.2</v>
      </c>
      <c r="E42" s="1">
        <f t="shared" si="2"/>
        <v>7</v>
      </c>
      <c r="F42" s="1">
        <f t="shared" si="2"/>
        <v>1</v>
      </c>
      <c r="G42" s="1">
        <f t="shared" si="2"/>
        <v>0.37</v>
      </c>
      <c r="H42" s="1">
        <f t="shared" si="2"/>
        <v>7</v>
      </c>
      <c r="I42" s="1">
        <f t="shared" si="2"/>
        <v>1.04545</v>
      </c>
      <c r="J42" s="1">
        <f t="shared" si="2"/>
        <v>0.56000000000000005</v>
      </c>
      <c r="K42" s="1">
        <f t="shared" si="2"/>
        <v>9</v>
      </c>
      <c r="L42" s="1">
        <f t="shared" si="2"/>
        <v>1.04348</v>
      </c>
      <c r="M42" s="1">
        <f t="shared" si="2"/>
        <v>0.56000000000000005</v>
      </c>
      <c r="N42" s="1">
        <f t="shared" si="2"/>
        <v>6</v>
      </c>
      <c r="O42" s="1">
        <f t="shared" si="2"/>
        <v>1</v>
      </c>
      <c r="P42" s="1">
        <f t="shared" si="2"/>
        <v>0.86</v>
      </c>
    </row>
    <row r="43" spans="1:16">
      <c r="A43" t="s">
        <v>14</v>
      </c>
      <c r="B43" s="1">
        <f>AVERAGE(B5:B36)</f>
        <v>17.9375</v>
      </c>
      <c r="C43" s="1">
        <f t="shared" ref="C43:P43" si="3">AVERAGE(C5:C36)</f>
        <v>1.4094062500000004</v>
      </c>
      <c r="D43" s="1">
        <f t="shared" si="3"/>
        <v>0.21187500000000006</v>
      </c>
      <c r="E43" s="1">
        <f t="shared" si="3"/>
        <v>7.0625</v>
      </c>
      <c r="F43" s="1">
        <f t="shared" si="3"/>
        <v>1.0686496874999998</v>
      </c>
      <c r="G43" s="1">
        <f t="shared" si="3"/>
        <v>0.80781249999999993</v>
      </c>
      <c r="H43" s="1">
        <f t="shared" si="3"/>
        <v>6.625</v>
      </c>
      <c r="I43" s="1">
        <f t="shared" si="3"/>
        <v>1.0382746875</v>
      </c>
      <c r="J43" s="1">
        <f t="shared" si="3"/>
        <v>0.74124999999999996</v>
      </c>
      <c r="K43" s="1">
        <f t="shared" si="3"/>
        <v>7.90625</v>
      </c>
      <c r="L43" s="1">
        <f t="shared" si="3"/>
        <v>1.0729375000000001</v>
      </c>
      <c r="M43" s="1">
        <f t="shared" si="3"/>
        <v>0.82937500000000008</v>
      </c>
      <c r="N43" s="1">
        <f t="shared" si="3"/>
        <v>6.9375</v>
      </c>
      <c r="O43" s="1">
        <f t="shared" si="3"/>
        <v>1.0494315625000001</v>
      </c>
      <c r="P43" s="1">
        <f t="shared" si="3"/>
        <v>1.6615625000000001</v>
      </c>
    </row>
    <row r="44" spans="1:16">
      <c r="A44" t="s">
        <v>15</v>
      </c>
      <c r="B44" s="1">
        <f>STDEV(B5:B36)</f>
        <v>1.3425421240462847</v>
      </c>
      <c r="C44" s="1">
        <f t="shared" ref="C44:P44" si="4">STDEV(C5:C36)</f>
        <v>0.28247904682499858</v>
      </c>
      <c r="D44" s="1">
        <f t="shared" si="4"/>
        <v>5.195764404005937E-2</v>
      </c>
      <c r="E44" s="1">
        <f t="shared" si="4"/>
        <v>0.87758833761768995</v>
      </c>
      <c r="F44" s="1">
        <f t="shared" si="4"/>
        <v>0.14610913533702116</v>
      </c>
      <c r="G44" s="1">
        <f t="shared" si="4"/>
        <v>2.2265853132673952</v>
      </c>
      <c r="H44" s="1">
        <f t="shared" si="4"/>
        <v>0.49186937683796472</v>
      </c>
      <c r="I44" s="1">
        <f t="shared" si="4"/>
        <v>5.5112471393732661E-2</v>
      </c>
      <c r="J44" s="1">
        <f t="shared" si="4"/>
        <v>0.68865811546804556</v>
      </c>
      <c r="K44" s="1">
        <f t="shared" si="4"/>
        <v>1.4448880970176292</v>
      </c>
      <c r="L44" s="1">
        <f t="shared" si="4"/>
        <v>0.12940489759889515</v>
      </c>
      <c r="M44" s="1">
        <f t="shared" si="4"/>
        <v>0.65146454115868524</v>
      </c>
      <c r="N44" s="1">
        <f t="shared" si="4"/>
        <v>1.4797013648139472</v>
      </c>
      <c r="O44" s="1">
        <f t="shared" si="4"/>
        <v>8.927951172362486E-2</v>
      </c>
      <c r="P44" s="1">
        <f t="shared" si="4"/>
        <v>1.9448179438388109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topLeftCell="A10"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110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51</v>
      </c>
      <c r="C5">
        <v>1.5555600000000001</v>
      </c>
      <c r="D5">
        <v>0.59</v>
      </c>
      <c r="E5">
        <v>8</v>
      </c>
      <c r="F5">
        <v>1.36</v>
      </c>
      <c r="G5">
        <v>0.86</v>
      </c>
      <c r="H5">
        <v>7</v>
      </c>
      <c r="I5">
        <v>1.05263</v>
      </c>
      <c r="J5">
        <v>1.18</v>
      </c>
      <c r="K5">
        <v>11</v>
      </c>
      <c r="L5">
        <v>1.28302</v>
      </c>
      <c r="M5">
        <v>1.26</v>
      </c>
      <c r="N5">
        <v>6</v>
      </c>
      <c r="O5">
        <v>1</v>
      </c>
      <c r="P5">
        <v>1.3</v>
      </c>
    </row>
    <row r="6" spans="1:16">
      <c r="A6">
        <v>1</v>
      </c>
      <c r="B6">
        <v>54</v>
      </c>
      <c r="C6">
        <v>1.1578900000000001</v>
      </c>
      <c r="D6">
        <v>0.35</v>
      </c>
      <c r="E6">
        <v>8</v>
      </c>
      <c r="F6">
        <v>1.4583299999999999</v>
      </c>
      <c r="G6">
        <v>0.71</v>
      </c>
      <c r="H6">
        <v>7</v>
      </c>
      <c r="I6">
        <v>1.0172399999999999</v>
      </c>
      <c r="J6">
        <v>0.95</v>
      </c>
      <c r="K6">
        <v>8</v>
      </c>
      <c r="L6">
        <v>1.4583299999999999</v>
      </c>
      <c r="M6">
        <v>0.86</v>
      </c>
      <c r="N6">
        <v>6</v>
      </c>
      <c r="O6">
        <v>1.3673500000000001</v>
      </c>
      <c r="P6">
        <v>1.3</v>
      </c>
    </row>
    <row r="7" spans="1:16">
      <c r="A7">
        <v>2</v>
      </c>
      <c r="B7">
        <v>51</v>
      </c>
      <c r="C7">
        <v>1.5555600000000001</v>
      </c>
      <c r="D7">
        <v>0.33</v>
      </c>
      <c r="E7">
        <v>8</v>
      </c>
      <c r="F7">
        <v>1</v>
      </c>
      <c r="G7">
        <v>0.64</v>
      </c>
      <c r="H7">
        <v>7</v>
      </c>
      <c r="I7">
        <v>1.05263</v>
      </c>
      <c r="J7">
        <v>0.91</v>
      </c>
      <c r="K7">
        <v>11</v>
      </c>
      <c r="L7">
        <v>1.01667</v>
      </c>
      <c r="M7">
        <v>1.69</v>
      </c>
      <c r="N7">
        <v>6</v>
      </c>
      <c r="O7">
        <v>1</v>
      </c>
      <c r="P7">
        <v>1.3</v>
      </c>
    </row>
    <row r="8" spans="1:16">
      <c r="A8">
        <v>3</v>
      </c>
      <c r="B8">
        <v>54</v>
      </c>
      <c r="C8">
        <v>1.1578900000000001</v>
      </c>
      <c r="D8">
        <v>0.32</v>
      </c>
      <c r="E8">
        <v>8</v>
      </c>
      <c r="F8">
        <v>1.4081600000000001</v>
      </c>
      <c r="G8">
        <v>0.62</v>
      </c>
      <c r="H8">
        <v>7</v>
      </c>
      <c r="I8">
        <v>1.0172399999999999</v>
      </c>
      <c r="J8">
        <v>0.96</v>
      </c>
      <c r="K8">
        <v>8</v>
      </c>
      <c r="L8">
        <v>1.36</v>
      </c>
      <c r="M8">
        <v>0.87</v>
      </c>
      <c r="N8">
        <v>6</v>
      </c>
      <c r="O8">
        <v>1.3673500000000001</v>
      </c>
      <c r="P8">
        <v>3.14</v>
      </c>
    </row>
    <row r="9" spans="1:16">
      <c r="A9">
        <v>4</v>
      </c>
      <c r="B9">
        <v>54</v>
      </c>
      <c r="C9">
        <v>1.1578900000000001</v>
      </c>
      <c r="D9">
        <v>0.34</v>
      </c>
      <c r="E9">
        <v>8</v>
      </c>
      <c r="F9">
        <v>1.4583299999999999</v>
      </c>
      <c r="G9">
        <v>0.62</v>
      </c>
      <c r="H9">
        <v>7</v>
      </c>
      <c r="I9">
        <v>1.0172399999999999</v>
      </c>
      <c r="J9">
        <v>9.1199999999999992</v>
      </c>
      <c r="K9">
        <v>8</v>
      </c>
      <c r="L9">
        <v>1.4583299999999999</v>
      </c>
      <c r="M9">
        <v>1.9</v>
      </c>
      <c r="N9">
        <v>6</v>
      </c>
      <c r="O9">
        <v>1.3673500000000001</v>
      </c>
      <c r="P9">
        <v>1.31</v>
      </c>
    </row>
    <row r="10" spans="1:16">
      <c r="A10">
        <v>5</v>
      </c>
      <c r="B10">
        <v>54</v>
      </c>
      <c r="C10">
        <v>1.07595</v>
      </c>
      <c r="D10">
        <v>0.35</v>
      </c>
      <c r="E10">
        <v>7</v>
      </c>
      <c r="F10">
        <v>1.3877600000000001</v>
      </c>
      <c r="G10">
        <v>0.62</v>
      </c>
      <c r="H10">
        <v>6</v>
      </c>
      <c r="I10">
        <v>1</v>
      </c>
      <c r="J10">
        <v>0.88</v>
      </c>
      <c r="K10">
        <v>7</v>
      </c>
      <c r="L10">
        <v>1.3877600000000001</v>
      </c>
      <c r="M10">
        <v>0.85</v>
      </c>
      <c r="N10">
        <v>11</v>
      </c>
      <c r="O10">
        <v>1.2</v>
      </c>
      <c r="P10">
        <v>1.22</v>
      </c>
    </row>
    <row r="11" spans="1:16">
      <c r="A11">
        <v>6</v>
      </c>
      <c r="B11">
        <v>51</v>
      </c>
      <c r="C11">
        <v>1.5555600000000001</v>
      </c>
      <c r="D11">
        <v>0.34</v>
      </c>
      <c r="E11">
        <v>8</v>
      </c>
      <c r="F11">
        <v>1</v>
      </c>
      <c r="G11">
        <v>5.39</v>
      </c>
      <c r="H11">
        <v>7</v>
      </c>
      <c r="I11">
        <v>1.05263</v>
      </c>
      <c r="J11">
        <v>16.97</v>
      </c>
      <c r="K11">
        <v>11</v>
      </c>
      <c r="L11">
        <v>1.01667</v>
      </c>
      <c r="M11">
        <v>16.11</v>
      </c>
      <c r="N11">
        <v>6</v>
      </c>
      <c r="O11">
        <v>1</v>
      </c>
      <c r="P11">
        <v>9.08</v>
      </c>
    </row>
    <row r="12" spans="1:16">
      <c r="A12">
        <v>7</v>
      </c>
      <c r="B12">
        <v>54</v>
      </c>
      <c r="C12">
        <v>1.07595</v>
      </c>
      <c r="D12">
        <v>0.43</v>
      </c>
      <c r="E12">
        <v>7</v>
      </c>
      <c r="F12">
        <v>1.3877600000000001</v>
      </c>
      <c r="G12">
        <v>15.8</v>
      </c>
      <c r="H12">
        <v>6</v>
      </c>
      <c r="I12">
        <v>1</v>
      </c>
      <c r="J12">
        <v>0.88</v>
      </c>
      <c r="K12">
        <v>7</v>
      </c>
      <c r="L12">
        <v>1.3877600000000001</v>
      </c>
      <c r="M12">
        <v>1.27</v>
      </c>
      <c r="N12">
        <v>11</v>
      </c>
      <c r="O12">
        <v>1.2</v>
      </c>
      <c r="P12">
        <v>3.35</v>
      </c>
    </row>
    <row r="13" spans="1:16">
      <c r="A13">
        <v>8</v>
      </c>
      <c r="B13">
        <v>54</v>
      </c>
      <c r="C13">
        <v>1.1578900000000001</v>
      </c>
      <c r="D13">
        <v>0.34</v>
      </c>
      <c r="E13">
        <v>8</v>
      </c>
      <c r="F13">
        <v>1.4081600000000001</v>
      </c>
      <c r="G13">
        <v>0.6</v>
      </c>
      <c r="H13">
        <v>7</v>
      </c>
      <c r="I13">
        <v>1.0172399999999999</v>
      </c>
      <c r="J13">
        <v>0.85</v>
      </c>
      <c r="K13">
        <v>8</v>
      </c>
      <c r="L13">
        <v>1.36</v>
      </c>
      <c r="M13">
        <v>4.3499999999999996</v>
      </c>
      <c r="N13">
        <v>6</v>
      </c>
      <c r="O13">
        <v>1.3673500000000001</v>
      </c>
      <c r="P13">
        <v>1.69</v>
      </c>
    </row>
    <row r="14" spans="1:16">
      <c r="A14">
        <v>9</v>
      </c>
      <c r="B14">
        <v>54</v>
      </c>
      <c r="C14">
        <v>1.1578900000000001</v>
      </c>
      <c r="D14">
        <v>0.35</v>
      </c>
      <c r="E14">
        <v>8</v>
      </c>
      <c r="F14">
        <v>1.4081600000000001</v>
      </c>
      <c r="G14">
        <v>1.25</v>
      </c>
      <c r="H14">
        <v>7</v>
      </c>
      <c r="I14">
        <v>1.0172399999999999</v>
      </c>
      <c r="J14">
        <v>4.76</v>
      </c>
      <c r="K14">
        <v>8</v>
      </c>
      <c r="L14">
        <v>1.36</v>
      </c>
      <c r="M14">
        <v>1.01</v>
      </c>
      <c r="N14">
        <v>6</v>
      </c>
      <c r="O14">
        <v>1.3673500000000001</v>
      </c>
      <c r="P14">
        <v>1.24</v>
      </c>
    </row>
    <row r="15" spans="1:16">
      <c r="A15">
        <v>10</v>
      </c>
      <c r="B15">
        <v>54</v>
      </c>
      <c r="C15">
        <v>1.1578900000000001</v>
      </c>
      <c r="D15">
        <v>0.26</v>
      </c>
      <c r="E15">
        <v>8</v>
      </c>
      <c r="F15">
        <v>1</v>
      </c>
      <c r="G15">
        <v>0.56000000000000005</v>
      </c>
      <c r="H15">
        <v>7</v>
      </c>
      <c r="I15">
        <v>1.0172399999999999</v>
      </c>
      <c r="J15">
        <v>4.41</v>
      </c>
      <c r="K15">
        <v>8</v>
      </c>
      <c r="L15">
        <v>1</v>
      </c>
      <c r="M15">
        <v>2.54</v>
      </c>
      <c r="N15">
        <v>11</v>
      </c>
      <c r="O15">
        <v>1.46939</v>
      </c>
      <c r="P15">
        <v>3.06</v>
      </c>
    </row>
    <row r="16" spans="1:16">
      <c r="A16">
        <v>11</v>
      </c>
      <c r="B16">
        <v>54</v>
      </c>
      <c r="C16">
        <v>1.1578900000000001</v>
      </c>
      <c r="D16">
        <v>1.45</v>
      </c>
      <c r="E16">
        <v>8</v>
      </c>
      <c r="F16">
        <v>1.4583299999999999</v>
      </c>
      <c r="G16">
        <v>0.6</v>
      </c>
      <c r="H16">
        <v>7</v>
      </c>
      <c r="I16">
        <v>1.0172399999999999</v>
      </c>
      <c r="J16">
        <v>0.83</v>
      </c>
      <c r="K16">
        <v>8</v>
      </c>
      <c r="L16">
        <v>1.4583299999999999</v>
      </c>
      <c r="M16">
        <v>1.41</v>
      </c>
      <c r="N16">
        <v>6</v>
      </c>
      <c r="O16">
        <v>1.3673500000000001</v>
      </c>
      <c r="P16">
        <v>7.12</v>
      </c>
    </row>
    <row r="17" spans="1:16">
      <c r="A17">
        <v>12</v>
      </c>
      <c r="B17">
        <v>51</v>
      </c>
      <c r="C17">
        <v>1.5555600000000001</v>
      </c>
      <c r="D17">
        <v>0.28999999999999998</v>
      </c>
      <c r="E17">
        <v>8</v>
      </c>
      <c r="F17">
        <v>1</v>
      </c>
      <c r="G17">
        <v>0.54</v>
      </c>
      <c r="H17">
        <v>7</v>
      </c>
      <c r="I17">
        <v>1.05263</v>
      </c>
      <c r="J17">
        <v>0.92</v>
      </c>
      <c r="K17">
        <v>11</v>
      </c>
      <c r="L17">
        <v>1.01667</v>
      </c>
      <c r="M17">
        <v>0.96</v>
      </c>
      <c r="N17">
        <v>6</v>
      </c>
      <c r="O17">
        <v>1</v>
      </c>
      <c r="P17">
        <v>1.07</v>
      </c>
    </row>
    <row r="18" spans="1:16">
      <c r="A18">
        <v>13</v>
      </c>
      <c r="B18">
        <v>52</v>
      </c>
      <c r="C18">
        <v>1.3478300000000001</v>
      </c>
      <c r="D18">
        <v>0.41</v>
      </c>
      <c r="E18">
        <v>7</v>
      </c>
      <c r="F18">
        <v>1.0172399999999999</v>
      </c>
      <c r="G18">
        <v>0.68</v>
      </c>
      <c r="H18">
        <v>6</v>
      </c>
      <c r="I18">
        <v>1</v>
      </c>
      <c r="J18">
        <v>0.78</v>
      </c>
      <c r="K18">
        <v>7</v>
      </c>
      <c r="L18">
        <v>1.0172399999999999</v>
      </c>
      <c r="M18">
        <v>0.88</v>
      </c>
      <c r="N18">
        <v>7</v>
      </c>
      <c r="O18">
        <v>1.0172399999999999</v>
      </c>
      <c r="P18">
        <v>1.35</v>
      </c>
    </row>
    <row r="19" spans="1:16">
      <c r="A19">
        <v>14</v>
      </c>
      <c r="B19">
        <v>54</v>
      </c>
      <c r="C19">
        <v>1.1578900000000001</v>
      </c>
      <c r="D19">
        <v>0.55000000000000004</v>
      </c>
      <c r="E19">
        <v>8</v>
      </c>
      <c r="F19">
        <v>1.4583299999999999</v>
      </c>
      <c r="G19">
        <v>0.79</v>
      </c>
      <c r="H19">
        <v>7</v>
      </c>
      <c r="I19">
        <v>1.0172399999999999</v>
      </c>
      <c r="J19">
        <v>1.1499999999999999</v>
      </c>
      <c r="K19">
        <v>8</v>
      </c>
      <c r="L19">
        <v>1.4583299999999999</v>
      </c>
      <c r="M19">
        <v>0.86</v>
      </c>
      <c r="N19">
        <v>6</v>
      </c>
      <c r="O19">
        <v>1.3673500000000001</v>
      </c>
      <c r="P19">
        <v>1.07</v>
      </c>
    </row>
    <row r="20" spans="1:16">
      <c r="A20">
        <v>15</v>
      </c>
      <c r="B20">
        <v>51</v>
      </c>
      <c r="C20">
        <v>1.5555600000000001</v>
      </c>
      <c r="D20">
        <v>0.25</v>
      </c>
      <c r="E20">
        <v>8</v>
      </c>
      <c r="F20">
        <v>1</v>
      </c>
      <c r="G20">
        <v>0.56000000000000005</v>
      </c>
      <c r="H20">
        <v>7</v>
      </c>
      <c r="I20">
        <v>1.05263</v>
      </c>
      <c r="J20">
        <v>0.77</v>
      </c>
      <c r="K20">
        <v>11</v>
      </c>
      <c r="L20">
        <v>1.01667</v>
      </c>
      <c r="M20">
        <v>0.94</v>
      </c>
      <c r="N20">
        <v>6</v>
      </c>
      <c r="O20">
        <v>1</v>
      </c>
      <c r="P20">
        <v>0.95</v>
      </c>
    </row>
    <row r="21" spans="1:16">
      <c r="A21">
        <v>16</v>
      </c>
      <c r="B21">
        <v>51</v>
      </c>
      <c r="C21">
        <v>1.5555600000000001</v>
      </c>
      <c r="D21">
        <v>0.25</v>
      </c>
      <c r="E21">
        <v>8</v>
      </c>
      <c r="F21">
        <v>1</v>
      </c>
      <c r="G21">
        <v>0.55000000000000004</v>
      </c>
      <c r="H21">
        <v>7</v>
      </c>
      <c r="I21">
        <v>1.05263</v>
      </c>
      <c r="J21">
        <v>0.76</v>
      </c>
      <c r="K21">
        <v>11</v>
      </c>
      <c r="L21">
        <v>1.01667</v>
      </c>
      <c r="M21">
        <v>0.81</v>
      </c>
      <c r="N21">
        <v>6</v>
      </c>
      <c r="O21">
        <v>1</v>
      </c>
      <c r="P21">
        <v>1</v>
      </c>
    </row>
    <row r="22" spans="1:16">
      <c r="A22">
        <v>17</v>
      </c>
      <c r="B22">
        <v>56</v>
      </c>
      <c r="C22">
        <v>1.4411799999999999</v>
      </c>
      <c r="D22">
        <v>0.25</v>
      </c>
      <c r="E22">
        <v>8</v>
      </c>
      <c r="F22">
        <v>1.0344800000000001</v>
      </c>
      <c r="G22">
        <v>0.53</v>
      </c>
      <c r="H22">
        <v>7</v>
      </c>
      <c r="I22">
        <v>1.0172399999999999</v>
      </c>
      <c r="J22">
        <v>0.77</v>
      </c>
      <c r="K22">
        <v>8</v>
      </c>
      <c r="L22">
        <v>1</v>
      </c>
      <c r="M22">
        <v>0.8</v>
      </c>
      <c r="N22">
        <v>6</v>
      </c>
      <c r="O22">
        <v>1</v>
      </c>
      <c r="P22">
        <v>0.96</v>
      </c>
    </row>
    <row r="23" spans="1:16">
      <c r="A23">
        <v>18</v>
      </c>
      <c r="B23">
        <v>54</v>
      </c>
      <c r="C23">
        <v>1.1578900000000001</v>
      </c>
      <c r="D23">
        <v>0.26</v>
      </c>
      <c r="E23">
        <v>8</v>
      </c>
      <c r="F23">
        <v>1.0344800000000001</v>
      </c>
      <c r="G23">
        <v>0.56000000000000005</v>
      </c>
      <c r="H23">
        <v>7</v>
      </c>
      <c r="I23">
        <v>1.0172399999999999</v>
      </c>
      <c r="J23">
        <v>0.8</v>
      </c>
      <c r="K23">
        <v>8</v>
      </c>
      <c r="L23">
        <v>1</v>
      </c>
      <c r="M23">
        <v>0.8</v>
      </c>
      <c r="N23">
        <v>11</v>
      </c>
      <c r="O23">
        <v>1.46939</v>
      </c>
      <c r="P23">
        <v>1.45</v>
      </c>
    </row>
    <row r="24" spans="1:16">
      <c r="A24">
        <v>19</v>
      </c>
      <c r="B24">
        <v>56</v>
      </c>
      <c r="C24">
        <v>1.4411799999999999</v>
      </c>
      <c r="D24">
        <v>0.63</v>
      </c>
      <c r="E24">
        <v>8</v>
      </c>
      <c r="F24">
        <v>1.36</v>
      </c>
      <c r="G24">
        <v>1.25</v>
      </c>
      <c r="H24">
        <v>7</v>
      </c>
      <c r="I24">
        <v>1.34</v>
      </c>
      <c r="J24">
        <v>0.87</v>
      </c>
      <c r="K24">
        <v>8</v>
      </c>
      <c r="L24">
        <v>1.3137300000000001</v>
      </c>
      <c r="M24">
        <v>0.91</v>
      </c>
      <c r="N24">
        <v>6</v>
      </c>
      <c r="O24">
        <v>1</v>
      </c>
      <c r="P24">
        <v>1</v>
      </c>
    </row>
    <row r="25" spans="1:16">
      <c r="A25">
        <v>20</v>
      </c>
      <c r="B25">
        <v>54</v>
      </c>
      <c r="C25">
        <v>1.07595</v>
      </c>
      <c r="D25">
        <v>0.25</v>
      </c>
      <c r="E25">
        <v>7</v>
      </c>
      <c r="F25">
        <v>1.3877600000000001</v>
      </c>
      <c r="G25">
        <v>0.54</v>
      </c>
      <c r="H25">
        <v>6</v>
      </c>
      <c r="I25">
        <v>1</v>
      </c>
      <c r="J25">
        <v>0.74</v>
      </c>
      <c r="K25">
        <v>7</v>
      </c>
      <c r="L25">
        <v>1.3877600000000001</v>
      </c>
      <c r="M25">
        <v>0.75</v>
      </c>
      <c r="N25">
        <v>11</v>
      </c>
      <c r="O25">
        <v>1.2</v>
      </c>
      <c r="P25">
        <v>1.1000000000000001</v>
      </c>
    </row>
    <row r="26" spans="1:16">
      <c r="A26">
        <v>21</v>
      </c>
      <c r="B26">
        <v>51</v>
      </c>
      <c r="C26">
        <v>1.5555600000000001</v>
      </c>
      <c r="D26">
        <v>0.26</v>
      </c>
      <c r="E26">
        <v>8</v>
      </c>
      <c r="F26">
        <v>1.0344800000000001</v>
      </c>
      <c r="G26">
        <v>0.53</v>
      </c>
      <c r="H26">
        <v>7</v>
      </c>
      <c r="I26">
        <v>1.05263</v>
      </c>
      <c r="J26">
        <v>0.77</v>
      </c>
      <c r="K26">
        <v>11</v>
      </c>
      <c r="L26">
        <v>1.0508500000000001</v>
      </c>
      <c r="M26">
        <v>4.24</v>
      </c>
      <c r="N26">
        <v>6</v>
      </c>
      <c r="O26">
        <v>1</v>
      </c>
      <c r="P26">
        <v>1.77</v>
      </c>
    </row>
    <row r="27" spans="1:16">
      <c r="A27">
        <v>22</v>
      </c>
      <c r="B27">
        <v>56</v>
      </c>
      <c r="C27">
        <v>1.4411799999999999</v>
      </c>
      <c r="D27">
        <v>0.25</v>
      </c>
      <c r="E27">
        <v>8</v>
      </c>
      <c r="F27">
        <v>1.0344800000000001</v>
      </c>
      <c r="G27">
        <v>0.69</v>
      </c>
      <c r="H27">
        <v>7</v>
      </c>
      <c r="I27">
        <v>1.0172399999999999</v>
      </c>
      <c r="J27">
        <v>0.77</v>
      </c>
      <c r="K27">
        <v>8</v>
      </c>
      <c r="L27">
        <v>1</v>
      </c>
      <c r="M27">
        <v>0.8</v>
      </c>
      <c r="N27">
        <v>6</v>
      </c>
      <c r="O27">
        <v>1</v>
      </c>
      <c r="P27">
        <v>0.95</v>
      </c>
    </row>
    <row r="28" spans="1:16">
      <c r="A28">
        <v>23</v>
      </c>
      <c r="B28">
        <v>52</v>
      </c>
      <c r="C28">
        <v>1.3478300000000001</v>
      </c>
      <c r="D28">
        <v>0.26</v>
      </c>
      <c r="E28">
        <v>7</v>
      </c>
      <c r="F28">
        <v>1.0172399999999999</v>
      </c>
      <c r="G28">
        <v>0.53</v>
      </c>
      <c r="H28">
        <v>6</v>
      </c>
      <c r="I28">
        <v>1</v>
      </c>
      <c r="J28">
        <v>0.77</v>
      </c>
      <c r="K28">
        <v>7</v>
      </c>
      <c r="L28">
        <v>1.0172399999999999</v>
      </c>
      <c r="M28">
        <v>0.78</v>
      </c>
      <c r="N28">
        <v>8</v>
      </c>
      <c r="O28">
        <v>1.0344800000000001</v>
      </c>
      <c r="P28">
        <v>1.19</v>
      </c>
    </row>
    <row r="29" spans="1:16">
      <c r="A29">
        <v>24</v>
      </c>
      <c r="B29">
        <v>56</v>
      </c>
      <c r="C29">
        <v>1.4411799999999999</v>
      </c>
      <c r="D29">
        <v>0.39</v>
      </c>
      <c r="E29">
        <v>8</v>
      </c>
      <c r="F29">
        <v>1.0344800000000001</v>
      </c>
      <c r="G29">
        <v>0.56000000000000005</v>
      </c>
      <c r="H29">
        <v>7</v>
      </c>
      <c r="I29">
        <v>1.0172399999999999</v>
      </c>
      <c r="J29">
        <v>2.25</v>
      </c>
      <c r="K29">
        <v>8</v>
      </c>
      <c r="L29">
        <v>1</v>
      </c>
      <c r="M29">
        <v>0.93</v>
      </c>
      <c r="N29">
        <v>6</v>
      </c>
      <c r="O29">
        <v>1</v>
      </c>
      <c r="P29">
        <v>1.0900000000000001</v>
      </c>
    </row>
    <row r="30" spans="1:16">
      <c r="A30">
        <v>25</v>
      </c>
      <c r="B30">
        <v>56</v>
      </c>
      <c r="C30">
        <v>1.4411799999999999</v>
      </c>
      <c r="D30">
        <v>0.26</v>
      </c>
      <c r="E30">
        <v>7</v>
      </c>
      <c r="F30">
        <v>1.8536600000000001</v>
      </c>
      <c r="G30">
        <v>0.53</v>
      </c>
      <c r="H30">
        <v>7</v>
      </c>
      <c r="I30">
        <v>1.3877600000000001</v>
      </c>
      <c r="J30">
        <v>0.93</v>
      </c>
      <c r="K30">
        <v>7</v>
      </c>
      <c r="L30">
        <v>1.7857099999999999</v>
      </c>
      <c r="M30">
        <v>0.76</v>
      </c>
      <c r="N30">
        <v>6</v>
      </c>
      <c r="O30">
        <v>1</v>
      </c>
      <c r="P30">
        <v>1.1200000000000001</v>
      </c>
    </row>
    <row r="31" spans="1:16">
      <c r="A31">
        <v>26</v>
      </c>
      <c r="B31">
        <v>54</v>
      </c>
      <c r="C31">
        <v>1.1578900000000001</v>
      </c>
      <c r="D31">
        <v>0.25</v>
      </c>
      <c r="E31">
        <v>8</v>
      </c>
      <c r="F31">
        <v>1.0344800000000001</v>
      </c>
      <c r="G31">
        <v>0.79</v>
      </c>
      <c r="H31">
        <v>7</v>
      </c>
      <c r="I31">
        <v>1.0172399999999999</v>
      </c>
      <c r="J31">
        <v>0.7</v>
      </c>
      <c r="K31">
        <v>8</v>
      </c>
      <c r="L31">
        <v>1</v>
      </c>
      <c r="M31">
        <v>0.91</v>
      </c>
      <c r="N31">
        <v>11</v>
      </c>
      <c r="O31">
        <v>1.46939</v>
      </c>
      <c r="P31">
        <v>1.4</v>
      </c>
    </row>
    <row r="32" spans="1:16">
      <c r="A32">
        <v>27</v>
      </c>
      <c r="B32">
        <v>54</v>
      </c>
      <c r="C32">
        <v>1.1578900000000001</v>
      </c>
      <c r="D32">
        <v>0.25</v>
      </c>
      <c r="E32">
        <v>8</v>
      </c>
      <c r="F32">
        <v>1.4583299999999999</v>
      </c>
      <c r="G32">
        <v>0.51</v>
      </c>
      <c r="H32">
        <v>7</v>
      </c>
      <c r="I32">
        <v>1.0172399999999999</v>
      </c>
      <c r="J32">
        <v>0.93</v>
      </c>
      <c r="K32">
        <v>8</v>
      </c>
      <c r="L32">
        <v>1.4583299999999999</v>
      </c>
      <c r="M32">
        <v>0.77</v>
      </c>
      <c r="N32">
        <v>6</v>
      </c>
      <c r="O32">
        <v>1.3673500000000001</v>
      </c>
      <c r="P32">
        <v>1.1100000000000001</v>
      </c>
    </row>
    <row r="33" spans="1:16">
      <c r="A33">
        <v>28</v>
      </c>
      <c r="B33">
        <v>51</v>
      </c>
      <c r="C33">
        <v>1.5555600000000001</v>
      </c>
      <c r="D33">
        <v>0.26</v>
      </c>
      <c r="E33">
        <v>8</v>
      </c>
      <c r="F33">
        <v>1.36</v>
      </c>
      <c r="G33">
        <v>0.6</v>
      </c>
      <c r="H33">
        <v>7</v>
      </c>
      <c r="I33">
        <v>1.05263</v>
      </c>
      <c r="J33">
        <v>0.88</v>
      </c>
      <c r="K33">
        <v>11</v>
      </c>
      <c r="L33">
        <v>1.28302</v>
      </c>
      <c r="M33">
        <v>0.81</v>
      </c>
      <c r="N33">
        <v>6</v>
      </c>
      <c r="O33">
        <v>1</v>
      </c>
      <c r="P33">
        <v>1.1000000000000001</v>
      </c>
    </row>
    <row r="34" spans="1:16">
      <c r="A34">
        <v>29</v>
      </c>
      <c r="B34">
        <v>54</v>
      </c>
      <c r="C34">
        <v>1.1578900000000001</v>
      </c>
      <c r="D34">
        <v>0.25</v>
      </c>
      <c r="E34">
        <v>8</v>
      </c>
      <c r="F34">
        <v>1.0344800000000001</v>
      </c>
      <c r="G34">
        <v>0.94</v>
      </c>
      <c r="H34">
        <v>7</v>
      </c>
      <c r="I34">
        <v>1.0172399999999999</v>
      </c>
      <c r="J34">
        <v>1.0900000000000001</v>
      </c>
      <c r="K34">
        <v>8</v>
      </c>
      <c r="L34">
        <v>1.0344800000000001</v>
      </c>
      <c r="M34">
        <v>1.21</v>
      </c>
      <c r="N34">
        <v>12</v>
      </c>
      <c r="O34">
        <v>1.44</v>
      </c>
      <c r="P34">
        <v>2.59</v>
      </c>
    </row>
    <row r="35" spans="1:16">
      <c r="A35">
        <v>30</v>
      </c>
      <c r="B35">
        <v>54</v>
      </c>
      <c r="C35">
        <v>1.07595</v>
      </c>
      <c r="D35">
        <v>0.28999999999999998</v>
      </c>
      <c r="E35">
        <v>7</v>
      </c>
      <c r="F35">
        <v>1.3877600000000001</v>
      </c>
      <c r="G35">
        <v>0.64</v>
      </c>
      <c r="H35">
        <v>6</v>
      </c>
      <c r="I35">
        <v>1</v>
      </c>
      <c r="J35">
        <v>0.93</v>
      </c>
      <c r="K35">
        <v>7</v>
      </c>
      <c r="L35">
        <v>1.3877600000000001</v>
      </c>
      <c r="M35">
        <v>1.83</v>
      </c>
      <c r="N35">
        <v>11</v>
      </c>
      <c r="O35">
        <v>1.2</v>
      </c>
      <c r="P35">
        <v>2.87</v>
      </c>
    </row>
    <row r="36" spans="1:16">
      <c r="A36">
        <v>31</v>
      </c>
      <c r="B36">
        <v>54</v>
      </c>
      <c r="C36">
        <v>1.1578900000000001</v>
      </c>
      <c r="D36">
        <v>0.28999999999999998</v>
      </c>
      <c r="E36">
        <v>8</v>
      </c>
      <c r="F36">
        <v>1.4583299999999999</v>
      </c>
      <c r="G36">
        <v>0.54</v>
      </c>
      <c r="H36">
        <v>7</v>
      </c>
      <c r="I36">
        <v>1.0172399999999999</v>
      </c>
      <c r="J36">
        <v>1.55</v>
      </c>
      <c r="K36">
        <v>8</v>
      </c>
      <c r="L36">
        <v>1.4583299999999999</v>
      </c>
      <c r="M36">
        <v>0.78</v>
      </c>
      <c r="N36">
        <v>6</v>
      </c>
      <c r="O36">
        <v>1.3673500000000001</v>
      </c>
      <c r="P36">
        <v>3.19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56</v>
      </c>
      <c r="C40" s="1">
        <f t="shared" ref="C40:P40" si="0">MAX(C5:C36)</f>
        <v>1.5555600000000001</v>
      </c>
      <c r="D40" s="1">
        <f t="shared" si="0"/>
        <v>1.45</v>
      </c>
      <c r="E40" s="1">
        <f t="shared" si="0"/>
        <v>8</v>
      </c>
      <c r="F40" s="1">
        <f t="shared" si="0"/>
        <v>1.8536600000000001</v>
      </c>
      <c r="G40" s="1">
        <f t="shared" si="0"/>
        <v>15.8</v>
      </c>
      <c r="H40" s="1">
        <f t="shared" si="0"/>
        <v>7</v>
      </c>
      <c r="I40" s="1">
        <f t="shared" si="0"/>
        <v>1.3877600000000001</v>
      </c>
      <c r="J40" s="1">
        <f t="shared" si="0"/>
        <v>16.97</v>
      </c>
      <c r="K40" s="1">
        <f t="shared" si="0"/>
        <v>11</v>
      </c>
      <c r="L40" s="1">
        <f t="shared" si="0"/>
        <v>1.7857099999999999</v>
      </c>
      <c r="M40" s="1">
        <f t="shared" si="0"/>
        <v>16.11</v>
      </c>
      <c r="N40" s="1">
        <f t="shared" si="0"/>
        <v>12</v>
      </c>
      <c r="O40" s="1">
        <f t="shared" si="0"/>
        <v>1.46939</v>
      </c>
      <c r="P40" s="1">
        <f t="shared" si="0"/>
        <v>9.08</v>
      </c>
    </row>
    <row r="41" spans="1:16">
      <c r="A41" t="s">
        <v>12</v>
      </c>
      <c r="B41" s="1">
        <f>MIN(B5:B36)</f>
        <v>51</v>
      </c>
      <c r="C41" s="1">
        <f t="shared" ref="C41:P41" si="1">MIN(C5:C36)</f>
        <v>1.07595</v>
      </c>
      <c r="D41" s="1">
        <f t="shared" si="1"/>
        <v>0.25</v>
      </c>
      <c r="E41" s="1">
        <f t="shared" si="1"/>
        <v>7</v>
      </c>
      <c r="F41" s="1">
        <f t="shared" si="1"/>
        <v>1</v>
      </c>
      <c r="G41" s="1">
        <f t="shared" si="1"/>
        <v>0.51</v>
      </c>
      <c r="H41" s="1">
        <f t="shared" si="1"/>
        <v>6</v>
      </c>
      <c r="I41" s="1">
        <f t="shared" si="1"/>
        <v>1</v>
      </c>
      <c r="J41" s="1">
        <f t="shared" si="1"/>
        <v>0.7</v>
      </c>
      <c r="K41" s="1">
        <f t="shared" si="1"/>
        <v>7</v>
      </c>
      <c r="L41" s="1">
        <f t="shared" si="1"/>
        <v>1</v>
      </c>
      <c r="M41" s="1">
        <f t="shared" si="1"/>
        <v>0.75</v>
      </c>
      <c r="N41" s="1">
        <f t="shared" si="1"/>
        <v>6</v>
      </c>
      <c r="O41" s="1">
        <f t="shared" si="1"/>
        <v>1</v>
      </c>
      <c r="P41" s="1">
        <f t="shared" si="1"/>
        <v>0.95</v>
      </c>
    </row>
    <row r="42" spans="1:16">
      <c r="A42" t="s">
        <v>13</v>
      </c>
      <c r="B42" s="1">
        <f>MEDIAN(B5:B36)</f>
        <v>54</v>
      </c>
      <c r="C42" s="1">
        <f t="shared" ref="C42:P42" si="2">MEDIAN(C5:C36)</f>
        <v>1.1578900000000001</v>
      </c>
      <c r="D42" s="1">
        <f t="shared" si="2"/>
        <v>0.28999999999999998</v>
      </c>
      <c r="E42" s="1">
        <f t="shared" si="2"/>
        <v>8</v>
      </c>
      <c r="F42" s="1">
        <f t="shared" si="2"/>
        <v>1.36</v>
      </c>
      <c r="G42" s="1">
        <f t="shared" si="2"/>
        <v>0.61</v>
      </c>
      <c r="H42" s="1">
        <f t="shared" si="2"/>
        <v>7</v>
      </c>
      <c r="I42" s="1">
        <f t="shared" si="2"/>
        <v>1.0172399999999999</v>
      </c>
      <c r="J42" s="1">
        <f t="shared" si="2"/>
        <v>0.89500000000000002</v>
      </c>
      <c r="K42" s="1">
        <f t="shared" si="2"/>
        <v>8</v>
      </c>
      <c r="L42" s="1">
        <f t="shared" si="2"/>
        <v>1.28302</v>
      </c>
      <c r="M42" s="1">
        <f t="shared" si="2"/>
        <v>0.91</v>
      </c>
      <c r="N42" s="1">
        <f t="shared" si="2"/>
        <v>6</v>
      </c>
      <c r="O42" s="1">
        <f t="shared" si="2"/>
        <v>1.2</v>
      </c>
      <c r="P42" s="1">
        <f t="shared" si="2"/>
        <v>1.3</v>
      </c>
    </row>
    <row r="43" spans="1:16">
      <c r="A43" t="s">
        <v>14</v>
      </c>
      <c r="B43" s="1">
        <f>AVERAGE(B5:B36)</f>
        <v>53.4375</v>
      </c>
      <c r="C43" s="1">
        <f t="shared" ref="C43:P43" si="3">AVERAGE(C5:C36)</f>
        <v>1.3032003125000005</v>
      </c>
      <c r="D43" s="1">
        <f t="shared" si="3"/>
        <v>0.36249999999999993</v>
      </c>
      <c r="E43" s="1">
        <f t="shared" si="3"/>
        <v>7.78125</v>
      </c>
      <c r="F43" s="1">
        <f t="shared" si="3"/>
        <v>1.2417187499999998</v>
      </c>
      <c r="G43" s="1">
        <f t="shared" si="3"/>
        <v>1.2853125000000001</v>
      </c>
      <c r="H43" s="1">
        <f t="shared" si="3"/>
        <v>6.8125</v>
      </c>
      <c r="I43" s="1">
        <f t="shared" si="3"/>
        <v>1.0445200000000003</v>
      </c>
      <c r="J43" s="1">
        <f t="shared" si="3"/>
        <v>1.9321875000000002</v>
      </c>
      <c r="K43" s="1">
        <f t="shared" si="3"/>
        <v>8.53125</v>
      </c>
      <c r="L43" s="1">
        <f t="shared" si="3"/>
        <v>1.226551875</v>
      </c>
      <c r="M43" s="1">
        <f t="shared" si="3"/>
        <v>1.7390624999999997</v>
      </c>
      <c r="N43" s="1">
        <f t="shared" si="3"/>
        <v>7.375</v>
      </c>
      <c r="O43" s="1">
        <f t="shared" si="3"/>
        <v>1.1876887500000002</v>
      </c>
      <c r="P43" s="1">
        <f t="shared" si="3"/>
        <v>1.9825000000000002</v>
      </c>
    </row>
    <row r="44" spans="1:16">
      <c r="A44" t="s">
        <v>15</v>
      </c>
      <c r="B44" s="1">
        <f>STDEV(B5:B36)</f>
        <v>1.7027018377822634</v>
      </c>
      <c r="C44" s="1">
        <f t="shared" ref="C44:P44" si="4">STDEV(C5:C36)</f>
        <v>0.1874898562328659</v>
      </c>
      <c r="D44" s="1">
        <f t="shared" si="4"/>
        <v>0.22242069989534588</v>
      </c>
      <c r="E44" s="1">
        <f t="shared" si="4"/>
        <v>0.42001344064515445</v>
      </c>
      <c r="F44" s="1">
        <f t="shared" si="4"/>
        <v>0.22848524713792376</v>
      </c>
      <c r="G44" s="1">
        <f t="shared" si="4"/>
        <v>2.7832100107088</v>
      </c>
      <c r="H44" s="1">
        <f t="shared" si="4"/>
        <v>0.39655776945626603</v>
      </c>
      <c r="I44" s="1">
        <f t="shared" si="4"/>
        <v>8.6032188574787227E-2</v>
      </c>
      <c r="J44" s="1">
        <f t="shared" si="4"/>
        <v>3.2207730332098237</v>
      </c>
      <c r="K44" s="1">
        <f t="shared" si="4"/>
        <v>1.5023503092198247</v>
      </c>
      <c r="L44" s="1">
        <f t="shared" si="4"/>
        <v>0.21923116155412606</v>
      </c>
      <c r="M44" s="1">
        <f t="shared" si="4"/>
        <v>2.7698496050647621</v>
      </c>
      <c r="N44" s="1">
        <f t="shared" si="4"/>
        <v>2.2396716349184014</v>
      </c>
      <c r="O44" s="1">
        <f t="shared" si="4"/>
        <v>0.18865526392029991</v>
      </c>
      <c r="P44" s="1">
        <f t="shared" si="4"/>
        <v>1.7884125236753152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326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145</v>
      </c>
      <c r="C5">
        <v>1.36683</v>
      </c>
      <c r="D5">
        <v>0.62</v>
      </c>
      <c r="E5">
        <v>10</v>
      </c>
      <c r="F5">
        <v>1.04878</v>
      </c>
      <c r="G5">
        <v>1.45</v>
      </c>
      <c r="H5">
        <v>8</v>
      </c>
      <c r="I5">
        <v>1.02424</v>
      </c>
      <c r="J5">
        <v>1.97</v>
      </c>
      <c r="K5">
        <v>21</v>
      </c>
      <c r="L5">
        <v>1.04118</v>
      </c>
      <c r="M5">
        <v>1.84</v>
      </c>
      <c r="N5">
        <v>13</v>
      </c>
      <c r="O5">
        <v>1.0299400000000001</v>
      </c>
      <c r="P5">
        <v>2.67</v>
      </c>
    </row>
    <row r="6" spans="1:16">
      <c r="A6">
        <v>1</v>
      </c>
      <c r="B6">
        <v>154</v>
      </c>
      <c r="C6">
        <v>1.1238900000000001</v>
      </c>
      <c r="D6">
        <v>0.57999999999999996</v>
      </c>
      <c r="E6">
        <v>9</v>
      </c>
      <c r="F6">
        <v>1.4632400000000001</v>
      </c>
      <c r="G6">
        <v>1.26</v>
      </c>
      <c r="H6">
        <v>7</v>
      </c>
      <c r="I6">
        <v>1.0060199999999999</v>
      </c>
      <c r="J6">
        <v>2.0099999999999998</v>
      </c>
      <c r="K6">
        <v>9</v>
      </c>
      <c r="L6">
        <v>1.44526</v>
      </c>
      <c r="M6">
        <v>1.7</v>
      </c>
      <c r="N6">
        <v>6</v>
      </c>
      <c r="O6">
        <v>1.38849</v>
      </c>
      <c r="P6">
        <v>2.57</v>
      </c>
    </row>
    <row r="7" spans="1:16">
      <c r="A7">
        <v>2</v>
      </c>
      <c r="B7">
        <v>145</v>
      </c>
      <c r="C7">
        <v>1.36683</v>
      </c>
      <c r="D7">
        <v>0.55000000000000004</v>
      </c>
      <c r="E7">
        <v>9</v>
      </c>
      <c r="F7">
        <v>1.9386000000000001</v>
      </c>
      <c r="G7">
        <v>3.26</v>
      </c>
      <c r="H7">
        <v>8</v>
      </c>
      <c r="I7">
        <v>1.4202900000000001</v>
      </c>
      <c r="J7">
        <v>2.34</v>
      </c>
      <c r="K7">
        <v>21</v>
      </c>
      <c r="L7">
        <v>1.82114</v>
      </c>
      <c r="M7">
        <v>1.75</v>
      </c>
      <c r="N7">
        <v>12</v>
      </c>
      <c r="O7">
        <v>1.41429</v>
      </c>
      <c r="P7">
        <v>3.24</v>
      </c>
    </row>
    <row r="8" spans="1:16">
      <c r="A8">
        <v>3</v>
      </c>
      <c r="B8">
        <v>150</v>
      </c>
      <c r="C8">
        <v>1.3919600000000001</v>
      </c>
      <c r="D8">
        <v>0.63</v>
      </c>
      <c r="E8">
        <v>7</v>
      </c>
      <c r="F8">
        <v>1.9469000000000001</v>
      </c>
      <c r="G8">
        <v>3.49</v>
      </c>
      <c r="H8">
        <v>6</v>
      </c>
      <c r="I8">
        <v>1.38849</v>
      </c>
      <c r="J8">
        <v>1.96</v>
      </c>
      <c r="K8">
        <v>19</v>
      </c>
      <c r="L8">
        <v>1.85124</v>
      </c>
      <c r="M8">
        <v>1.61</v>
      </c>
      <c r="N8">
        <v>10</v>
      </c>
      <c r="O8">
        <v>1.4</v>
      </c>
      <c r="P8">
        <v>2.93</v>
      </c>
    </row>
    <row r="9" spans="1:16">
      <c r="A9">
        <v>4</v>
      </c>
      <c r="B9">
        <v>154</v>
      </c>
      <c r="C9">
        <v>1.1238900000000001</v>
      </c>
      <c r="D9">
        <v>0.74</v>
      </c>
      <c r="E9">
        <v>9</v>
      </c>
      <c r="F9">
        <v>1.4632400000000001</v>
      </c>
      <c r="G9">
        <v>1.4</v>
      </c>
      <c r="H9">
        <v>7</v>
      </c>
      <c r="I9">
        <v>1.0060199999999999</v>
      </c>
      <c r="J9">
        <v>5.73</v>
      </c>
      <c r="K9">
        <v>9</v>
      </c>
      <c r="L9">
        <v>1.44526</v>
      </c>
      <c r="M9">
        <v>8.18</v>
      </c>
      <c r="N9">
        <v>6</v>
      </c>
      <c r="O9">
        <v>1.38849</v>
      </c>
      <c r="P9">
        <v>3.89</v>
      </c>
    </row>
    <row r="10" spans="1:16">
      <c r="A10">
        <v>5</v>
      </c>
      <c r="B10">
        <v>176</v>
      </c>
      <c r="C10">
        <v>1.10924</v>
      </c>
      <c r="D10">
        <v>0.53</v>
      </c>
      <c r="E10">
        <v>7</v>
      </c>
      <c r="F10">
        <v>1.9469000000000001</v>
      </c>
      <c r="G10">
        <v>6.22</v>
      </c>
      <c r="H10">
        <v>7</v>
      </c>
      <c r="I10">
        <v>1.39568</v>
      </c>
      <c r="J10">
        <v>3.41</v>
      </c>
      <c r="K10">
        <v>7</v>
      </c>
      <c r="L10">
        <v>1.9210499999999999</v>
      </c>
      <c r="M10">
        <v>1.62</v>
      </c>
      <c r="N10">
        <v>6</v>
      </c>
      <c r="O10">
        <v>1</v>
      </c>
      <c r="P10">
        <v>2.39</v>
      </c>
    </row>
    <row r="11" spans="1:16">
      <c r="A11">
        <v>6</v>
      </c>
      <c r="B11">
        <v>145</v>
      </c>
      <c r="C11">
        <v>1.36683</v>
      </c>
      <c r="D11">
        <v>0.51</v>
      </c>
      <c r="E11">
        <v>10</v>
      </c>
      <c r="F11">
        <v>1.3829800000000001</v>
      </c>
      <c r="G11">
        <v>5.67</v>
      </c>
      <c r="H11">
        <v>8</v>
      </c>
      <c r="I11">
        <v>1.3521099999999999</v>
      </c>
      <c r="J11">
        <v>4.45</v>
      </c>
      <c r="K11">
        <v>21</v>
      </c>
      <c r="L11">
        <v>1.34459</v>
      </c>
      <c r="M11">
        <v>1.52</v>
      </c>
      <c r="N11">
        <v>13</v>
      </c>
      <c r="O11">
        <v>1.2013</v>
      </c>
      <c r="P11">
        <v>4.34</v>
      </c>
    </row>
    <row r="12" spans="1:16">
      <c r="A12">
        <v>7</v>
      </c>
      <c r="B12">
        <v>145</v>
      </c>
      <c r="C12">
        <v>1.36683</v>
      </c>
      <c r="D12">
        <v>2.4500000000000002</v>
      </c>
      <c r="E12">
        <v>10</v>
      </c>
      <c r="F12">
        <v>1.3829800000000001</v>
      </c>
      <c r="G12">
        <v>2.97</v>
      </c>
      <c r="H12">
        <v>8</v>
      </c>
      <c r="I12">
        <v>1.02424</v>
      </c>
      <c r="J12">
        <v>1.76</v>
      </c>
      <c r="K12">
        <v>21</v>
      </c>
      <c r="L12">
        <v>1.34459</v>
      </c>
      <c r="M12">
        <v>2.35</v>
      </c>
      <c r="N12">
        <v>13</v>
      </c>
      <c r="O12">
        <v>1.2013</v>
      </c>
      <c r="P12">
        <v>8.4499999999999993</v>
      </c>
    </row>
    <row r="13" spans="1:16">
      <c r="A13">
        <v>8</v>
      </c>
      <c r="B13">
        <v>152</v>
      </c>
      <c r="C13">
        <v>1.11504</v>
      </c>
      <c r="D13">
        <v>6.3</v>
      </c>
      <c r="E13">
        <v>9</v>
      </c>
      <c r="F13">
        <v>1.5</v>
      </c>
      <c r="G13">
        <v>3.41</v>
      </c>
      <c r="H13">
        <v>7</v>
      </c>
      <c r="I13">
        <v>1.0181800000000001</v>
      </c>
      <c r="J13">
        <v>9.32</v>
      </c>
      <c r="K13">
        <v>12</v>
      </c>
      <c r="L13">
        <v>1.5037</v>
      </c>
      <c r="M13">
        <v>1.72</v>
      </c>
      <c r="N13">
        <v>6</v>
      </c>
      <c r="O13">
        <v>1.38849</v>
      </c>
      <c r="P13">
        <v>3.43</v>
      </c>
    </row>
    <row r="14" spans="1:16">
      <c r="A14">
        <v>9</v>
      </c>
      <c r="B14">
        <v>159</v>
      </c>
      <c r="C14">
        <v>1.1945699999999999</v>
      </c>
      <c r="D14">
        <v>0.59</v>
      </c>
      <c r="E14">
        <v>9</v>
      </c>
      <c r="F14">
        <v>1.0059899999999999</v>
      </c>
      <c r="G14">
        <v>1.82</v>
      </c>
      <c r="H14">
        <v>7</v>
      </c>
      <c r="I14">
        <v>1.0555600000000001</v>
      </c>
      <c r="J14">
        <v>7.76</v>
      </c>
      <c r="K14">
        <v>18</v>
      </c>
      <c r="L14">
        <v>1.0117</v>
      </c>
      <c r="M14">
        <v>2.66</v>
      </c>
      <c r="N14">
        <v>6</v>
      </c>
      <c r="O14">
        <v>1</v>
      </c>
      <c r="P14">
        <v>5.09</v>
      </c>
    </row>
    <row r="15" spans="1:16">
      <c r="A15">
        <v>10</v>
      </c>
      <c r="B15">
        <v>176</v>
      </c>
      <c r="C15">
        <v>1.10924</v>
      </c>
      <c r="D15">
        <v>1.1599999999999999</v>
      </c>
      <c r="E15">
        <v>7</v>
      </c>
      <c r="F15">
        <v>1.9469000000000001</v>
      </c>
      <c r="G15">
        <v>1.28</v>
      </c>
      <c r="H15">
        <v>7</v>
      </c>
      <c r="I15">
        <v>1.39568</v>
      </c>
      <c r="J15">
        <v>10.25</v>
      </c>
      <c r="K15">
        <v>7</v>
      </c>
      <c r="L15">
        <v>1.9210499999999999</v>
      </c>
      <c r="M15">
        <v>1.49</v>
      </c>
      <c r="N15">
        <v>6</v>
      </c>
      <c r="O15">
        <v>1</v>
      </c>
      <c r="P15">
        <v>4.04</v>
      </c>
    </row>
    <row r="16" spans="1:16">
      <c r="A16">
        <v>11</v>
      </c>
      <c r="B16">
        <v>154</v>
      </c>
      <c r="C16">
        <v>1.1238900000000001</v>
      </c>
      <c r="D16">
        <v>0.51</v>
      </c>
      <c r="E16">
        <v>9</v>
      </c>
      <c r="F16">
        <v>1.4632400000000001</v>
      </c>
      <c r="G16">
        <v>1.06</v>
      </c>
      <c r="H16">
        <v>7</v>
      </c>
      <c r="I16">
        <v>1.0060199999999999</v>
      </c>
      <c r="J16">
        <v>2.54</v>
      </c>
      <c r="K16">
        <v>9</v>
      </c>
      <c r="L16">
        <v>1.44526</v>
      </c>
      <c r="M16">
        <v>1.69</v>
      </c>
      <c r="N16">
        <v>6</v>
      </c>
      <c r="O16">
        <v>1.38849</v>
      </c>
      <c r="P16">
        <v>2.34</v>
      </c>
    </row>
    <row r="17" spans="1:16">
      <c r="A17">
        <v>12</v>
      </c>
      <c r="B17">
        <v>145</v>
      </c>
      <c r="C17">
        <v>1.36683</v>
      </c>
      <c r="D17">
        <v>0.56999999999999995</v>
      </c>
      <c r="E17">
        <v>8</v>
      </c>
      <c r="F17">
        <v>1.4202900000000001</v>
      </c>
      <c r="G17">
        <v>0.98</v>
      </c>
      <c r="H17">
        <v>6</v>
      </c>
      <c r="I17">
        <v>1</v>
      </c>
      <c r="J17">
        <v>1.54</v>
      </c>
      <c r="K17">
        <v>21</v>
      </c>
      <c r="L17">
        <v>1.3605400000000001</v>
      </c>
      <c r="M17">
        <v>1.58</v>
      </c>
      <c r="N17">
        <v>11</v>
      </c>
      <c r="O17">
        <v>1.18831</v>
      </c>
      <c r="P17">
        <v>16.22</v>
      </c>
    </row>
    <row r="18" spans="1:16">
      <c r="A18">
        <v>13</v>
      </c>
      <c r="B18">
        <v>154</v>
      </c>
      <c r="C18">
        <v>1.1238900000000001</v>
      </c>
      <c r="D18">
        <v>0.5</v>
      </c>
      <c r="E18">
        <v>9</v>
      </c>
      <c r="F18">
        <v>1.4632400000000001</v>
      </c>
      <c r="G18">
        <v>0.91</v>
      </c>
      <c r="H18">
        <v>7</v>
      </c>
      <c r="I18">
        <v>1.0060199999999999</v>
      </c>
      <c r="J18">
        <v>1.57</v>
      </c>
      <c r="K18">
        <v>9</v>
      </c>
      <c r="L18">
        <v>1.44526</v>
      </c>
      <c r="M18">
        <v>2.0499999999999998</v>
      </c>
      <c r="N18">
        <v>6</v>
      </c>
      <c r="O18">
        <v>1.38849</v>
      </c>
      <c r="P18">
        <v>2.1800000000000002</v>
      </c>
    </row>
    <row r="19" spans="1:16">
      <c r="A19">
        <v>14</v>
      </c>
      <c r="B19">
        <v>132</v>
      </c>
      <c r="C19">
        <v>1.77576</v>
      </c>
      <c r="D19">
        <v>0.49</v>
      </c>
      <c r="E19">
        <v>8</v>
      </c>
      <c r="F19">
        <v>1.02424</v>
      </c>
      <c r="G19">
        <v>0.98</v>
      </c>
      <c r="H19">
        <v>6</v>
      </c>
      <c r="I19">
        <v>1</v>
      </c>
      <c r="J19">
        <v>5.36</v>
      </c>
      <c r="K19">
        <v>15</v>
      </c>
      <c r="L19">
        <v>1.0177499999999999</v>
      </c>
      <c r="M19">
        <v>1.39</v>
      </c>
      <c r="N19">
        <v>8</v>
      </c>
      <c r="O19">
        <v>1.0120499999999999</v>
      </c>
      <c r="P19">
        <v>2.3199999999999998</v>
      </c>
    </row>
    <row r="20" spans="1:16">
      <c r="A20">
        <v>15</v>
      </c>
      <c r="B20">
        <v>176</v>
      </c>
      <c r="C20">
        <v>1.10924</v>
      </c>
      <c r="D20">
        <v>0.72</v>
      </c>
      <c r="E20">
        <v>9</v>
      </c>
      <c r="F20">
        <v>1.4100699999999999</v>
      </c>
      <c r="G20">
        <v>1.32</v>
      </c>
      <c r="H20">
        <v>7</v>
      </c>
      <c r="I20">
        <v>1.3785700000000001</v>
      </c>
      <c r="J20">
        <v>1.59</v>
      </c>
      <c r="K20">
        <v>9</v>
      </c>
      <c r="L20">
        <v>1.39286</v>
      </c>
      <c r="M20">
        <v>1.42</v>
      </c>
      <c r="N20">
        <v>6</v>
      </c>
      <c r="O20">
        <v>1</v>
      </c>
      <c r="P20">
        <v>1.91</v>
      </c>
    </row>
    <row r="21" spans="1:16">
      <c r="A21">
        <v>16</v>
      </c>
      <c r="B21">
        <v>127</v>
      </c>
      <c r="C21">
        <v>1.7454499999999999</v>
      </c>
      <c r="D21">
        <v>0.5</v>
      </c>
      <c r="E21">
        <v>10</v>
      </c>
      <c r="F21">
        <v>1.0363599999999999</v>
      </c>
      <c r="G21">
        <v>0.98</v>
      </c>
      <c r="H21">
        <v>8</v>
      </c>
      <c r="I21">
        <v>1.02424</v>
      </c>
      <c r="J21">
        <v>2.82</v>
      </c>
      <c r="K21">
        <v>17</v>
      </c>
      <c r="L21">
        <v>1.0058499999999999</v>
      </c>
      <c r="M21">
        <v>2.29</v>
      </c>
      <c r="N21">
        <v>10</v>
      </c>
      <c r="O21">
        <v>1.0241</v>
      </c>
      <c r="P21">
        <v>5.07</v>
      </c>
    </row>
    <row r="22" spans="1:16">
      <c r="A22">
        <v>17</v>
      </c>
      <c r="B22">
        <v>145</v>
      </c>
      <c r="C22">
        <v>1.36683</v>
      </c>
      <c r="D22">
        <v>0.57999999999999996</v>
      </c>
      <c r="E22">
        <v>10</v>
      </c>
      <c r="F22">
        <v>1.3829800000000001</v>
      </c>
      <c r="G22">
        <v>0.96</v>
      </c>
      <c r="H22">
        <v>8</v>
      </c>
      <c r="I22">
        <v>1.02424</v>
      </c>
      <c r="J22">
        <v>6.07</v>
      </c>
      <c r="K22">
        <v>21</v>
      </c>
      <c r="L22">
        <v>1.34459</v>
      </c>
      <c r="M22">
        <v>6.12</v>
      </c>
      <c r="N22">
        <v>12</v>
      </c>
      <c r="O22">
        <v>1.1948099999999999</v>
      </c>
      <c r="P22">
        <v>2.38</v>
      </c>
    </row>
    <row r="23" spans="1:16">
      <c r="A23">
        <v>18</v>
      </c>
      <c r="B23">
        <v>154</v>
      </c>
      <c r="C23">
        <v>1.1238900000000001</v>
      </c>
      <c r="D23">
        <v>0.76</v>
      </c>
      <c r="E23">
        <v>9</v>
      </c>
      <c r="F23">
        <v>1.01807</v>
      </c>
      <c r="G23">
        <v>3.62</v>
      </c>
      <c r="H23">
        <v>7</v>
      </c>
      <c r="I23">
        <v>1.0060199999999999</v>
      </c>
      <c r="J23">
        <v>1.55</v>
      </c>
      <c r="K23">
        <v>9</v>
      </c>
      <c r="L23">
        <v>1.0059899999999999</v>
      </c>
      <c r="M23">
        <v>1.47</v>
      </c>
      <c r="N23">
        <v>12</v>
      </c>
      <c r="O23">
        <v>1.5801499999999999</v>
      </c>
      <c r="P23">
        <v>5.84</v>
      </c>
    </row>
    <row r="24" spans="1:16">
      <c r="A24">
        <v>19</v>
      </c>
      <c r="B24">
        <v>154</v>
      </c>
      <c r="C24">
        <v>1.1238900000000001</v>
      </c>
      <c r="D24">
        <v>0.59</v>
      </c>
      <c r="E24">
        <v>9</v>
      </c>
      <c r="F24">
        <v>1.01807</v>
      </c>
      <c r="G24">
        <v>1.1299999999999999</v>
      </c>
      <c r="H24">
        <v>7</v>
      </c>
      <c r="I24">
        <v>1.0060199999999999</v>
      </c>
      <c r="J24">
        <v>4.38</v>
      </c>
      <c r="K24">
        <v>9</v>
      </c>
      <c r="L24">
        <v>1.0059899999999999</v>
      </c>
      <c r="M24">
        <v>9.5</v>
      </c>
      <c r="N24">
        <v>12</v>
      </c>
      <c r="O24">
        <v>1.5801499999999999</v>
      </c>
      <c r="P24">
        <v>3.03</v>
      </c>
    </row>
    <row r="25" spans="1:16">
      <c r="A25">
        <v>20</v>
      </c>
      <c r="B25">
        <v>145</v>
      </c>
      <c r="C25">
        <v>1.36683</v>
      </c>
      <c r="D25">
        <v>1.1399999999999999</v>
      </c>
      <c r="E25">
        <v>10</v>
      </c>
      <c r="F25">
        <v>1.0241</v>
      </c>
      <c r="G25">
        <v>2.19</v>
      </c>
      <c r="H25">
        <v>8</v>
      </c>
      <c r="I25">
        <v>1.04908</v>
      </c>
      <c r="J25">
        <v>1.88</v>
      </c>
      <c r="K25">
        <v>21</v>
      </c>
      <c r="L25">
        <v>1.0174399999999999</v>
      </c>
      <c r="M25">
        <v>8.7100000000000009</v>
      </c>
      <c r="N25">
        <v>13</v>
      </c>
      <c r="O25">
        <v>1.0299400000000001</v>
      </c>
      <c r="P25">
        <v>4</v>
      </c>
    </row>
    <row r="26" spans="1:16">
      <c r="A26">
        <v>21</v>
      </c>
      <c r="B26">
        <v>154</v>
      </c>
      <c r="C26">
        <v>1.1238900000000001</v>
      </c>
      <c r="D26">
        <v>3.21</v>
      </c>
      <c r="E26">
        <v>9</v>
      </c>
      <c r="F26">
        <v>1.4632400000000001</v>
      </c>
      <c r="G26">
        <v>1.17</v>
      </c>
      <c r="H26">
        <v>7</v>
      </c>
      <c r="I26">
        <v>1.0060199999999999</v>
      </c>
      <c r="J26">
        <v>8.1300000000000008</v>
      </c>
      <c r="K26">
        <v>9</v>
      </c>
      <c r="L26">
        <v>1.44526</v>
      </c>
      <c r="M26">
        <v>4.21</v>
      </c>
      <c r="N26">
        <v>6</v>
      </c>
      <c r="O26">
        <v>1.38849</v>
      </c>
      <c r="P26">
        <v>2.33</v>
      </c>
    </row>
    <row r="27" spans="1:16">
      <c r="A27">
        <v>22</v>
      </c>
      <c r="B27">
        <v>152</v>
      </c>
      <c r="C27">
        <v>1.11504</v>
      </c>
      <c r="D27">
        <v>0.52</v>
      </c>
      <c r="E27">
        <v>9</v>
      </c>
      <c r="F27">
        <v>1.0426800000000001</v>
      </c>
      <c r="G27">
        <v>2.02</v>
      </c>
      <c r="H27">
        <v>7</v>
      </c>
      <c r="I27">
        <v>1.0181800000000001</v>
      </c>
      <c r="J27">
        <v>3.69</v>
      </c>
      <c r="K27">
        <v>12</v>
      </c>
      <c r="L27">
        <v>1.0239499999999999</v>
      </c>
      <c r="M27">
        <v>5.7</v>
      </c>
      <c r="N27">
        <v>11</v>
      </c>
      <c r="O27">
        <v>1.5923099999999999</v>
      </c>
      <c r="P27">
        <v>2.4</v>
      </c>
    </row>
    <row r="28" spans="1:16">
      <c r="A28">
        <v>23</v>
      </c>
      <c r="B28">
        <v>159</v>
      </c>
      <c r="C28">
        <v>1.1945699999999999</v>
      </c>
      <c r="D28">
        <v>0.52</v>
      </c>
      <c r="E28">
        <v>9</v>
      </c>
      <c r="F28">
        <v>1.0303</v>
      </c>
      <c r="G28">
        <v>1.27</v>
      </c>
      <c r="H28">
        <v>7</v>
      </c>
      <c r="I28">
        <v>1.0555600000000001</v>
      </c>
      <c r="J28">
        <v>3.36</v>
      </c>
      <c r="K28">
        <v>18</v>
      </c>
      <c r="L28">
        <v>1.04762</v>
      </c>
      <c r="M28">
        <v>1.99</v>
      </c>
      <c r="N28">
        <v>6</v>
      </c>
      <c r="O28">
        <v>1</v>
      </c>
      <c r="P28">
        <v>2.0499999999999998</v>
      </c>
    </row>
    <row r="29" spans="1:16">
      <c r="A29">
        <v>24</v>
      </c>
      <c r="B29">
        <v>145</v>
      </c>
      <c r="C29">
        <v>1.36683</v>
      </c>
      <c r="D29">
        <v>0.57999999999999996</v>
      </c>
      <c r="E29">
        <v>9</v>
      </c>
      <c r="F29">
        <v>1.9386000000000001</v>
      </c>
      <c r="G29">
        <v>1.64</v>
      </c>
      <c r="H29">
        <v>8</v>
      </c>
      <c r="I29">
        <v>1.4202900000000001</v>
      </c>
      <c r="J29">
        <v>3.21</v>
      </c>
      <c r="K29">
        <v>21</v>
      </c>
      <c r="L29">
        <v>1.82114</v>
      </c>
      <c r="M29">
        <v>1.43</v>
      </c>
      <c r="N29">
        <v>12</v>
      </c>
      <c r="O29">
        <v>1.41429</v>
      </c>
      <c r="P29">
        <v>2.11</v>
      </c>
    </row>
    <row r="30" spans="1:16">
      <c r="A30">
        <v>25</v>
      </c>
      <c r="B30">
        <v>152</v>
      </c>
      <c r="C30">
        <v>1.11504</v>
      </c>
      <c r="D30">
        <v>0.6</v>
      </c>
      <c r="E30">
        <v>9</v>
      </c>
      <c r="F30">
        <v>1.44526</v>
      </c>
      <c r="G30">
        <v>1.18</v>
      </c>
      <c r="H30">
        <v>7</v>
      </c>
      <c r="I30">
        <v>1.0181800000000001</v>
      </c>
      <c r="J30">
        <v>1.74</v>
      </c>
      <c r="K30">
        <v>12</v>
      </c>
      <c r="L30">
        <v>1.41429</v>
      </c>
      <c r="M30">
        <v>1.67</v>
      </c>
      <c r="N30">
        <v>6</v>
      </c>
      <c r="O30">
        <v>1.38849</v>
      </c>
      <c r="P30">
        <v>2.3199999999999998</v>
      </c>
    </row>
    <row r="31" spans="1:16">
      <c r="A31">
        <v>26</v>
      </c>
      <c r="B31">
        <v>145</v>
      </c>
      <c r="C31">
        <v>1.36683</v>
      </c>
      <c r="D31">
        <v>0.53</v>
      </c>
      <c r="E31">
        <v>8</v>
      </c>
      <c r="F31">
        <v>1.4202900000000001</v>
      </c>
      <c r="G31">
        <v>1.1399999999999999</v>
      </c>
      <c r="H31">
        <v>6</v>
      </c>
      <c r="I31">
        <v>1.38849</v>
      </c>
      <c r="J31">
        <v>1.75</v>
      </c>
      <c r="K31">
        <v>21</v>
      </c>
      <c r="L31">
        <v>1.3605400000000001</v>
      </c>
      <c r="M31">
        <v>1.58</v>
      </c>
      <c r="N31">
        <v>11</v>
      </c>
      <c r="O31">
        <v>1.18831</v>
      </c>
      <c r="P31">
        <v>2.2599999999999998</v>
      </c>
    </row>
    <row r="32" spans="1:16">
      <c r="A32">
        <v>27</v>
      </c>
      <c r="B32">
        <v>145</v>
      </c>
      <c r="C32">
        <v>1.36683</v>
      </c>
      <c r="D32">
        <v>0.52</v>
      </c>
      <c r="E32">
        <v>8</v>
      </c>
      <c r="F32">
        <v>1.4202900000000001</v>
      </c>
      <c r="G32">
        <v>0.94</v>
      </c>
      <c r="H32">
        <v>6</v>
      </c>
      <c r="I32">
        <v>1.38849</v>
      </c>
      <c r="J32">
        <v>2.83</v>
      </c>
      <c r="K32">
        <v>21</v>
      </c>
      <c r="L32">
        <v>1.3605400000000001</v>
      </c>
      <c r="M32">
        <v>1.39</v>
      </c>
      <c r="N32">
        <v>11</v>
      </c>
      <c r="O32">
        <v>1.18831</v>
      </c>
      <c r="P32">
        <v>2.16</v>
      </c>
    </row>
    <row r="33" spans="1:16">
      <c r="A33">
        <v>28</v>
      </c>
      <c r="B33">
        <v>174</v>
      </c>
      <c r="C33">
        <v>1.1186400000000001</v>
      </c>
      <c r="D33">
        <v>0.51</v>
      </c>
      <c r="E33">
        <v>9</v>
      </c>
      <c r="F33">
        <v>1.0426800000000001</v>
      </c>
      <c r="G33">
        <v>1.1000000000000001</v>
      </c>
      <c r="H33">
        <v>7</v>
      </c>
      <c r="I33">
        <v>1.0181800000000001</v>
      </c>
      <c r="J33">
        <v>2.58</v>
      </c>
      <c r="K33">
        <v>12</v>
      </c>
      <c r="L33">
        <v>1.0239499999999999</v>
      </c>
      <c r="M33">
        <v>1.42</v>
      </c>
      <c r="N33">
        <v>6</v>
      </c>
      <c r="O33">
        <v>1</v>
      </c>
      <c r="P33">
        <v>1.87</v>
      </c>
    </row>
    <row r="34" spans="1:16">
      <c r="A34">
        <v>29</v>
      </c>
      <c r="B34">
        <v>154</v>
      </c>
      <c r="C34">
        <v>1.1238900000000001</v>
      </c>
      <c r="D34">
        <v>0.54</v>
      </c>
      <c r="E34">
        <v>9</v>
      </c>
      <c r="F34">
        <v>1.05521</v>
      </c>
      <c r="G34">
        <v>0.95</v>
      </c>
      <c r="H34">
        <v>7</v>
      </c>
      <c r="I34">
        <v>1.0060199999999999</v>
      </c>
      <c r="J34">
        <v>1.6</v>
      </c>
      <c r="K34">
        <v>9</v>
      </c>
      <c r="L34">
        <v>1.0426800000000001</v>
      </c>
      <c r="M34">
        <v>1.41</v>
      </c>
      <c r="N34">
        <v>12</v>
      </c>
      <c r="O34">
        <v>1.5801499999999999</v>
      </c>
      <c r="P34">
        <v>4.87</v>
      </c>
    </row>
    <row r="35" spans="1:16">
      <c r="A35">
        <v>30</v>
      </c>
      <c r="B35">
        <v>174</v>
      </c>
      <c r="C35">
        <v>1.1186400000000001</v>
      </c>
      <c r="D35">
        <v>0.53</v>
      </c>
      <c r="E35">
        <v>8</v>
      </c>
      <c r="F35">
        <v>1.9298200000000001</v>
      </c>
      <c r="G35">
        <v>0.86</v>
      </c>
      <c r="H35">
        <v>7</v>
      </c>
      <c r="I35">
        <v>1.4130400000000001</v>
      </c>
      <c r="J35">
        <v>1.49</v>
      </c>
      <c r="K35">
        <v>11</v>
      </c>
      <c r="L35">
        <v>1.8803399999999999</v>
      </c>
      <c r="M35">
        <v>1.32</v>
      </c>
      <c r="N35">
        <v>6</v>
      </c>
      <c r="O35">
        <v>1</v>
      </c>
      <c r="P35">
        <v>1.86</v>
      </c>
    </row>
    <row r="36" spans="1:16">
      <c r="A36">
        <v>31</v>
      </c>
      <c r="B36">
        <v>159</v>
      </c>
      <c r="C36">
        <v>1.1945699999999999</v>
      </c>
      <c r="D36">
        <v>0.5</v>
      </c>
      <c r="E36">
        <v>9</v>
      </c>
      <c r="F36">
        <v>1.0059899999999999</v>
      </c>
      <c r="G36">
        <v>0.85</v>
      </c>
      <c r="H36">
        <v>7</v>
      </c>
      <c r="I36">
        <v>1.0555600000000001</v>
      </c>
      <c r="J36">
        <v>1.45</v>
      </c>
      <c r="K36">
        <v>18</v>
      </c>
      <c r="L36">
        <v>1.0117</v>
      </c>
      <c r="M36">
        <v>1.44</v>
      </c>
      <c r="N36">
        <v>6</v>
      </c>
      <c r="O36">
        <v>1</v>
      </c>
      <c r="P36">
        <v>2.98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176</v>
      </c>
      <c r="C40" s="1">
        <f t="shared" ref="C40:I40" si="0">MAX(C5:C36)</f>
        <v>1.77576</v>
      </c>
      <c r="D40" s="1">
        <f t="shared" si="0"/>
        <v>6.3</v>
      </c>
      <c r="E40" s="1">
        <f t="shared" si="0"/>
        <v>10</v>
      </c>
      <c r="F40" s="1">
        <f t="shared" si="0"/>
        <v>1.9469000000000001</v>
      </c>
      <c r="G40" s="1">
        <f t="shared" si="0"/>
        <v>6.22</v>
      </c>
      <c r="H40" s="1">
        <f t="shared" si="0"/>
        <v>8</v>
      </c>
      <c r="I40" s="1">
        <f t="shared" si="0"/>
        <v>1.4202900000000001</v>
      </c>
      <c r="J40" s="1">
        <f t="shared" ref="J40:P40" si="1">MAX(J5:J36)</f>
        <v>10.25</v>
      </c>
      <c r="K40" s="1">
        <f t="shared" si="1"/>
        <v>21</v>
      </c>
      <c r="L40" s="1">
        <f t="shared" si="1"/>
        <v>1.9210499999999999</v>
      </c>
      <c r="M40" s="1">
        <f t="shared" si="1"/>
        <v>9.5</v>
      </c>
      <c r="N40" s="1">
        <f t="shared" si="1"/>
        <v>13</v>
      </c>
      <c r="O40" s="1">
        <f t="shared" si="1"/>
        <v>1.5923099999999999</v>
      </c>
      <c r="P40" s="1">
        <f t="shared" si="1"/>
        <v>16.22</v>
      </c>
    </row>
    <row r="41" spans="1:16">
      <c r="A41" t="s">
        <v>12</v>
      </c>
      <c r="B41" s="1">
        <f>MIN(B5:B36)</f>
        <v>127</v>
      </c>
      <c r="C41" s="1">
        <f t="shared" ref="C41:I41" si="2">MIN(C5:C36)</f>
        <v>1.10924</v>
      </c>
      <c r="D41" s="1">
        <f t="shared" si="2"/>
        <v>0.49</v>
      </c>
      <c r="E41" s="1">
        <f t="shared" si="2"/>
        <v>7</v>
      </c>
      <c r="F41" s="1">
        <f t="shared" si="2"/>
        <v>1.0059899999999999</v>
      </c>
      <c r="G41" s="1">
        <f t="shared" si="2"/>
        <v>0.85</v>
      </c>
      <c r="H41" s="1">
        <f t="shared" si="2"/>
        <v>6</v>
      </c>
      <c r="I41" s="1">
        <f t="shared" si="2"/>
        <v>1</v>
      </c>
      <c r="J41" s="1">
        <f t="shared" ref="J41:P41" si="3">MIN(J5:J36)</f>
        <v>1.45</v>
      </c>
      <c r="K41" s="1">
        <f t="shared" si="3"/>
        <v>7</v>
      </c>
      <c r="L41" s="1">
        <f t="shared" si="3"/>
        <v>1.0058499999999999</v>
      </c>
      <c r="M41" s="1">
        <f t="shared" si="3"/>
        <v>1.32</v>
      </c>
      <c r="N41" s="1">
        <f t="shared" si="3"/>
        <v>6</v>
      </c>
      <c r="O41" s="1">
        <f t="shared" si="3"/>
        <v>1</v>
      </c>
      <c r="P41" s="1">
        <f t="shared" si="3"/>
        <v>1.86</v>
      </c>
    </row>
    <row r="42" spans="1:16">
      <c r="A42" t="s">
        <v>13</v>
      </c>
      <c r="B42" s="1">
        <f>MEDIAN(B5:B36)</f>
        <v>153</v>
      </c>
      <c r="C42" s="1">
        <f t="shared" ref="C42:I42" si="4">MEDIAN(C5:C36)</f>
        <v>1.15923</v>
      </c>
      <c r="D42" s="1">
        <f t="shared" si="4"/>
        <v>0.57499999999999996</v>
      </c>
      <c r="E42" s="1">
        <f t="shared" si="4"/>
        <v>9</v>
      </c>
      <c r="F42" s="1">
        <f t="shared" si="4"/>
        <v>1.4151799999999999</v>
      </c>
      <c r="G42" s="1">
        <f t="shared" si="4"/>
        <v>1.2650000000000001</v>
      </c>
      <c r="H42" s="1">
        <f t="shared" si="4"/>
        <v>7</v>
      </c>
      <c r="I42" s="1">
        <f t="shared" si="4"/>
        <v>1.02424</v>
      </c>
      <c r="J42" s="1">
        <f t="shared" ref="J42:P42" si="5">MEDIAN(J5:J36)</f>
        <v>2.56</v>
      </c>
      <c r="K42" s="1">
        <f t="shared" si="5"/>
        <v>13.5</v>
      </c>
      <c r="L42" s="1">
        <f t="shared" si="5"/>
        <v>1.3605400000000001</v>
      </c>
      <c r="M42" s="1">
        <f t="shared" si="5"/>
        <v>1.68</v>
      </c>
      <c r="N42" s="1">
        <f t="shared" si="5"/>
        <v>9</v>
      </c>
      <c r="O42" s="1">
        <f t="shared" si="5"/>
        <v>1.1980550000000001</v>
      </c>
      <c r="P42" s="1">
        <f t="shared" si="5"/>
        <v>2.62</v>
      </c>
    </row>
    <row r="43" spans="1:16">
      <c r="A43" t="s">
        <v>14</v>
      </c>
      <c r="B43" s="1">
        <f>AVERAGE(B5:B36)</f>
        <v>153.125</v>
      </c>
      <c r="C43" s="1">
        <f t="shared" ref="C43:I43" si="6">AVERAGE(C5:C36)</f>
        <v>1.2520756249999998</v>
      </c>
      <c r="D43" s="1">
        <f t="shared" si="6"/>
        <v>0.92437500000000006</v>
      </c>
      <c r="E43" s="1">
        <f t="shared" si="6"/>
        <v>8.84375</v>
      </c>
      <c r="F43" s="1">
        <f t="shared" si="6"/>
        <v>1.3775478125</v>
      </c>
      <c r="G43" s="1">
        <f t="shared" si="6"/>
        <v>1.8587499999999999</v>
      </c>
      <c r="H43" s="1">
        <f t="shared" si="6"/>
        <v>7.09375</v>
      </c>
      <c r="I43" s="1">
        <f t="shared" si="6"/>
        <v>1.1367103125000002</v>
      </c>
      <c r="J43" s="1">
        <f t="shared" ref="J43:P43" si="7">AVERAGE(J5:J36)</f>
        <v>3.5028124999999983</v>
      </c>
      <c r="K43" s="1">
        <f t="shared" si="7"/>
        <v>14.65625</v>
      </c>
      <c r="L43" s="1">
        <f t="shared" si="7"/>
        <v>1.3476343749999997</v>
      </c>
      <c r="M43" s="1">
        <f t="shared" si="7"/>
        <v>2.6943749999999995</v>
      </c>
      <c r="N43" s="1">
        <f t="shared" si="7"/>
        <v>8.9375</v>
      </c>
      <c r="O43" s="1">
        <f t="shared" si="7"/>
        <v>1.2355981250000003</v>
      </c>
      <c r="P43" s="1">
        <f t="shared" si="7"/>
        <v>3.6106249999999998</v>
      </c>
    </row>
    <row r="44" spans="1:16">
      <c r="A44" t="s">
        <v>15</v>
      </c>
      <c r="B44" s="1">
        <f>STDEV(B5:B36)</f>
        <v>11.850547829993673</v>
      </c>
      <c r="C44" s="1">
        <f t="shared" ref="C44:I44" si="8">STDEV(C5:C36)</f>
        <v>0.17629177573881782</v>
      </c>
      <c r="D44" s="1">
        <f t="shared" si="8"/>
        <v>1.1378018918780586</v>
      </c>
      <c r="E44" s="1">
        <f t="shared" si="8"/>
        <v>0.84660136485109794</v>
      </c>
      <c r="F44" s="1">
        <f t="shared" si="8"/>
        <v>0.33251414462986639</v>
      </c>
      <c r="G44" s="1">
        <f t="shared" si="8"/>
        <v>1.364441868641983</v>
      </c>
      <c r="H44" s="1">
        <f t="shared" si="8"/>
        <v>0.64053279234127902</v>
      </c>
      <c r="I44" s="1">
        <f t="shared" si="8"/>
        <v>0.17731383121067654</v>
      </c>
      <c r="J44" s="1">
        <f t="shared" ref="J44:P44" si="9">STDEV(J5:J36)</f>
        <v>2.4463313340526351</v>
      </c>
      <c r="K44" s="1">
        <f t="shared" si="9"/>
        <v>5.4097246665372847</v>
      </c>
      <c r="L44" s="1">
        <f t="shared" si="9"/>
        <v>0.31122668293992994</v>
      </c>
      <c r="M44" s="1">
        <f t="shared" si="9"/>
        <v>2.3069249711641353</v>
      </c>
      <c r="N44" s="1">
        <f t="shared" si="9"/>
        <v>2.9614458108029904</v>
      </c>
      <c r="O44" s="1">
        <f t="shared" si="9"/>
        <v>0.21037484429584025</v>
      </c>
      <c r="P44" s="1">
        <f t="shared" si="9"/>
        <v>2.7136286116444688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topLeftCell="A7"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974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397</v>
      </c>
      <c r="C5">
        <v>1.74749</v>
      </c>
      <c r="D5">
        <v>5.04</v>
      </c>
      <c r="E5">
        <v>10</v>
      </c>
      <c r="F5">
        <v>1.00407</v>
      </c>
      <c r="G5">
        <v>9.5399999999999991</v>
      </c>
      <c r="H5">
        <v>8</v>
      </c>
      <c r="I5">
        <v>1.02058</v>
      </c>
      <c r="J5">
        <v>8.68</v>
      </c>
      <c r="K5">
        <v>10</v>
      </c>
      <c r="L5">
        <v>1</v>
      </c>
      <c r="M5">
        <v>17.47</v>
      </c>
      <c r="N5">
        <v>13</v>
      </c>
      <c r="O5">
        <v>1.0101800000000001</v>
      </c>
      <c r="P5">
        <v>17.739999999999998</v>
      </c>
    </row>
    <row r="6" spans="1:16">
      <c r="A6">
        <v>1</v>
      </c>
      <c r="B6">
        <v>397</v>
      </c>
      <c r="C6">
        <v>1.74749</v>
      </c>
      <c r="D6">
        <v>1.62</v>
      </c>
      <c r="E6">
        <v>8</v>
      </c>
      <c r="F6">
        <v>1.43069</v>
      </c>
      <c r="G6">
        <v>6.5</v>
      </c>
      <c r="H6">
        <v>6</v>
      </c>
      <c r="I6">
        <v>1</v>
      </c>
      <c r="J6">
        <v>5.8</v>
      </c>
      <c r="K6">
        <v>10</v>
      </c>
      <c r="L6">
        <v>1.4176899999999999</v>
      </c>
      <c r="M6">
        <v>16.440000000000001</v>
      </c>
      <c r="N6">
        <v>11</v>
      </c>
      <c r="O6">
        <v>1.18404</v>
      </c>
      <c r="P6">
        <v>18.260000000000002</v>
      </c>
    </row>
    <row r="7" spans="1:16">
      <c r="A7">
        <v>2</v>
      </c>
      <c r="B7">
        <v>471</v>
      </c>
      <c r="C7">
        <v>1.0525599999999999</v>
      </c>
      <c r="D7">
        <v>1.94</v>
      </c>
      <c r="E7">
        <v>12</v>
      </c>
      <c r="F7">
        <v>1.3932</v>
      </c>
      <c r="G7">
        <v>7.81</v>
      </c>
      <c r="H7">
        <v>9</v>
      </c>
      <c r="I7">
        <v>1.0651299999999999</v>
      </c>
      <c r="J7">
        <v>11.67</v>
      </c>
      <c r="K7">
        <v>44</v>
      </c>
      <c r="L7">
        <v>1.32952</v>
      </c>
      <c r="M7">
        <v>16.57</v>
      </c>
      <c r="N7">
        <v>6</v>
      </c>
      <c r="O7">
        <v>1</v>
      </c>
      <c r="P7">
        <v>29.47</v>
      </c>
    </row>
    <row r="8" spans="1:16">
      <c r="A8">
        <v>3</v>
      </c>
      <c r="B8">
        <v>397</v>
      </c>
      <c r="C8">
        <v>1.74749</v>
      </c>
      <c r="D8">
        <v>5.56</v>
      </c>
      <c r="E8">
        <v>10</v>
      </c>
      <c r="F8">
        <v>1.46</v>
      </c>
      <c r="G8">
        <v>26.8</v>
      </c>
      <c r="H8">
        <v>8</v>
      </c>
      <c r="I8">
        <v>1.02058</v>
      </c>
      <c r="J8">
        <v>5.99</v>
      </c>
      <c r="K8">
        <v>10</v>
      </c>
      <c r="L8">
        <v>1.46</v>
      </c>
      <c r="M8">
        <v>7.2</v>
      </c>
      <c r="N8">
        <v>13</v>
      </c>
      <c r="O8">
        <v>1.1884699999999999</v>
      </c>
      <c r="P8">
        <v>17.09</v>
      </c>
    </row>
    <row r="9" spans="1:16">
      <c r="A9">
        <v>4</v>
      </c>
      <c r="B9">
        <v>497</v>
      </c>
      <c r="C9">
        <v>1.54939</v>
      </c>
      <c r="D9">
        <v>1.68</v>
      </c>
      <c r="E9">
        <v>9</v>
      </c>
      <c r="F9">
        <v>1.0651299999999999</v>
      </c>
      <c r="G9">
        <v>4.46</v>
      </c>
      <c r="H9">
        <v>6</v>
      </c>
      <c r="I9">
        <v>1</v>
      </c>
      <c r="J9">
        <v>17.100000000000001</v>
      </c>
      <c r="K9">
        <v>11</v>
      </c>
      <c r="L9">
        <v>1.05637</v>
      </c>
      <c r="M9">
        <v>7.17</v>
      </c>
      <c r="N9">
        <v>8</v>
      </c>
      <c r="O9">
        <v>1.0040800000000001</v>
      </c>
      <c r="P9">
        <v>32.54</v>
      </c>
    </row>
    <row r="10" spans="1:16">
      <c r="A10">
        <v>5</v>
      </c>
      <c r="B10">
        <v>385</v>
      </c>
      <c r="C10">
        <v>1.7234499999999999</v>
      </c>
      <c r="D10">
        <v>5.66</v>
      </c>
      <c r="E10">
        <v>9</v>
      </c>
      <c r="F10">
        <v>1.0651299999999999</v>
      </c>
      <c r="G10">
        <v>18.559999999999999</v>
      </c>
      <c r="H10">
        <v>6</v>
      </c>
      <c r="I10">
        <v>1</v>
      </c>
      <c r="J10">
        <v>14.91</v>
      </c>
      <c r="K10">
        <v>14</v>
      </c>
      <c r="L10">
        <v>1.04979</v>
      </c>
      <c r="M10">
        <v>20.97</v>
      </c>
      <c r="N10">
        <v>10</v>
      </c>
      <c r="O10">
        <v>1.0081599999999999</v>
      </c>
      <c r="P10">
        <v>36.86</v>
      </c>
    </row>
    <row r="11" spans="1:16">
      <c r="A11">
        <v>6</v>
      </c>
      <c r="B11">
        <v>514</v>
      </c>
      <c r="C11">
        <v>1.13181</v>
      </c>
      <c r="D11">
        <v>10.47</v>
      </c>
      <c r="E11">
        <v>10</v>
      </c>
      <c r="F11">
        <v>1.0585800000000001</v>
      </c>
      <c r="G11">
        <v>3.99</v>
      </c>
      <c r="H11">
        <v>7</v>
      </c>
      <c r="I11">
        <v>1.00613</v>
      </c>
      <c r="J11">
        <v>7.72</v>
      </c>
      <c r="K11">
        <v>24</v>
      </c>
      <c r="L11">
        <v>1.0408999999999999</v>
      </c>
      <c r="M11">
        <v>5.36</v>
      </c>
      <c r="N11">
        <v>6</v>
      </c>
      <c r="O11">
        <v>1</v>
      </c>
      <c r="P11">
        <v>8.27</v>
      </c>
    </row>
    <row r="12" spans="1:16">
      <c r="A12">
        <v>7</v>
      </c>
      <c r="B12">
        <v>497</v>
      </c>
      <c r="C12">
        <v>1.54939</v>
      </c>
      <c r="D12">
        <v>1.65</v>
      </c>
      <c r="E12">
        <v>11</v>
      </c>
      <c r="F12">
        <v>1.05637</v>
      </c>
      <c r="G12">
        <v>5.26</v>
      </c>
      <c r="H12">
        <v>8</v>
      </c>
      <c r="I12">
        <v>1.0081800000000001</v>
      </c>
      <c r="J12">
        <v>6.39</v>
      </c>
      <c r="K12">
        <v>11</v>
      </c>
      <c r="L12">
        <v>1.0520799999999999</v>
      </c>
      <c r="M12">
        <v>5.63</v>
      </c>
      <c r="N12">
        <v>10</v>
      </c>
      <c r="O12">
        <v>1.0081599999999999</v>
      </c>
      <c r="P12">
        <v>19.3</v>
      </c>
    </row>
    <row r="13" spans="1:16">
      <c r="A13">
        <v>8</v>
      </c>
      <c r="B13">
        <v>497</v>
      </c>
      <c r="C13">
        <v>1.54939</v>
      </c>
      <c r="D13">
        <v>1.62</v>
      </c>
      <c r="E13">
        <v>10</v>
      </c>
      <c r="F13">
        <v>1.0246900000000001</v>
      </c>
      <c r="G13">
        <v>3.39</v>
      </c>
      <c r="H13">
        <v>8</v>
      </c>
      <c r="I13">
        <v>1.0501</v>
      </c>
      <c r="J13">
        <v>27.11</v>
      </c>
      <c r="K13">
        <v>13</v>
      </c>
      <c r="L13">
        <v>1.0184</v>
      </c>
      <c r="M13">
        <v>27.43</v>
      </c>
      <c r="N13">
        <v>10</v>
      </c>
      <c r="O13">
        <v>1.0081599999999999</v>
      </c>
      <c r="P13">
        <v>16.32</v>
      </c>
    </row>
    <row r="14" spans="1:16">
      <c r="A14">
        <v>9</v>
      </c>
      <c r="B14">
        <v>497</v>
      </c>
      <c r="C14">
        <v>1.54939</v>
      </c>
      <c r="D14">
        <v>2.98</v>
      </c>
      <c r="E14">
        <v>10</v>
      </c>
      <c r="F14">
        <v>1.0163899999999999</v>
      </c>
      <c r="G14">
        <v>31.67</v>
      </c>
      <c r="H14">
        <v>8</v>
      </c>
      <c r="I14">
        <v>1.0081800000000001</v>
      </c>
      <c r="J14">
        <v>4.63</v>
      </c>
      <c r="K14">
        <v>10</v>
      </c>
      <c r="L14">
        <v>1.01227</v>
      </c>
      <c r="M14">
        <v>8.5500000000000007</v>
      </c>
      <c r="N14">
        <v>9</v>
      </c>
      <c r="O14">
        <v>1.0061199999999999</v>
      </c>
      <c r="P14">
        <v>21.92</v>
      </c>
    </row>
    <row r="15" spans="1:16">
      <c r="A15">
        <v>10</v>
      </c>
      <c r="B15">
        <v>420</v>
      </c>
      <c r="C15">
        <v>1.4034500000000001</v>
      </c>
      <c r="D15">
        <v>1.7</v>
      </c>
      <c r="E15">
        <v>10</v>
      </c>
      <c r="F15">
        <v>1.5166200000000001</v>
      </c>
      <c r="G15">
        <v>6.19</v>
      </c>
      <c r="H15">
        <v>7</v>
      </c>
      <c r="I15">
        <v>1.0185200000000001</v>
      </c>
      <c r="J15">
        <v>13.22</v>
      </c>
      <c r="K15">
        <v>42</v>
      </c>
      <c r="L15">
        <v>1.45411</v>
      </c>
      <c r="M15">
        <v>5.86</v>
      </c>
      <c r="N15">
        <v>6</v>
      </c>
      <c r="O15">
        <v>1.3960900000000001</v>
      </c>
      <c r="P15">
        <v>11.38</v>
      </c>
    </row>
    <row r="16" spans="1:16">
      <c r="A16">
        <v>11</v>
      </c>
      <c r="B16">
        <v>397</v>
      </c>
      <c r="C16">
        <v>1.74749</v>
      </c>
      <c r="D16">
        <v>1.68</v>
      </c>
      <c r="E16">
        <v>11</v>
      </c>
      <c r="F16">
        <v>1.51918</v>
      </c>
      <c r="G16">
        <v>16.5</v>
      </c>
      <c r="H16">
        <v>8</v>
      </c>
      <c r="I16">
        <v>1.02058</v>
      </c>
      <c r="J16">
        <v>20.52</v>
      </c>
      <c r="K16">
        <v>11</v>
      </c>
      <c r="L16">
        <v>1.51918</v>
      </c>
      <c r="M16">
        <v>11.7</v>
      </c>
      <c r="N16">
        <v>12</v>
      </c>
      <c r="O16">
        <v>1.1911099999999999</v>
      </c>
      <c r="P16">
        <v>39.020000000000003</v>
      </c>
    </row>
    <row r="17" spans="1:16">
      <c r="A17">
        <v>12</v>
      </c>
      <c r="B17">
        <v>397</v>
      </c>
      <c r="C17">
        <v>1.74749</v>
      </c>
      <c r="D17">
        <v>10.33</v>
      </c>
      <c r="E17">
        <v>8</v>
      </c>
      <c r="F17">
        <v>1.43069</v>
      </c>
      <c r="G17">
        <v>5.9</v>
      </c>
      <c r="H17">
        <v>6</v>
      </c>
      <c r="I17">
        <v>1</v>
      </c>
      <c r="J17">
        <v>8.76</v>
      </c>
      <c r="K17">
        <v>10</v>
      </c>
      <c r="L17">
        <v>1.4176899999999999</v>
      </c>
      <c r="M17">
        <v>9.39</v>
      </c>
      <c r="N17">
        <v>11</v>
      </c>
      <c r="O17">
        <v>1.18404</v>
      </c>
      <c r="P17">
        <v>13.02</v>
      </c>
    </row>
    <row r="18" spans="1:16">
      <c r="A18">
        <v>13</v>
      </c>
      <c r="B18">
        <v>497</v>
      </c>
      <c r="C18">
        <v>1.54939</v>
      </c>
      <c r="D18">
        <v>1.72</v>
      </c>
      <c r="E18">
        <v>8</v>
      </c>
      <c r="F18">
        <v>1.02474</v>
      </c>
      <c r="G18">
        <v>3.26</v>
      </c>
      <c r="H18">
        <v>6</v>
      </c>
      <c r="I18">
        <v>1</v>
      </c>
      <c r="J18">
        <v>5.2</v>
      </c>
      <c r="K18">
        <v>10</v>
      </c>
      <c r="L18">
        <v>1.0163899999999999</v>
      </c>
      <c r="M18">
        <v>5.73</v>
      </c>
      <c r="N18">
        <v>8</v>
      </c>
      <c r="O18">
        <v>1.0040800000000001</v>
      </c>
      <c r="P18">
        <v>31.73</v>
      </c>
    </row>
    <row r="19" spans="1:16">
      <c r="A19">
        <v>14</v>
      </c>
      <c r="B19">
        <v>397</v>
      </c>
      <c r="C19">
        <v>1.74749</v>
      </c>
      <c r="D19">
        <v>3</v>
      </c>
      <c r="E19">
        <v>10</v>
      </c>
      <c r="F19">
        <v>1.46</v>
      </c>
      <c r="G19">
        <v>8.9600000000000009</v>
      </c>
      <c r="H19">
        <v>8</v>
      </c>
      <c r="I19">
        <v>1.02058</v>
      </c>
      <c r="J19">
        <v>8.85</v>
      </c>
      <c r="K19">
        <v>10</v>
      </c>
      <c r="L19">
        <v>1.46</v>
      </c>
      <c r="M19">
        <v>10.210000000000001</v>
      </c>
      <c r="N19">
        <v>13</v>
      </c>
      <c r="O19">
        <v>1.1884699999999999</v>
      </c>
      <c r="P19">
        <v>36.15</v>
      </c>
    </row>
    <row r="20" spans="1:16">
      <c r="A20">
        <v>15</v>
      </c>
      <c r="B20">
        <v>397</v>
      </c>
      <c r="C20">
        <v>1.74749</v>
      </c>
      <c r="D20">
        <v>7.96</v>
      </c>
      <c r="E20">
        <v>8</v>
      </c>
      <c r="F20">
        <v>1.43069</v>
      </c>
      <c r="G20">
        <v>14.11</v>
      </c>
      <c r="H20">
        <v>6</v>
      </c>
      <c r="I20">
        <v>1</v>
      </c>
      <c r="J20">
        <v>26.33</v>
      </c>
      <c r="K20">
        <v>10</v>
      </c>
      <c r="L20">
        <v>1.4176899999999999</v>
      </c>
      <c r="M20">
        <v>25.08</v>
      </c>
      <c r="N20">
        <v>11</v>
      </c>
      <c r="O20">
        <v>1.18404</v>
      </c>
      <c r="P20">
        <v>23.03</v>
      </c>
    </row>
    <row r="21" spans="1:16">
      <c r="A21">
        <v>16</v>
      </c>
      <c r="B21">
        <v>385</v>
      </c>
      <c r="C21">
        <v>1.7234499999999999</v>
      </c>
      <c r="D21">
        <v>3.92</v>
      </c>
      <c r="E21">
        <v>7</v>
      </c>
      <c r="F21">
        <v>1.98176</v>
      </c>
      <c r="G21">
        <v>2.91</v>
      </c>
      <c r="H21">
        <v>6</v>
      </c>
      <c r="I21">
        <v>1.3960900000000001</v>
      </c>
      <c r="J21">
        <v>5.68</v>
      </c>
      <c r="K21">
        <v>12</v>
      </c>
      <c r="L21">
        <v>1.96096</v>
      </c>
      <c r="M21">
        <v>4.55</v>
      </c>
      <c r="N21">
        <v>10</v>
      </c>
      <c r="O21">
        <v>1.4</v>
      </c>
      <c r="P21">
        <v>6.84</v>
      </c>
    </row>
    <row r="22" spans="1:16">
      <c r="A22">
        <v>17</v>
      </c>
      <c r="B22">
        <v>385</v>
      </c>
      <c r="C22">
        <v>1.7234499999999999</v>
      </c>
      <c r="D22">
        <v>1.51</v>
      </c>
      <c r="E22">
        <v>11</v>
      </c>
      <c r="F22">
        <v>1.41422</v>
      </c>
      <c r="G22">
        <v>3.3</v>
      </c>
      <c r="H22">
        <v>8</v>
      </c>
      <c r="I22">
        <v>1.0501</v>
      </c>
      <c r="J22">
        <v>5.07</v>
      </c>
      <c r="K22">
        <v>14</v>
      </c>
      <c r="L22">
        <v>1.4156500000000001</v>
      </c>
      <c r="M22">
        <v>4.38</v>
      </c>
      <c r="N22">
        <v>12</v>
      </c>
      <c r="O22">
        <v>1.1911099999999999</v>
      </c>
      <c r="P22">
        <v>7.31</v>
      </c>
    </row>
    <row r="23" spans="1:16">
      <c r="A23">
        <v>18</v>
      </c>
      <c r="B23">
        <v>397</v>
      </c>
      <c r="C23">
        <v>1.74749</v>
      </c>
      <c r="D23">
        <v>1.76</v>
      </c>
      <c r="E23">
        <v>11</v>
      </c>
      <c r="F23">
        <v>1.4748699999999999</v>
      </c>
      <c r="G23">
        <v>3.26</v>
      </c>
      <c r="H23">
        <v>8</v>
      </c>
      <c r="I23">
        <v>1.0081800000000001</v>
      </c>
      <c r="J23">
        <v>5.38</v>
      </c>
      <c r="K23">
        <v>11</v>
      </c>
      <c r="L23">
        <v>1.4686699999999999</v>
      </c>
      <c r="M23">
        <v>5.59</v>
      </c>
      <c r="N23">
        <v>12</v>
      </c>
      <c r="O23">
        <v>1.1911099999999999</v>
      </c>
      <c r="P23">
        <v>7.61</v>
      </c>
    </row>
    <row r="24" spans="1:16">
      <c r="A24">
        <v>19</v>
      </c>
      <c r="B24">
        <v>516</v>
      </c>
      <c r="C24">
        <v>1.1346700000000001</v>
      </c>
      <c r="D24">
        <v>1.67</v>
      </c>
      <c r="E24">
        <v>9</v>
      </c>
      <c r="F24">
        <v>1.42716</v>
      </c>
      <c r="G24">
        <v>4.1900000000000004</v>
      </c>
      <c r="H24">
        <v>7</v>
      </c>
      <c r="I24">
        <v>1.3926799999999999</v>
      </c>
      <c r="J24">
        <v>6.35</v>
      </c>
      <c r="K24">
        <v>21</v>
      </c>
      <c r="L24">
        <v>1.3803799999999999</v>
      </c>
      <c r="M24">
        <v>4.29</v>
      </c>
      <c r="N24">
        <v>6</v>
      </c>
      <c r="O24">
        <v>1</v>
      </c>
      <c r="P24">
        <v>4.34</v>
      </c>
    </row>
    <row r="25" spans="1:16">
      <c r="A25">
        <v>20</v>
      </c>
      <c r="B25">
        <v>387</v>
      </c>
      <c r="C25">
        <v>1.7274499999999999</v>
      </c>
      <c r="D25">
        <v>0.93</v>
      </c>
      <c r="E25">
        <v>10</v>
      </c>
      <c r="F25">
        <v>1.0803400000000001</v>
      </c>
      <c r="G25">
        <v>1.64</v>
      </c>
      <c r="H25">
        <v>8</v>
      </c>
      <c r="I25">
        <v>1.0543899999999999</v>
      </c>
      <c r="J25">
        <v>3.73</v>
      </c>
      <c r="K25">
        <v>10</v>
      </c>
      <c r="L25">
        <v>1.07595</v>
      </c>
      <c r="M25">
        <v>3.39</v>
      </c>
      <c r="N25">
        <v>13</v>
      </c>
      <c r="O25">
        <v>1.0101800000000001</v>
      </c>
      <c r="P25">
        <v>4.5999999999999996</v>
      </c>
    </row>
    <row r="26" spans="1:16">
      <c r="A26">
        <v>21</v>
      </c>
      <c r="B26">
        <v>514</v>
      </c>
      <c r="C26">
        <v>1.13181</v>
      </c>
      <c r="D26">
        <v>1.18</v>
      </c>
      <c r="E26">
        <v>9</v>
      </c>
      <c r="F26">
        <v>1.4211800000000001</v>
      </c>
      <c r="G26">
        <v>1.82</v>
      </c>
      <c r="H26">
        <v>7</v>
      </c>
      <c r="I26">
        <v>1.38686</v>
      </c>
      <c r="J26">
        <v>3.91</v>
      </c>
      <c r="K26">
        <v>24</v>
      </c>
      <c r="L26">
        <v>1.3705499999999999</v>
      </c>
      <c r="M26">
        <v>3.67</v>
      </c>
      <c r="N26">
        <v>6</v>
      </c>
      <c r="O26">
        <v>1</v>
      </c>
      <c r="P26">
        <v>14.58</v>
      </c>
    </row>
    <row r="27" spans="1:16">
      <c r="A27">
        <v>22</v>
      </c>
      <c r="B27">
        <v>516</v>
      </c>
      <c r="C27">
        <v>1.1346700000000001</v>
      </c>
      <c r="D27">
        <v>2.83</v>
      </c>
      <c r="E27">
        <v>7</v>
      </c>
      <c r="F27">
        <v>1.98176</v>
      </c>
      <c r="G27">
        <v>5.67</v>
      </c>
      <c r="H27">
        <v>7</v>
      </c>
      <c r="I27">
        <v>1.3985300000000001</v>
      </c>
      <c r="J27">
        <v>12.51</v>
      </c>
      <c r="K27">
        <v>19</v>
      </c>
      <c r="L27">
        <v>1.95536</v>
      </c>
      <c r="M27">
        <v>9.59</v>
      </c>
      <c r="N27">
        <v>6</v>
      </c>
      <c r="O27">
        <v>1</v>
      </c>
      <c r="P27">
        <v>4.4000000000000004</v>
      </c>
    </row>
    <row r="28" spans="1:16">
      <c r="A28">
        <v>23</v>
      </c>
      <c r="B28">
        <v>397</v>
      </c>
      <c r="C28">
        <v>1.74749</v>
      </c>
      <c r="D28">
        <v>3</v>
      </c>
      <c r="E28">
        <v>8</v>
      </c>
      <c r="F28">
        <v>1.43069</v>
      </c>
      <c r="G28">
        <v>12.05</v>
      </c>
      <c r="H28">
        <v>6</v>
      </c>
      <c r="I28">
        <v>1.3960900000000001</v>
      </c>
      <c r="J28">
        <v>8.75</v>
      </c>
      <c r="K28">
        <v>10</v>
      </c>
      <c r="L28">
        <v>1.4176899999999999</v>
      </c>
      <c r="M28">
        <v>10.82</v>
      </c>
      <c r="N28">
        <v>11</v>
      </c>
      <c r="O28">
        <v>1.18404</v>
      </c>
      <c r="P28">
        <v>17.39</v>
      </c>
    </row>
    <row r="29" spans="1:16">
      <c r="A29">
        <v>24</v>
      </c>
      <c r="B29">
        <v>387</v>
      </c>
      <c r="C29">
        <v>1.7274499999999999</v>
      </c>
      <c r="D29">
        <v>1.06</v>
      </c>
      <c r="E29">
        <v>9</v>
      </c>
      <c r="F29">
        <v>1.0651299999999999</v>
      </c>
      <c r="G29">
        <v>6.69</v>
      </c>
      <c r="H29">
        <v>6</v>
      </c>
      <c r="I29">
        <v>1</v>
      </c>
      <c r="J29">
        <v>7.91</v>
      </c>
      <c r="K29">
        <v>11</v>
      </c>
      <c r="L29">
        <v>1.05637</v>
      </c>
      <c r="M29">
        <v>7.21</v>
      </c>
      <c r="N29">
        <v>10</v>
      </c>
      <c r="O29">
        <v>1.0081599999999999</v>
      </c>
      <c r="P29">
        <v>7.61</v>
      </c>
    </row>
    <row r="30" spans="1:16">
      <c r="A30">
        <v>25</v>
      </c>
      <c r="B30">
        <v>497</v>
      </c>
      <c r="C30">
        <v>1.54939</v>
      </c>
      <c r="D30">
        <v>1.82</v>
      </c>
      <c r="E30">
        <v>9</v>
      </c>
      <c r="F30">
        <v>1.0651299999999999</v>
      </c>
      <c r="G30">
        <v>4.9400000000000004</v>
      </c>
      <c r="H30">
        <v>6</v>
      </c>
      <c r="I30">
        <v>1</v>
      </c>
      <c r="J30">
        <v>4.62</v>
      </c>
      <c r="K30">
        <v>11</v>
      </c>
      <c r="L30">
        <v>1.05637</v>
      </c>
      <c r="M30">
        <v>3.73</v>
      </c>
      <c r="N30">
        <v>8</v>
      </c>
      <c r="O30">
        <v>1.0040800000000001</v>
      </c>
      <c r="P30">
        <v>4.3600000000000003</v>
      </c>
    </row>
    <row r="31" spans="1:16">
      <c r="A31">
        <v>26</v>
      </c>
      <c r="B31">
        <v>497</v>
      </c>
      <c r="C31">
        <v>1.54939</v>
      </c>
      <c r="D31">
        <v>1.52</v>
      </c>
      <c r="E31">
        <v>10</v>
      </c>
      <c r="F31">
        <v>1.0163899999999999</v>
      </c>
      <c r="G31">
        <v>2.88</v>
      </c>
      <c r="H31">
        <v>8</v>
      </c>
      <c r="I31">
        <v>1.0081800000000001</v>
      </c>
      <c r="J31">
        <v>4.07</v>
      </c>
      <c r="K31">
        <v>10</v>
      </c>
      <c r="L31">
        <v>1.01227</v>
      </c>
      <c r="M31">
        <v>4.18</v>
      </c>
      <c r="N31">
        <v>9</v>
      </c>
      <c r="O31">
        <v>1.0061199999999999</v>
      </c>
      <c r="P31">
        <v>4.83</v>
      </c>
    </row>
    <row r="32" spans="1:16">
      <c r="A32">
        <v>27</v>
      </c>
      <c r="B32">
        <v>420</v>
      </c>
      <c r="C32">
        <v>1.4034500000000001</v>
      </c>
      <c r="D32">
        <v>1.34</v>
      </c>
      <c r="E32">
        <v>10</v>
      </c>
      <c r="F32">
        <v>1.46</v>
      </c>
      <c r="G32">
        <v>1.79</v>
      </c>
      <c r="H32">
        <v>7</v>
      </c>
      <c r="I32">
        <v>1.0185200000000001</v>
      </c>
      <c r="J32">
        <v>3.73</v>
      </c>
      <c r="K32">
        <v>42</v>
      </c>
      <c r="L32">
        <v>1.3793899999999999</v>
      </c>
      <c r="M32">
        <v>4.24</v>
      </c>
      <c r="N32">
        <v>6</v>
      </c>
      <c r="O32">
        <v>1.3960900000000001</v>
      </c>
      <c r="P32">
        <v>4.9000000000000004</v>
      </c>
    </row>
    <row r="33" spans="1:16">
      <c r="A33">
        <v>28</v>
      </c>
      <c r="B33">
        <v>514</v>
      </c>
      <c r="C33">
        <v>1.13181</v>
      </c>
      <c r="D33">
        <v>1</v>
      </c>
      <c r="E33">
        <v>10</v>
      </c>
      <c r="F33">
        <v>1.0585800000000001</v>
      </c>
      <c r="G33">
        <v>1.96</v>
      </c>
      <c r="H33">
        <v>7</v>
      </c>
      <c r="I33">
        <v>1.00613</v>
      </c>
      <c r="J33">
        <v>2.69</v>
      </c>
      <c r="K33">
        <v>24</v>
      </c>
      <c r="L33">
        <v>1.0408999999999999</v>
      </c>
      <c r="M33">
        <v>3.4</v>
      </c>
      <c r="N33">
        <v>6</v>
      </c>
      <c r="O33">
        <v>1</v>
      </c>
      <c r="P33">
        <v>20.85</v>
      </c>
    </row>
    <row r="34" spans="1:16">
      <c r="A34">
        <v>29</v>
      </c>
      <c r="B34">
        <v>430</v>
      </c>
      <c r="C34">
        <v>1.42069</v>
      </c>
      <c r="D34">
        <v>1.88</v>
      </c>
      <c r="E34">
        <v>10</v>
      </c>
      <c r="F34">
        <v>1.48485</v>
      </c>
      <c r="G34">
        <v>12.26</v>
      </c>
      <c r="H34">
        <v>7</v>
      </c>
      <c r="I34">
        <v>1.00204</v>
      </c>
      <c r="J34">
        <v>10.89</v>
      </c>
      <c r="K34">
        <v>33</v>
      </c>
      <c r="L34">
        <v>1.4148700000000001</v>
      </c>
      <c r="M34">
        <v>13.46</v>
      </c>
      <c r="N34">
        <v>6</v>
      </c>
      <c r="O34">
        <v>1.3960900000000001</v>
      </c>
      <c r="P34">
        <v>11.86</v>
      </c>
    </row>
    <row r="35" spans="1:16">
      <c r="A35">
        <v>30</v>
      </c>
      <c r="B35">
        <v>516</v>
      </c>
      <c r="C35">
        <v>1.1346700000000001</v>
      </c>
      <c r="D35">
        <v>1.88</v>
      </c>
      <c r="E35">
        <v>7</v>
      </c>
      <c r="F35">
        <v>1.98176</v>
      </c>
      <c r="G35">
        <v>12.85</v>
      </c>
      <c r="H35">
        <v>7</v>
      </c>
      <c r="I35">
        <v>1.3985300000000001</v>
      </c>
      <c r="J35">
        <v>12.58</v>
      </c>
      <c r="K35">
        <v>19</v>
      </c>
      <c r="L35">
        <v>1.95536</v>
      </c>
      <c r="M35">
        <v>10.94</v>
      </c>
      <c r="N35">
        <v>6</v>
      </c>
      <c r="O35">
        <v>1</v>
      </c>
      <c r="P35">
        <v>12.29</v>
      </c>
    </row>
    <row r="36" spans="1:16">
      <c r="A36">
        <v>31</v>
      </c>
      <c r="B36">
        <v>397</v>
      </c>
      <c r="C36">
        <v>1.74749</v>
      </c>
      <c r="D36">
        <v>6.22</v>
      </c>
      <c r="E36">
        <v>10</v>
      </c>
      <c r="F36">
        <v>1.0457399999999999</v>
      </c>
      <c r="G36">
        <v>6.85</v>
      </c>
      <c r="H36">
        <v>8</v>
      </c>
      <c r="I36">
        <v>1.02058</v>
      </c>
      <c r="J36">
        <v>7.15</v>
      </c>
      <c r="K36">
        <v>10</v>
      </c>
      <c r="L36">
        <v>1.0457399999999999</v>
      </c>
      <c r="M36">
        <v>6.32</v>
      </c>
      <c r="N36">
        <v>13</v>
      </c>
      <c r="O36">
        <v>1.0101800000000001</v>
      </c>
      <c r="P36">
        <v>10.050000000000001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516</v>
      </c>
      <c r="C40" s="1">
        <f t="shared" ref="C40:P40" si="0">MAX(C5:C36)</f>
        <v>1.74749</v>
      </c>
      <c r="D40" s="1">
        <f t="shared" si="0"/>
        <v>10.47</v>
      </c>
      <c r="E40" s="1">
        <f t="shared" si="0"/>
        <v>12</v>
      </c>
      <c r="F40" s="1">
        <f t="shared" si="0"/>
        <v>1.98176</v>
      </c>
      <c r="G40" s="1">
        <f t="shared" si="0"/>
        <v>31.67</v>
      </c>
      <c r="H40" s="1">
        <f t="shared" si="0"/>
        <v>9</v>
      </c>
      <c r="I40" s="1">
        <f t="shared" si="0"/>
        <v>1.3985300000000001</v>
      </c>
      <c r="J40" s="1">
        <f t="shared" si="0"/>
        <v>27.11</v>
      </c>
      <c r="K40" s="1">
        <f t="shared" si="0"/>
        <v>44</v>
      </c>
      <c r="L40" s="1">
        <f t="shared" si="0"/>
        <v>1.96096</v>
      </c>
      <c r="M40" s="1">
        <f t="shared" si="0"/>
        <v>27.43</v>
      </c>
      <c r="N40" s="1">
        <f t="shared" si="0"/>
        <v>13</v>
      </c>
      <c r="O40" s="1">
        <f t="shared" si="0"/>
        <v>1.4</v>
      </c>
      <c r="P40" s="1">
        <f t="shared" si="0"/>
        <v>39.020000000000003</v>
      </c>
    </row>
    <row r="41" spans="1:16">
      <c r="A41" t="s">
        <v>12</v>
      </c>
      <c r="B41" s="1">
        <f>MIN(B5:B36)</f>
        <v>385</v>
      </c>
      <c r="C41" s="1">
        <f t="shared" ref="C41:P41" si="1">MIN(C5:C36)</f>
        <v>1.0525599999999999</v>
      </c>
      <c r="D41" s="1">
        <f t="shared" si="1"/>
        <v>0.93</v>
      </c>
      <c r="E41" s="1">
        <f t="shared" si="1"/>
        <v>7</v>
      </c>
      <c r="F41" s="1">
        <f t="shared" si="1"/>
        <v>1.00407</v>
      </c>
      <c r="G41" s="1">
        <f t="shared" si="1"/>
        <v>1.64</v>
      </c>
      <c r="H41" s="1">
        <f t="shared" si="1"/>
        <v>6</v>
      </c>
      <c r="I41" s="1">
        <f t="shared" si="1"/>
        <v>1</v>
      </c>
      <c r="J41" s="1">
        <f t="shared" si="1"/>
        <v>2.69</v>
      </c>
      <c r="K41" s="1">
        <f t="shared" si="1"/>
        <v>10</v>
      </c>
      <c r="L41" s="1">
        <f t="shared" si="1"/>
        <v>1</v>
      </c>
      <c r="M41" s="1">
        <f t="shared" si="1"/>
        <v>3.39</v>
      </c>
      <c r="N41" s="1">
        <f t="shared" si="1"/>
        <v>6</v>
      </c>
      <c r="O41" s="1">
        <f t="shared" si="1"/>
        <v>1</v>
      </c>
      <c r="P41" s="1">
        <f t="shared" si="1"/>
        <v>4.34</v>
      </c>
    </row>
    <row r="42" spans="1:16">
      <c r="A42" t="s">
        <v>13</v>
      </c>
      <c r="B42" s="1">
        <f>MEDIAN(B5:B36)</f>
        <v>420</v>
      </c>
      <c r="C42" s="1">
        <f t="shared" ref="C42:P42" si="2">MEDIAN(C5:C36)</f>
        <v>1.54939</v>
      </c>
      <c r="D42" s="1">
        <f t="shared" si="2"/>
        <v>1.79</v>
      </c>
      <c r="E42" s="1">
        <f t="shared" si="2"/>
        <v>10</v>
      </c>
      <c r="F42" s="1">
        <f t="shared" si="2"/>
        <v>1.4177</v>
      </c>
      <c r="G42" s="1">
        <f t="shared" si="2"/>
        <v>5.7850000000000001</v>
      </c>
      <c r="H42" s="1">
        <f t="shared" si="2"/>
        <v>7</v>
      </c>
      <c r="I42" s="1">
        <f t="shared" si="2"/>
        <v>1.0185200000000001</v>
      </c>
      <c r="J42" s="1">
        <f t="shared" si="2"/>
        <v>7.4350000000000005</v>
      </c>
      <c r="K42" s="1">
        <f t="shared" si="2"/>
        <v>11</v>
      </c>
      <c r="L42" s="1">
        <f t="shared" si="2"/>
        <v>1.3749699999999998</v>
      </c>
      <c r="M42" s="1">
        <f t="shared" si="2"/>
        <v>7.1850000000000005</v>
      </c>
      <c r="N42" s="1">
        <f t="shared" si="2"/>
        <v>10</v>
      </c>
      <c r="O42" s="1">
        <f t="shared" si="2"/>
        <v>1.0091700000000001</v>
      </c>
      <c r="P42" s="1">
        <f t="shared" si="2"/>
        <v>13.8</v>
      </c>
    </row>
    <row r="43" spans="1:16">
      <c r="A43" t="s">
        <v>14</v>
      </c>
      <c r="B43" s="1">
        <f>AVERAGE(B5:B36)</f>
        <v>444.03125</v>
      </c>
      <c r="C43" s="1">
        <f t="shared" ref="C43:P43" si="3">AVERAGE(C5:C36)</f>
        <v>1.5320459375</v>
      </c>
      <c r="D43" s="1">
        <f t="shared" si="3"/>
        <v>3.0665624999999999</v>
      </c>
      <c r="E43" s="1">
        <f t="shared" si="3"/>
        <v>9.40625</v>
      </c>
      <c r="F43" s="1">
        <f t="shared" si="3"/>
        <v>1.3233040625000003</v>
      </c>
      <c r="G43" s="1">
        <f t="shared" si="3"/>
        <v>8.0612499999999994</v>
      </c>
      <c r="H43" s="1">
        <f t="shared" si="3"/>
        <v>7.125</v>
      </c>
      <c r="I43" s="1">
        <f t="shared" si="3"/>
        <v>1.0867331250000001</v>
      </c>
      <c r="J43" s="1">
        <f t="shared" si="3"/>
        <v>9.3093749999999975</v>
      </c>
      <c r="K43" s="1">
        <f t="shared" si="3"/>
        <v>16.59375</v>
      </c>
      <c r="L43" s="1">
        <f t="shared" si="3"/>
        <v>1.3040175000000001</v>
      </c>
      <c r="M43" s="1">
        <f t="shared" si="3"/>
        <v>9.3912499999999977</v>
      </c>
      <c r="N43" s="1">
        <f t="shared" si="3"/>
        <v>9.28125</v>
      </c>
      <c r="O43" s="1">
        <f t="shared" si="3"/>
        <v>1.1050737499999996</v>
      </c>
      <c r="P43" s="1">
        <f t="shared" si="3"/>
        <v>16.122499999999995</v>
      </c>
    </row>
    <row r="44" spans="1:16">
      <c r="A44" t="s">
        <v>15</v>
      </c>
      <c r="B44" s="1">
        <f>STDEV(B5:B36)</f>
        <v>54.186943061840061</v>
      </c>
      <c r="C44" s="1">
        <f t="shared" ref="C44:P44" si="4">STDEV(C5:C36)</f>
        <v>0.24640703673785702</v>
      </c>
      <c r="D44" s="1">
        <f t="shared" si="4"/>
        <v>2.5798682254107228</v>
      </c>
      <c r="E44" s="1">
        <f t="shared" si="4"/>
        <v>1.2664243542988622</v>
      </c>
      <c r="F44" s="1">
        <f t="shared" si="4"/>
        <v>0.29204040454946367</v>
      </c>
      <c r="G44" s="1">
        <f t="shared" si="4"/>
        <v>7.1133145261816653</v>
      </c>
      <c r="H44" s="1">
        <f t="shared" si="4"/>
        <v>0.90696231738771282</v>
      </c>
      <c r="I44" s="1">
        <f t="shared" si="4"/>
        <v>0.15133083365833125</v>
      </c>
      <c r="J44" s="1">
        <f t="shared" si="4"/>
        <v>6.1947667494947041</v>
      </c>
      <c r="K44" s="1">
        <f t="shared" si="4"/>
        <v>10.260665183115567</v>
      </c>
      <c r="L44" s="1">
        <f t="shared" si="4"/>
        <v>0.2847709451244923</v>
      </c>
      <c r="M44" s="1">
        <f t="shared" si="4"/>
        <v>6.3739260955056398</v>
      </c>
      <c r="N44" s="1">
        <f t="shared" si="4"/>
        <v>2.6546900068102235</v>
      </c>
      <c r="O44" s="1">
        <f t="shared" si="4"/>
        <v>0.1384431923034217</v>
      </c>
      <c r="P44" s="1">
        <f t="shared" si="4"/>
        <v>10.542900990255134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C91E-464F-0447-BEEF-FB2E34345ED1}">
  <sheetPr codeName="Sheet7"/>
  <dimension ref="A1:P44"/>
  <sheetViews>
    <sheetView topLeftCell="A32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2918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1497</v>
      </c>
      <c r="C5">
        <v>1.2422500000000001</v>
      </c>
      <c r="D5">
        <v>12.61</v>
      </c>
      <c r="E5">
        <v>9</v>
      </c>
      <c r="F5">
        <v>1.0656300000000001</v>
      </c>
      <c r="G5">
        <v>14.86</v>
      </c>
      <c r="H5">
        <v>6</v>
      </c>
      <c r="I5">
        <v>1</v>
      </c>
      <c r="J5">
        <v>24.7</v>
      </c>
      <c r="K5">
        <v>11</v>
      </c>
      <c r="L5">
        <v>1.0626800000000001</v>
      </c>
      <c r="M5">
        <v>45.79</v>
      </c>
      <c r="N5">
        <v>8</v>
      </c>
      <c r="O5">
        <v>1.0013700000000001</v>
      </c>
      <c r="P5">
        <v>57.77</v>
      </c>
    </row>
    <row r="6" spans="1:16">
      <c r="A6">
        <v>1</v>
      </c>
      <c r="B6">
        <v>1392</v>
      </c>
      <c r="C6">
        <v>1.3944399999999999</v>
      </c>
      <c r="D6">
        <v>8.2100000000000009</v>
      </c>
      <c r="E6">
        <v>10</v>
      </c>
      <c r="F6">
        <v>1.0461199999999999</v>
      </c>
      <c r="G6">
        <v>12.25</v>
      </c>
      <c r="H6">
        <v>7</v>
      </c>
      <c r="I6">
        <v>1.0186299999999999</v>
      </c>
      <c r="J6">
        <v>13.94</v>
      </c>
      <c r="K6">
        <v>33</v>
      </c>
      <c r="L6">
        <v>1.0337700000000001</v>
      </c>
      <c r="M6">
        <v>17.850000000000001</v>
      </c>
      <c r="N6">
        <v>6</v>
      </c>
      <c r="O6">
        <v>1</v>
      </c>
      <c r="P6">
        <v>22.72</v>
      </c>
    </row>
    <row r="7" spans="1:16">
      <c r="A7">
        <v>2</v>
      </c>
      <c r="B7">
        <v>1261</v>
      </c>
      <c r="C7">
        <v>1.4860199999999999</v>
      </c>
      <c r="D7">
        <v>5.87</v>
      </c>
      <c r="E7">
        <v>11</v>
      </c>
      <c r="F7">
        <v>1.3988499999999999</v>
      </c>
      <c r="G7">
        <v>12.21</v>
      </c>
      <c r="H7">
        <v>8</v>
      </c>
      <c r="I7">
        <v>1.3634900000000001</v>
      </c>
      <c r="J7">
        <v>14.93</v>
      </c>
      <c r="K7">
        <v>20</v>
      </c>
      <c r="L7">
        <v>1.3925099999999999</v>
      </c>
      <c r="M7">
        <v>27.8</v>
      </c>
      <c r="N7">
        <v>13</v>
      </c>
      <c r="O7">
        <v>1.18405</v>
      </c>
      <c r="P7">
        <v>72.28</v>
      </c>
    </row>
    <row r="8" spans="1:16">
      <c r="A8">
        <v>3</v>
      </c>
      <c r="B8">
        <v>1491</v>
      </c>
      <c r="C8">
        <v>1.2460500000000001</v>
      </c>
      <c r="D8">
        <v>21.64</v>
      </c>
      <c r="E8">
        <v>9</v>
      </c>
      <c r="F8">
        <v>1.0256099999999999</v>
      </c>
      <c r="G8">
        <v>30.89</v>
      </c>
      <c r="H8">
        <v>6</v>
      </c>
      <c r="I8">
        <v>1</v>
      </c>
      <c r="J8">
        <v>31.08</v>
      </c>
      <c r="K8">
        <v>14</v>
      </c>
      <c r="L8">
        <v>1.02068</v>
      </c>
      <c r="M8">
        <v>28.08</v>
      </c>
      <c r="N8">
        <v>8</v>
      </c>
      <c r="O8">
        <v>1.0013700000000001</v>
      </c>
      <c r="P8">
        <v>94.92</v>
      </c>
    </row>
    <row r="9" spans="1:16">
      <c r="A9">
        <v>4</v>
      </c>
      <c r="B9">
        <v>1166</v>
      </c>
      <c r="C9">
        <v>1.7706900000000001</v>
      </c>
      <c r="D9">
        <v>26.36</v>
      </c>
      <c r="E9">
        <v>10</v>
      </c>
      <c r="F9">
        <v>1.06488</v>
      </c>
      <c r="G9">
        <v>19.329999999999998</v>
      </c>
      <c r="H9">
        <v>7</v>
      </c>
      <c r="I9">
        <v>1.00068</v>
      </c>
      <c r="J9">
        <v>23.22</v>
      </c>
      <c r="K9">
        <v>10</v>
      </c>
      <c r="L9">
        <v>1.06342</v>
      </c>
      <c r="M9">
        <v>25.59</v>
      </c>
      <c r="N9">
        <v>12</v>
      </c>
      <c r="O9">
        <v>1.65639</v>
      </c>
      <c r="P9">
        <v>59.84</v>
      </c>
    </row>
    <row r="10" spans="1:16">
      <c r="A10">
        <v>5</v>
      </c>
      <c r="B10">
        <v>1130</v>
      </c>
      <c r="C10">
        <v>1.74627</v>
      </c>
      <c r="D10">
        <v>18.89</v>
      </c>
      <c r="E10">
        <v>12</v>
      </c>
      <c r="F10">
        <v>1.45394</v>
      </c>
      <c r="G10">
        <v>43.97</v>
      </c>
      <c r="H10">
        <v>9</v>
      </c>
      <c r="I10">
        <v>1.0256099999999999</v>
      </c>
      <c r="J10">
        <v>27.99</v>
      </c>
      <c r="K10">
        <v>33</v>
      </c>
      <c r="L10">
        <v>1.4428799999999999</v>
      </c>
      <c r="M10">
        <v>18.559999999999999</v>
      </c>
      <c r="N10">
        <v>6</v>
      </c>
      <c r="O10">
        <v>1.39869</v>
      </c>
      <c r="P10">
        <v>17.61</v>
      </c>
    </row>
    <row r="11" spans="1:16">
      <c r="A11">
        <v>6</v>
      </c>
      <c r="B11">
        <v>1267</v>
      </c>
      <c r="C11">
        <v>1.4807399999999999</v>
      </c>
      <c r="D11">
        <v>4.41</v>
      </c>
      <c r="E11">
        <v>9</v>
      </c>
      <c r="F11">
        <v>1.4351100000000001</v>
      </c>
      <c r="G11">
        <v>8.4</v>
      </c>
      <c r="H11">
        <v>6</v>
      </c>
      <c r="I11">
        <v>1</v>
      </c>
      <c r="J11">
        <v>10.43</v>
      </c>
      <c r="K11">
        <v>11</v>
      </c>
      <c r="L11">
        <v>1.4307099999999999</v>
      </c>
      <c r="M11">
        <v>12.57</v>
      </c>
      <c r="N11">
        <v>11</v>
      </c>
      <c r="O11">
        <v>1.1825600000000001</v>
      </c>
      <c r="P11">
        <v>16.940000000000001</v>
      </c>
    </row>
    <row r="12" spans="1:16">
      <c r="A12">
        <v>7</v>
      </c>
      <c r="B12">
        <v>1267</v>
      </c>
      <c r="C12">
        <v>1.4807399999999999</v>
      </c>
      <c r="D12">
        <v>3.95</v>
      </c>
      <c r="E12">
        <v>11</v>
      </c>
      <c r="F12">
        <v>1.5206500000000001</v>
      </c>
      <c r="G12">
        <v>14.58</v>
      </c>
      <c r="H12">
        <v>8</v>
      </c>
      <c r="I12">
        <v>1.01793</v>
      </c>
      <c r="J12">
        <v>15.33</v>
      </c>
      <c r="K12">
        <v>11</v>
      </c>
      <c r="L12">
        <v>1.5184899999999999</v>
      </c>
      <c r="M12">
        <v>24.38</v>
      </c>
      <c r="N12">
        <v>12</v>
      </c>
      <c r="O12">
        <v>1.1849400000000001</v>
      </c>
      <c r="P12">
        <v>43.51</v>
      </c>
    </row>
    <row r="13" spans="1:16">
      <c r="A13">
        <v>8</v>
      </c>
      <c r="B13">
        <v>1261</v>
      </c>
      <c r="C13">
        <v>1.4860199999999999</v>
      </c>
      <c r="D13">
        <v>13.33</v>
      </c>
      <c r="E13">
        <v>11</v>
      </c>
      <c r="F13">
        <v>1.5163199999999999</v>
      </c>
      <c r="G13">
        <v>18.899999999999999</v>
      </c>
      <c r="H13">
        <v>8</v>
      </c>
      <c r="I13">
        <v>1.47756</v>
      </c>
      <c r="J13">
        <v>19.28</v>
      </c>
      <c r="K13">
        <v>14</v>
      </c>
      <c r="L13">
        <v>1.5124299999999999</v>
      </c>
      <c r="M13">
        <v>16.420000000000002</v>
      </c>
      <c r="N13">
        <v>13</v>
      </c>
      <c r="O13">
        <v>1.18405</v>
      </c>
      <c r="P13">
        <v>23.3</v>
      </c>
    </row>
    <row r="14" spans="1:16">
      <c r="A14">
        <v>9</v>
      </c>
      <c r="B14">
        <v>1329</v>
      </c>
      <c r="C14">
        <v>1.29816</v>
      </c>
      <c r="D14">
        <v>3.96</v>
      </c>
      <c r="E14">
        <v>10</v>
      </c>
      <c r="F14">
        <v>1.08399</v>
      </c>
      <c r="G14">
        <v>8.33</v>
      </c>
      <c r="H14">
        <v>7</v>
      </c>
      <c r="I14">
        <v>1.0569599999999999</v>
      </c>
      <c r="J14">
        <v>11.52</v>
      </c>
      <c r="K14">
        <v>57</v>
      </c>
      <c r="L14">
        <v>1.08772</v>
      </c>
      <c r="M14">
        <v>12.4</v>
      </c>
      <c r="N14">
        <v>6</v>
      </c>
      <c r="O14">
        <v>1</v>
      </c>
      <c r="P14">
        <v>22.93</v>
      </c>
    </row>
    <row r="15" spans="1:16">
      <c r="A15">
        <v>10</v>
      </c>
      <c r="B15">
        <v>1267</v>
      </c>
      <c r="C15">
        <v>1.4807399999999999</v>
      </c>
      <c r="D15">
        <v>13.27</v>
      </c>
      <c r="E15">
        <v>7</v>
      </c>
      <c r="F15">
        <v>1.99386</v>
      </c>
      <c r="G15">
        <v>30.9</v>
      </c>
      <c r="H15">
        <v>6</v>
      </c>
      <c r="I15">
        <v>1.39869</v>
      </c>
      <c r="J15">
        <v>27.45</v>
      </c>
      <c r="K15">
        <v>12</v>
      </c>
      <c r="L15">
        <v>1.98675</v>
      </c>
      <c r="M15">
        <v>32.450000000000003</v>
      </c>
      <c r="N15">
        <v>10</v>
      </c>
      <c r="O15">
        <v>1.4</v>
      </c>
      <c r="P15">
        <v>17.91</v>
      </c>
    </row>
    <row r="16" spans="1:16">
      <c r="A16">
        <v>11</v>
      </c>
      <c r="B16">
        <v>1491</v>
      </c>
      <c r="C16">
        <v>1.2460500000000001</v>
      </c>
      <c r="D16">
        <v>4.7</v>
      </c>
      <c r="E16">
        <v>9</v>
      </c>
      <c r="F16">
        <v>1.0256099999999999</v>
      </c>
      <c r="G16">
        <v>9.16</v>
      </c>
      <c r="H16">
        <v>6</v>
      </c>
      <c r="I16">
        <v>1</v>
      </c>
      <c r="J16">
        <v>11.57</v>
      </c>
      <c r="K16">
        <v>14</v>
      </c>
      <c r="L16">
        <v>1.02068</v>
      </c>
      <c r="M16">
        <v>19.66</v>
      </c>
      <c r="N16">
        <v>8</v>
      </c>
      <c r="O16">
        <v>1.0013700000000001</v>
      </c>
      <c r="P16">
        <v>19.41</v>
      </c>
    </row>
    <row r="17" spans="1:16">
      <c r="A17">
        <v>12</v>
      </c>
      <c r="B17">
        <v>1267</v>
      </c>
      <c r="C17">
        <v>1.4807399999999999</v>
      </c>
      <c r="D17">
        <v>6.14</v>
      </c>
      <c r="E17">
        <v>9</v>
      </c>
      <c r="F17">
        <v>1.4351100000000001</v>
      </c>
      <c r="G17">
        <v>17.329999999999998</v>
      </c>
      <c r="H17">
        <v>6</v>
      </c>
      <c r="I17">
        <v>1</v>
      </c>
      <c r="J17">
        <v>35.78</v>
      </c>
      <c r="K17">
        <v>14</v>
      </c>
      <c r="L17">
        <v>1.4271499999999999</v>
      </c>
      <c r="M17">
        <v>30.14</v>
      </c>
      <c r="N17">
        <v>11</v>
      </c>
      <c r="O17">
        <v>1.1825600000000001</v>
      </c>
      <c r="P17">
        <v>57.96</v>
      </c>
    </row>
    <row r="18" spans="1:16">
      <c r="A18">
        <v>13</v>
      </c>
      <c r="B18">
        <v>1130</v>
      </c>
      <c r="C18">
        <v>1.74627</v>
      </c>
      <c r="D18">
        <v>4.49</v>
      </c>
      <c r="E18">
        <v>12</v>
      </c>
      <c r="F18">
        <v>1.0883799999999999</v>
      </c>
      <c r="G18">
        <v>8.3000000000000007</v>
      </c>
      <c r="H18">
        <v>9</v>
      </c>
      <c r="I18">
        <v>1.0214099999999999</v>
      </c>
      <c r="J18">
        <v>10.83</v>
      </c>
      <c r="K18">
        <v>33</v>
      </c>
      <c r="L18">
        <v>1.0914200000000001</v>
      </c>
      <c r="M18">
        <v>10.38</v>
      </c>
      <c r="N18">
        <v>14</v>
      </c>
      <c r="O18">
        <v>1.6533899999999999</v>
      </c>
      <c r="P18">
        <v>16.57</v>
      </c>
    </row>
    <row r="19" spans="1:16">
      <c r="A19">
        <v>14</v>
      </c>
      <c r="B19">
        <v>1497</v>
      </c>
      <c r="C19">
        <v>1.2422500000000001</v>
      </c>
      <c r="D19">
        <v>3.12</v>
      </c>
      <c r="E19">
        <v>9</v>
      </c>
      <c r="F19">
        <v>1.0256099999999999</v>
      </c>
      <c r="G19">
        <v>7.79</v>
      </c>
      <c r="H19">
        <v>6</v>
      </c>
      <c r="I19">
        <v>1</v>
      </c>
      <c r="J19">
        <v>10.58</v>
      </c>
      <c r="K19">
        <v>11</v>
      </c>
      <c r="L19">
        <v>1.0227900000000001</v>
      </c>
      <c r="M19">
        <v>15.67</v>
      </c>
      <c r="N19">
        <v>8</v>
      </c>
      <c r="O19">
        <v>1.0013700000000001</v>
      </c>
      <c r="P19">
        <v>37.369999999999997</v>
      </c>
    </row>
    <row r="20" spans="1:16">
      <c r="A20">
        <v>15</v>
      </c>
      <c r="B20">
        <v>1392</v>
      </c>
      <c r="C20">
        <v>1.3944399999999999</v>
      </c>
      <c r="D20">
        <v>11.54</v>
      </c>
      <c r="E20">
        <v>10</v>
      </c>
      <c r="F20">
        <v>1.0461199999999999</v>
      </c>
      <c r="G20">
        <v>12.84</v>
      </c>
      <c r="H20">
        <v>7</v>
      </c>
      <c r="I20">
        <v>1.0186299999999999</v>
      </c>
      <c r="J20">
        <v>26.44</v>
      </c>
      <c r="K20">
        <v>33</v>
      </c>
      <c r="L20">
        <v>1.0337700000000001</v>
      </c>
      <c r="M20">
        <v>24.02</v>
      </c>
      <c r="N20">
        <v>6</v>
      </c>
      <c r="O20">
        <v>1</v>
      </c>
      <c r="P20">
        <v>13.09</v>
      </c>
    </row>
    <row r="21" spans="1:16">
      <c r="A21">
        <v>16</v>
      </c>
      <c r="B21">
        <v>1497</v>
      </c>
      <c r="C21">
        <v>1.2422500000000001</v>
      </c>
      <c r="D21">
        <v>4.1900000000000004</v>
      </c>
      <c r="E21">
        <v>9</v>
      </c>
      <c r="F21">
        <v>1.0656300000000001</v>
      </c>
      <c r="G21">
        <v>7.87</v>
      </c>
      <c r="H21">
        <v>6</v>
      </c>
      <c r="I21">
        <v>1</v>
      </c>
      <c r="J21">
        <v>9.1999999999999993</v>
      </c>
      <c r="K21">
        <v>11</v>
      </c>
      <c r="L21">
        <v>1.0626800000000001</v>
      </c>
      <c r="M21">
        <v>10.14</v>
      </c>
      <c r="N21">
        <v>8</v>
      </c>
      <c r="O21">
        <v>1.0013700000000001</v>
      </c>
      <c r="P21">
        <v>15.21</v>
      </c>
    </row>
    <row r="22" spans="1:16">
      <c r="A22">
        <v>17</v>
      </c>
      <c r="B22">
        <v>1130</v>
      </c>
      <c r="C22">
        <v>1.74627</v>
      </c>
      <c r="D22">
        <v>4.43</v>
      </c>
      <c r="E22">
        <v>12</v>
      </c>
      <c r="F22">
        <v>1.05182</v>
      </c>
      <c r="G22">
        <v>7.32</v>
      </c>
      <c r="H22">
        <v>9</v>
      </c>
      <c r="I22">
        <v>1.0256099999999999</v>
      </c>
      <c r="J22">
        <v>8.8699999999999992</v>
      </c>
      <c r="K22">
        <v>33</v>
      </c>
      <c r="L22">
        <v>1.0507299999999999</v>
      </c>
      <c r="M22">
        <v>13.09</v>
      </c>
      <c r="N22">
        <v>14</v>
      </c>
      <c r="O22">
        <v>1.6533899999999999</v>
      </c>
      <c r="P22">
        <v>51.02</v>
      </c>
    </row>
    <row r="23" spans="1:16">
      <c r="A23">
        <v>18</v>
      </c>
      <c r="B23">
        <v>1329</v>
      </c>
      <c r="C23">
        <v>1.29816</v>
      </c>
      <c r="D23">
        <v>17.21</v>
      </c>
      <c r="E23">
        <v>10</v>
      </c>
      <c r="F23">
        <v>1.00685</v>
      </c>
      <c r="G23">
        <v>38.67</v>
      </c>
      <c r="H23">
        <v>7</v>
      </c>
      <c r="I23">
        <v>1.0186299999999999</v>
      </c>
      <c r="J23">
        <v>22.23</v>
      </c>
      <c r="K23">
        <v>15</v>
      </c>
      <c r="L23">
        <v>1.0020500000000001</v>
      </c>
      <c r="M23">
        <v>29.17</v>
      </c>
      <c r="N23">
        <v>12</v>
      </c>
      <c r="O23">
        <v>1.65639</v>
      </c>
      <c r="P23">
        <v>30.31</v>
      </c>
    </row>
    <row r="24" spans="1:16">
      <c r="A24">
        <v>19</v>
      </c>
      <c r="B24">
        <v>1497</v>
      </c>
      <c r="C24">
        <v>1.2422500000000001</v>
      </c>
      <c r="D24">
        <v>7.99</v>
      </c>
      <c r="E24">
        <v>9</v>
      </c>
      <c r="F24">
        <v>1.0256099999999999</v>
      </c>
      <c r="G24">
        <v>37.979999999999997</v>
      </c>
      <c r="H24">
        <v>6</v>
      </c>
      <c r="I24">
        <v>1</v>
      </c>
      <c r="J24">
        <v>43.61</v>
      </c>
      <c r="K24">
        <v>14</v>
      </c>
      <c r="L24">
        <v>1.02068</v>
      </c>
      <c r="M24">
        <v>36.49</v>
      </c>
      <c r="N24">
        <v>8</v>
      </c>
      <c r="O24">
        <v>1.0013700000000001</v>
      </c>
      <c r="P24">
        <v>27.41</v>
      </c>
    </row>
    <row r="25" spans="1:16">
      <c r="A25">
        <v>20</v>
      </c>
      <c r="B25">
        <v>1261</v>
      </c>
      <c r="C25">
        <v>1.4860199999999999</v>
      </c>
      <c r="D25">
        <v>6.51</v>
      </c>
      <c r="E25">
        <v>11</v>
      </c>
      <c r="F25">
        <v>1.4067400000000001</v>
      </c>
      <c r="G25">
        <v>15.34</v>
      </c>
      <c r="H25">
        <v>8</v>
      </c>
      <c r="I25">
        <v>1.05911</v>
      </c>
      <c r="J25">
        <v>9.1199999999999992</v>
      </c>
      <c r="K25">
        <v>14</v>
      </c>
      <c r="L25">
        <v>1.4032800000000001</v>
      </c>
      <c r="M25">
        <v>9.81</v>
      </c>
      <c r="N25">
        <v>12</v>
      </c>
      <c r="O25">
        <v>1.1849400000000001</v>
      </c>
      <c r="P25">
        <v>15.02</v>
      </c>
    </row>
    <row r="26" spans="1:16">
      <c r="A26">
        <v>21</v>
      </c>
      <c r="B26">
        <v>1329</v>
      </c>
      <c r="C26">
        <v>1.29816</v>
      </c>
      <c r="D26">
        <v>4.01</v>
      </c>
      <c r="E26">
        <v>10</v>
      </c>
      <c r="F26">
        <v>1.00823</v>
      </c>
      <c r="G26">
        <v>18.3</v>
      </c>
      <c r="H26">
        <v>7</v>
      </c>
      <c r="I26">
        <v>1.0569599999999999</v>
      </c>
      <c r="J26">
        <v>17.010000000000002</v>
      </c>
      <c r="K26">
        <v>57</v>
      </c>
      <c r="L26">
        <v>1.0033700000000001</v>
      </c>
      <c r="M26">
        <v>28.93</v>
      </c>
      <c r="N26">
        <v>6</v>
      </c>
      <c r="O26">
        <v>1</v>
      </c>
      <c r="P26">
        <v>20.96</v>
      </c>
    </row>
    <row r="27" spans="1:16">
      <c r="A27">
        <v>22</v>
      </c>
      <c r="B27">
        <v>1329</v>
      </c>
      <c r="C27">
        <v>1.29816</v>
      </c>
      <c r="D27">
        <v>10.83</v>
      </c>
      <c r="E27">
        <v>10</v>
      </c>
      <c r="F27">
        <v>1.08399</v>
      </c>
      <c r="G27">
        <v>17.760000000000002</v>
      </c>
      <c r="H27">
        <v>7</v>
      </c>
      <c r="I27">
        <v>1.0569599999999999</v>
      </c>
      <c r="J27">
        <v>11.77</v>
      </c>
      <c r="K27">
        <v>12</v>
      </c>
      <c r="L27">
        <v>1.08097</v>
      </c>
      <c r="M27">
        <v>8.76</v>
      </c>
      <c r="N27">
        <v>6</v>
      </c>
      <c r="O27">
        <v>1</v>
      </c>
      <c r="P27">
        <v>11.95</v>
      </c>
    </row>
    <row r="28" spans="1:16">
      <c r="A28">
        <v>23</v>
      </c>
      <c r="B28">
        <v>1156</v>
      </c>
      <c r="C28">
        <v>1.7639100000000001</v>
      </c>
      <c r="D28">
        <v>3.09</v>
      </c>
      <c r="E28">
        <v>10</v>
      </c>
      <c r="F28">
        <v>1.05907</v>
      </c>
      <c r="G28">
        <v>6.55</v>
      </c>
      <c r="H28">
        <v>7</v>
      </c>
      <c r="I28">
        <v>1.00617</v>
      </c>
      <c r="J28">
        <v>8.2899999999999991</v>
      </c>
      <c r="K28">
        <v>19</v>
      </c>
      <c r="L28">
        <v>1.05528</v>
      </c>
      <c r="M28">
        <v>9.1</v>
      </c>
      <c r="N28">
        <v>12</v>
      </c>
      <c r="O28">
        <v>1.65639</v>
      </c>
      <c r="P28">
        <v>12.99</v>
      </c>
    </row>
    <row r="29" spans="1:16">
      <c r="A29">
        <v>24</v>
      </c>
      <c r="B29">
        <v>1267</v>
      </c>
      <c r="C29">
        <v>1.4807399999999999</v>
      </c>
      <c r="D29">
        <v>3.19</v>
      </c>
      <c r="E29">
        <v>9</v>
      </c>
      <c r="F29">
        <v>1.4351100000000001</v>
      </c>
      <c r="G29">
        <v>6.41</v>
      </c>
      <c r="H29">
        <v>6</v>
      </c>
      <c r="I29">
        <v>1.39869</v>
      </c>
      <c r="J29">
        <v>13.99</v>
      </c>
      <c r="K29">
        <v>11</v>
      </c>
      <c r="L29">
        <v>1.4307099999999999</v>
      </c>
      <c r="M29">
        <v>16.670000000000002</v>
      </c>
      <c r="N29">
        <v>11</v>
      </c>
      <c r="O29">
        <v>1.1825600000000001</v>
      </c>
      <c r="P29">
        <v>36.92</v>
      </c>
    </row>
    <row r="30" spans="1:16">
      <c r="A30">
        <v>25</v>
      </c>
      <c r="B30">
        <v>1392</v>
      </c>
      <c r="C30">
        <v>1.3944399999999999</v>
      </c>
      <c r="D30">
        <v>11.25</v>
      </c>
      <c r="E30">
        <v>10</v>
      </c>
      <c r="F30">
        <v>1.0461199999999999</v>
      </c>
      <c r="G30">
        <v>19.23</v>
      </c>
      <c r="H30">
        <v>7</v>
      </c>
      <c r="I30">
        <v>1.0186299999999999</v>
      </c>
      <c r="J30">
        <v>18.63</v>
      </c>
      <c r="K30">
        <v>33</v>
      </c>
      <c r="L30">
        <v>1.0337700000000001</v>
      </c>
      <c r="M30">
        <v>14.63</v>
      </c>
      <c r="N30">
        <v>6</v>
      </c>
      <c r="O30">
        <v>1</v>
      </c>
      <c r="P30">
        <v>14.6</v>
      </c>
    </row>
    <row r="31" spans="1:16">
      <c r="A31">
        <v>26</v>
      </c>
      <c r="B31">
        <v>1267</v>
      </c>
      <c r="C31">
        <v>1.4807399999999999</v>
      </c>
      <c r="D31">
        <v>4.29</v>
      </c>
      <c r="E31">
        <v>9</v>
      </c>
      <c r="F31">
        <v>1.4351100000000001</v>
      </c>
      <c r="G31">
        <v>9.4700000000000006</v>
      </c>
      <c r="H31">
        <v>6</v>
      </c>
      <c r="I31">
        <v>1.39869</v>
      </c>
      <c r="J31">
        <v>10.85</v>
      </c>
      <c r="K31">
        <v>11</v>
      </c>
      <c r="L31">
        <v>1.4307099999999999</v>
      </c>
      <c r="M31">
        <v>12.29</v>
      </c>
      <c r="N31">
        <v>11</v>
      </c>
      <c r="O31">
        <v>1.1825600000000001</v>
      </c>
      <c r="P31">
        <v>23.96</v>
      </c>
    </row>
    <row r="32" spans="1:16">
      <c r="A32">
        <v>27</v>
      </c>
      <c r="B32">
        <v>1491</v>
      </c>
      <c r="C32">
        <v>1.2460500000000001</v>
      </c>
      <c r="D32">
        <v>5.51</v>
      </c>
      <c r="E32">
        <v>11</v>
      </c>
      <c r="F32">
        <v>1.08321</v>
      </c>
      <c r="G32">
        <v>22.17</v>
      </c>
      <c r="H32">
        <v>8</v>
      </c>
      <c r="I32">
        <v>1.0562199999999999</v>
      </c>
      <c r="J32">
        <v>26.29</v>
      </c>
      <c r="K32">
        <v>11</v>
      </c>
      <c r="L32">
        <v>1.0817300000000001</v>
      </c>
      <c r="M32">
        <v>31.23</v>
      </c>
      <c r="N32">
        <v>10</v>
      </c>
      <c r="O32">
        <v>1.00274</v>
      </c>
      <c r="P32">
        <v>31.87</v>
      </c>
    </row>
    <row r="33" spans="1:16">
      <c r="A33">
        <v>28</v>
      </c>
      <c r="B33">
        <v>1267</v>
      </c>
      <c r="C33">
        <v>1.4807399999999999</v>
      </c>
      <c r="D33">
        <v>3.55</v>
      </c>
      <c r="E33">
        <v>9</v>
      </c>
      <c r="F33">
        <v>1.0656300000000001</v>
      </c>
      <c r="G33">
        <v>6.6</v>
      </c>
      <c r="H33">
        <v>6</v>
      </c>
      <c r="I33">
        <v>1</v>
      </c>
      <c r="J33">
        <v>9.06</v>
      </c>
      <c r="K33">
        <v>11</v>
      </c>
      <c r="L33">
        <v>1.0626800000000001</v>
      </c>
      <c r="M33">
        <v>10.050000000000001</v>
      </c>
      <c r="N33">
        <v>10</v>
      </c>
      <c r="O33">
        <v>1.00274</v>
      </c>
      <c r="P33">
        <v>13.74</v>
      </c>
    </row>
    <row r="34" spans="1:16">
      <c r="A34">
        <v>29</v>
      </c>
      <c r="B34">
        <v>1491</v>
      </c>
      <c r="C34">
        <v>1.2460500000000001</v>
      </c>
      <c r="D34">
        <v>3.83</v>
      </c>
      <c r="E34">
        <v>9</v>
      </c>
      <c r="F34">
        <v>1.0656300000000001</v>
      </c>
      <c r="G34">
        <v>7.88</v>
      </c>
      <c r="H34">
        <v>6</v>
      </c>
      <c r="I34">
        <v>1</v>
      </c>
      <c r="J34">
        <v>8.9600000000000009</v>
      </c>
      <c r="K34">
        <v>20</v>
      </c>
      <c r="L34">
        <v>1.0559799999999999</v>
      </c>
      <c r="M34">
        <v>8.82</v>
      </c>
      <c r="N34">
        <v>8</v>
      </c>
      <c r="O34">
        <v>1.0013700000000001</v>
      </c>
      <c r="P34">
        <v>13.24</v>
      </c>
    </row>
    <row r="35" spans="1:16">
      <c r="A35">
        <v>30</v>
      </c>
      <c r="B35">
        <v>1497</v>
      </c>
      <c r="C35">
        <v>1.2422500000000001</v>
      </c>
      <c r="D35">
        <v>5.73</v>
      </c>
      <c r="E35">
        <v>9</v>
      </c>
      <c r="F35">
        <v>1.0656300000000001</v>
      </c>
      <c r="G35">
        <v>15.99</v>
      </c>
      <c r="H35">
        <v>6</v>
      </c>
      <c r="I35">
        <v>1</v>
      </c>
      <c r="J35">
        <v>12.3</v>
      </c>
      <c r="K35">
        <v>11</v>
      </c>
      <c r="L35">
        <v>1.0626800000000001</v>
      </c>
      <c r="M35">
        <v>18.39</v>
      </c>
      <c r="N35">
        <v>8</v>
      </c>
      <c r="O35">
        <v>1.0013700000000001</v>
      </c>
      <c r="P35">
        <v>29.96</v>
      </c>
    </row>
    <row r="36" spans="1:16">
      <c r="A36">
        <v>31</v>
      </c>
      <c r="B36">
        <v>1329</v>
      </c>
      <c r="C36">
        <v>1.29816</v>
      </c>
      <c r="D36">
        <v>4.2</v>
      </c>
      <c r="E36">
        <v>10</v>
      </c>
      <c r="F36">
        <v>1.4078900000000001</v>
      </c>
      <c r="G36">
        <v>13.91</v>
      </c>
      <c r="H36">
        <v>7</v>
      </c>
      <c r="I36">
        <v>1.37226</v>
      </c>
      <c r="J36">
        <v>17.84</v>
      </c>
      <c r="K36">
        <v>12</v>
      </c>
      <c r="L36">
        <v>1.40361</v>
      </c>
      <c r="M36">
        <v>17.82</v>
      </c>
      <c r="N36">
        <v>6</v>
      </c>
      <c r="O36">
        <v>1</v>
      </c>
      <c r="P36">
        <v>13.67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1497</v>
      </c>
      <c r="C40" s="1">
        <f t="shared" ref="C40:P40" si="0">MAX(C5:C36)</f>
        <v>1.7706900000000001</v>
      </c>
      <c r="D40" s="1">
        <f t="shared" si="0"/>
        <v>26.36</v>
      </c>
      <c r="E40" s="1">
        <f t="shared" si="0"/>
        <v>12</v>
      </c>
      <c r="F40" s="1">
        <f t="shared" si="0"/>
        <v>1.99386</v>
      </c>
      <c r="G40" s="1">
        <f t="shared" si="0"/>
        <v>43.97</v>
      </c>
      <c r="H40" s="1">
        <f t="shared" si="0"/>
        <v>9</v>
      </c>
      <c r="I40" s="1">
        <f t="shared" si="0"/>
        <v>1.47756</v>
      </c>
      <c r="J40" s="1">
        <f t="shared" si="0"/>
        <v>43.61</v>
      </c>
      <c r="K40" s="1">
        <f t="shared" si="0"/>
        <v>57</v>
      </c>
      <c r="L40" s="1">
        <f t="shared" si="0"/>
        <v>1.98675</v>
      </c>
      <c r="M40" s="1">
        <f t="shared" si="0"/>
        <v>45.79</v>
      </c>
      <c r="N40" s="1">
        <f t="shared" si="0"/>
        <v>14</v>
      </c>
      <c r="O40" s="1">
        <f t="shared" si="0"/>
        <v>1.65639</v>
      </c>
      <c r="P40" s="1">
        <f t="shared" si="0"/>
        <v>94.92</v>
      </c>
    </row>
    <row r="41" spans="1:16">
      <c r="A41" t="s">
        <v>12</v>
      </c>
      <c r="B41" s="1">
        <f>MIN(B5:B36)</f>
        <v>1130</v>
      </c>
      <c r="C41" s="1">
        <f t="shared" ref="C41:P41" si="1">MIN(C5:C36)</f>
        <v>1.2422500000000001</v>
      </c>
      <c r="D41" s="1">
        <f t="shared" si="1"/>
        <v>3.09</v>
      </c>
      <c r="E41" s="1">
        <f t="shared" si="1"/>
        <v>7</v>
      </c>
      <c r="F41" s="1">
        <f t="shared" si="1"/>
        <v>1.00685</v>
      </c>
      <c r="G41" s="1">
        <f t="shared" si="1"/>
        <v>6.41</v>
      </c>
      <c r="H41" s="1">
        <f t="shared" si="1"/>
        <v>6</v>
      </c>
      <c r="I41" s="1">
        <f t="shared" si="1"/>
        <v>1</v>
      </c>
      <c r="J41" s="1">
        <f t="shared" si="1"/>
        <v>8.2899999999999991</v>
      </c>
      <c r="K41" s="1">
        <f t="shared" si="1"/>
        <v>10</v>
      </c>
      <c r="L41" s="1">
        <f t="shared" si="1"/>
        <v>1.0020500000000001</v>
      </c>
      <c r="M41" s="1">
        <f t="shared" si="1"/>
        <v>8.76</v>
      </c>
      <c r="N41" s="1">
        <f t="shared" si="1"/>
        <v>6</v>
      </c>
      <c r="O41" s="1">
        <f t="shared" si="1"/>
        <v>1</v>
      </c>
      <c r="P41" s="1">
        <f t="shared" si="1"/>
        <v>11.95</v>
      </c>
    </row>
    <row r="42" spans="1:16">
      <c r="A42" t="s">
        <v>13</v>
      </c>
      <c r="B42" s="1">
        <f>MEDIAN(B5:B36)</f>
        <v>1329</v>
      </c>
      <c r="C42" s="1">
        <f t="shared" ref="C42:P42" si="2">MEDIAN(C5:C36)</f>
        <v>1.3944399999999999</v>
      </c>
      <c r="D42" s="1">
        <f t="shared" si="2"/>
        <v>5.62</v>
      </c>
      <c r="E42" s="1">
        <f t="shared" si="2"/>
        <v>10</v>
      </c>
      <c r="F42" s="1">
        <f t="shared" si="2"/>
        <v>1.0656300000000001</v>
      </c>
      <c r="G42" s="1">
        <f t="shared" si="2"/>
        <v>14.245000000000001</v>
      </c>
      <c r="H42" s="1">
        <f t="shared" si="2"/>
        <v>7</v>
      </c>
      <c r="I42" s="1">
        <f t="shared" si="2"/>
        <v>1.0186299999999999</v>
      </c>
      <c r="J42" s="1">
        <f t="shared" si="2"/>
        <v>14.46</v>
      </c>
      <c r="K42" s="1">
        <f t="shared" si="2"/>
        <v>14</v>
      </c>
      <c r="L42" s="1">
        <f t="shared" si="2"/>
        <v>1.0630500000000001</v>
      </c>
      <c r="M42" s="1">
        <f t="shared" si="2"/>
        <v>17.835000000000001</v>
      </c>
      <c r="N42" s="1">
        <f t="shared" si="2"/>
        <v>9</v>
      </c>
      <c r="O42" s="1">
        <f t="shared" si="2"/>
        <v>1.00274</v>
      </c>
      <c r="P42" s="1">
        <f t="shared" si="2"/>
        <v>22.824999999999999</v>
      </c>
    </row>
    <row r="43" spans="1:16">
      <c r="A43" t="s">
        <v>14</v>
      </c>
      <c r="B43" s="1">
        <f>AVERAGE(B5:B36)</f>
        <v>1332.3125</v>
      </c>
      <c r="C43" s="1">
        <f t="shared" ref="C43:P43" si="3">AVERAGE(C5:C36)</f>
        <v>1.4208193749999996</v>
      </c>
      <c r="D43" s="1">
        <f t="shared" si="3"/>
        <v>8.1968750000000004</v>
      </c>
      <c r="E43" s="1">
        <f t="shared" si="3"/>
        <v>9.84375</v>
      </c>
      <c r="F43" s="1">
        <f t="shared" si="3"/>
        <v>1.2043143749999998</v>
      </c>
      <c r="G43" s="1">
        <f t="shared" si="3"/>
        <v>16.296562500000004</v>
      </c>
      <c r="H43" s="1">
        <f t="shared" si="3"/>
        <v>6.90625</v>
      </c>
      <c r="I43" s="1">
        <f t="shared" si="3"/>
        <v>1.08961</v>
      </c>
      <c r="J43" s="1">
        <f t="shared" si="3"/>
        <v>17.596562500000001</v>
      </c>
      <c r="K43" s="1">
        <f t="shared" si="3"/>
        <v>19.5625</v>
      </c>
      <c r="L43" s="1">
        <f t="shared" si="3"/>
        <v>1.1996487499999999</v>
      </c>
      <c r="M43" s="1">
        <f t="shared" si="3"/>
        <v>19.910937499999999</v>
      </c>
      <c r="N43" s="1">
        <f t="shared" si="3"/>
        <v>9.375</v>
      </c>
      <c r="O43" s="1">
        <f t="shared" si="3"/>
        <v>1.1737281250000005</v>
      </c>
      <c r="P43" s="1">
        <f t="shared" si="3"/>
        <v>29.905000000000005</v>
      </c>
    </row>
    <row r="44" spans="1:16">
      <c r="A44" t="s">
        <v>15</v>
      </c>
      <c r="B44" s="1">
        <f>STDEV(B5:B36)</f>
        <v>123.61919610303769</v>
      </c>
      <c r="C44" s="1">
        <f t="shared" ref="C44:P44" si="4">STDEV(C5:C36)</f>
        <v>0.17548902774151601</v>
      </c>
      <c r="D44" s="1">
        <f t="shared" si="4"/>
        <v>5.9674474131769468</v>
      </c>
      <c r="E44" s="1">
        <f t="shared" si="4"/>
        <v>1.1103435969220548</v>
      </c>
      <c r="F44" s="1">
        <f t="shared" si="4"/>
        <v>0.23511984233080296</v>
      </c>
      <c r="G44" s="1">
        <f t="shared" si="4"/>
        <v>10.087809509781847</v>
      </c>
      <c r="H44" s="1">
        <f t="shared" si="4"/>
        <v>0.99545337377239262</v>
      </c>
      <c r="I44" s="1">
        <f t="shared" si="4"/>
        <v>0.15435350961034822</v>
      </c>
      <c r="J44" s="1">
        <f t="shared" si="4"/>
        <v>8.9338791955028469</v>
      </c>
      <c r="K44" s="1">
        <f t="shared" si="4"/>
        <v>12.813645700152328</v>
      </c>
      <c r="L44" s="1">
        <f t="shared" si="4"/>
        <v>0.23468200413091644</v>
      </c>
      <c r="M44" s="1">
        <f t="shared" si="4"/>
        <v>9.41143003064753</v>
      </c>
      <c r="N44" s="1">
        <f t="shared" si="4"/>
        <v>2.6730434508856344</v>
      </c>
      <c r="O44" s="1">
        <f t="shared" si="4"/>
        <v>0.238883457095274</v>
      </c>
      <c r="P44" s="1">
        <f t="shared" si="4"/>
        <v>20.164105124797164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C73D-F5B1-0F46-A2D6-C16FF6F3CD2C}">
  <sheetPr codeName="Sheet8"/>
  <dimension ref="A1:P44"/>
  <sheetViews>
    <sheetView topLeftCell="A25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8750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3919</v>
      </c>
      <c r="C5">
        <v>1.19225</v>
      </c>
      <c r="D5">
        <v>31.8</v>
      </c>
      <c r="E5">
        <v>7</v>
      </c>
      <c r="F5">
        <v>1.9979499999999999</v>
      </c>
      <c r="G5">
        <v>45.88</v>
      </c>
      <c r="H5">
        <v>6</v>
      </c>
      <c r="I5">
        <v>1.3995599999999999</v>
      </c>
      <c r="J5">
        <v>95.42</v>
      </c>
      <c r="K5">
        <v>81</v>
      </c>
      <c r="L5">
        <v>1.9723999999999999</v>
      </c>
      <c r="M5">
        <v>60.92</v>
      </c>
      <c r="N5">
        <v>10</v>
      </c>
      <c r="O5">
        <v>1.4</v>
      </c>
      <c r="P5">
        <v>72.14</v>
      </c>
    </row>
    <row r="6" spans="1:16">
      <c r="A6">
        <v>1</v>
      </c>
      <c r="B6">
        <v>3591</v>
      </c>
      <c r="C6">
        <v>1.5992</v>
      </c>
      <c r="D6">
        <v>24.68</v>
      </c>
      <c r="E6">
        <v>11</v>
      </c>
      <c r="F6">
        <v>1.0303599999999999</v>
      </c>
      <c r="G6">
        <v>30.99</v>
      </c>
      <c r="H6">
        <v>7</v>
      </c>
      <c r="I6">
        <v>1.05708</v>
      </c>
      <c r="J6">
        <v>65.94</v>
      </c>
      <c r="K6">
        <v>16</v>
      </c>
      <c r="L6">
        <v>1.03152</v>
      </c>
      <c r="M6">
        <v>81.5</v>
      </c>
      <c r="N6">
        <v>6</v>
      </c>
      <c r="O6">
        <v>1</v>
      </c>
      <c r="P6">
        <v>54.36</v>
      </c>
    </row>
    <row r="7" spans="1:16">
      <c r="A7">
        <v>2</v>
      </c>
      <c r="B7">
        <v>3910</v>
      </c>
      <c r="C7">
        <v>1.4950699999999999</v>
      </c>
      <c r="D7">
        <v>14.72</v>
      </c>
      <c r="E7">
        <v>13</v>
      </c>
      <c r="F7">
        <v>1.07359</v>
      </c>
      <c r="G7">
        <v>30.35</v>
      </c>
      <c r="H7">
        <v>9</v>
      </c>
      <c r="I7">
        <v>1.0071000000000001</v>
      </c>
      <c r="J7">
        <v>54.78</v>
      </c>
      <c r="K7">
        <v>34</v>
      </c>
      <c r="L7">
        <v>1.07463</v>
      </c>
      <c r="M7">
        <v>77.25</v>
      </c>
      <c r="N7">
        <v>14</v>
      </c>
      <c r="O7">
        <v>1.66221</v>
      </c>
      <c r="P7">
        <v>60.41</v>
      </c>
    </row>
    <row r="8" spans="1:16">
      <c r="A8">
        <v>3</v>
      </c>
      <c r="B8">
        <v>3919</v>
      </c>
      <c r="C8">
        <v>1.19225</v>
      </c>
      <c r="D8">
        <v>14.36</v>
      </c>
      <c r="E8">
        <v>10</v>
      </c>
      <c r="F8">
        <v>1.43672</v>
      </c>
      <c r="G8">
        <v>29.91</v>
      </c>
      <c r="H8">
        <v>6</v>
      </c>
      <c r="I8">
        <v>1.3995599999999999</v>
      </c>
      <c r="J8">
        <v>54.47</v>
      </c>
      <c r="K8">
        <v>86</v>
      </c>
      <c r="L8">
        <v>1.42814</v>
      </c>
      <c r="M8">
        <v>80.81</v>
      </c>
      <c r="N8">
        <v>11</v>
      </c>
      <c r="O8">
        <v>1.18207</v>
      </c>
      <c r="P8">
        <v>76.760000000000005</v>
      </c>
    </row>
    <row r="9" spans="1:16">
      <c r="A9">
        <v>4</v>
      </c>
      <c r="B9">
        <v>4289</v>
      </c>
      <c r="C9">
        <v>1.002</v>
      </c>
      <c r="D9">
        <v>14.92</v>
      </c>
      <c r="E9">
        <v>10</v>
      </c>
      <c r="F9">
        <v>1.0259</v>
      </c>
      <c r="G9">
        <v>32.54</v>
      </c>
      <c r="H9">
        <v>6</v>
      </c>
      <c r="I9">
        <v>1</v>
      </c>
      <c r="J9">
        <v>79.209999999999994</v>
      </c>
      <c r="K9">
        <v>59</v>
      </c>
      <c r="L9">
        <v>1.02366</v>
      </c>
      <c r="M9">
        <v>58.48</v>
      </c>
      <c r="N9">
        <v>8</v>
      </c>
      <c r="O9">
        <v>1.0004599999999999</v>
      </c>
      <c r="P9">
        <v>63.52</v>
      </c>
    </row>
    <row r="10" spans="1:16">
      <c r="A10">
        <v>5</v>
      </c>
      <c r="B10">
        <v>4283</v>
      </c>
      <c r="C10">
        <v>1.00292</v>
      </c>
      <c r="D10">
        <v>21.71</v>
      </c>
      <c r="E10">
        <v>12</v>
      </c>
      <c r="F10">
        <v>1.04433</v>
      </c>
      <c r="G10">
        <v>54.06</v>
      </c>
      <c r="H10">
        <v>8</v>
      </c>
      <c r="I10">
        <v>1.01797</v>
      </c>
      <c r="J10">
        <v>63.16</v>
      </c>
      <c r="K10">
        <v>62</v>
      </c>
      <c r="L10">
        <v>1.0421800000000001</v>
      </c>
      <c r="M10">
        <v>50.69</v>
      </c>
      <c r="N10">
        <v>10</v>
      </c>
      <c r="O10">
        <v>1.00091</v>
      </c>
      <c r="P10">
        <v>103.84</v>
      </c>
    </row>
    <row r="11" spans="1:16">
      <c r="A11">
        <v>6</v>
      </c>
      <c r="B11">
        <v>3591</v>
      </c>
      <c r="C11">
        <v>1.5992</v>
      </c>
      <c r="D11">
        <v>25.65</v>
      </c>
      <c r="E11">
        <v>13</v>
      </c>
      <c r="F11">
        <v>1.4147099999999999</v>
      </c>
      <c r="G11">
        <v>43.46</v>
      </c>
      <c r="H11">
        <v>9</v>
      </c>
      <c r="I11">
        <v>1.0546599999999999</v>
      </c>
      <c r="J11">
        <v>40.35</v>
      </c>
      <c r="K11">
        <v>13</v>
      </c>
      <c r="L11">
        <v>1.4147099999999999</v>
      </c>
      <c r="M11">
        <v>39.799999999999997</v>
      </c>
      <c r="N11">
        <v>6</v>
      </c>
      <c r="O11">
        <v>1</v>
      </c>
      <c r="P11">
        <v>53.41</v>
      </c>
    </row>
    <row r="12" spans="1:16">
      <c r="A12">
        <v>7</v>
      </c>
      <c r="B12">
        <v>3913</v>
      </c>
      <c r="C12">
        <v>1.1934899999999999</v>
      </c>
      <c r="D12">
        <v>24.09</v>
      </c>
      <c r="E12">
        <v>7</v>
      </c>
      <c r="F12">
        <v>1.9979499999999999</v>
      </c>
      <c r="G12">
        <v>64.11</v>
      </c>
      <c r="H12">
        <v>6</v>
      </c>
      <c r="I12">
        <v>1.3995599999999999</v>
      </c>
      <c r="J12">
        <v>55.26</v>
      </c>
      <c r="K12">
        <v>90</v>
      </c>
      <c r="L12">
        <v>1.9704299999999999</v>
      </c>
      <c r="M12">
        <v>41.41</v>
      </c>
      <c r="N12">
        <v>10</v>
      </c>
      <c r="O12">
        <v>1.4</v>
      </c>
      <c r="P12">
        <v>87.83</v>
      </c>
    </row>
    <row r="13" spans="1:16">
      <c r="A13">
        <v>8</v>
      </c>
      <c r="B13">
        <v>3910</v>
      </c>
      <c r="C13">
        <v>1.4950699999999999</v>
      </c>
      <c r="D13">
        <v>28.05</v>
      </c>
      <c r="E13">
        <v>11</v>
      </c>
      <c r="F13">
        <v>1.01959</v>
      </c>
      <c r="G13">
        <v>52.8</v>
      </c>
      <c r="H13">
        <v>7</v>
      </c>
      <c r="I13">
        <v>1.0061899999999999</v>
      </c>
      <c r="J13">
        <v>40.659999999999997</v>
      </c>
      <c r="K13">
        <v>34</v>
      </c>
      <c r="L13">
        <v>1.0156000000000001</v>
      </c>
      <c r="M13">
        <v>42.05</v>
      </c>
      <c r="N13">
        <v>12</v>
      </c>
      <c r="O13">
        <v>1.6632199999999999</v>
      </c>
      <c r="P13">
        <v>79.56</v>
      </c>
    </row>
    <row r="14" spans="1:16">
      <c r="A14">
        <v>9</v>
      </c>
      <c r="B14">
        <v>3871</v>
      </c>
      <c r="C14">
        <v>1.2022299999999999</v>
      </c>
      <c r="D14">
        <v>32.47</v>
      </c>
      <c r="E14">
        <v>14</v>
      </c>
      <c r="F14">
        <v>1.41899</v>
      </c>
      <c r="G14">
        <v>58.93</v>
      </c>
      <c r="H14">
        <v>10</v>
      </c>
      <c r="I14">
        <v>1.05152</v>
      </c>
      <c r="J14">
        <v>39.51</v>
      </c>
      <c r="K14">
        <v>106</v>
      </c>
      <c r="L14">
        <v>1.40065</v>
      </c>
      <c r="M14">
        <v>53.51</v>
      </c>
      <c r="N14">
        <v>14</v>
      </c>
      <c r="O14">
        <v>1.18336</v>
      </c>
      <c r="P14">
        <v>138.9</v>
      </c>
    </row>
    <row r="15" spans="1:16">
      <c r="A15">
        <v>10</v>
      </c>
      <c r="B15">
        <v>3898</v>
      </c>
      <c r="C15">
        <v>1.4986200000000001</v>
      </c>
      <c r="D15">
        <v>20.22</v>
      </c>
      <c r="E15">
        <v>11</v>
      </c>
      <c r="F15">
        <v>1.0071000000000001</v>
      </c>
      <c r="G15">
        <v>32.33</v>
      </c>
      <c r="H15">
        <v>7</v>
      </c>
      <c r="I15">
        <v>1.01867</v>
      </c>
      <c r="J15">
        <v>39.869999999999997</v>
      </c>
      <c r="K15">
        <v>58</v>
      </c>
      <c r="L15">
        <v>1.00136</v>
      </c>
      <c r="M15">
        <v>45.94</v>
      </c>
      <c r="N15">
        <v>12</v>
      </c>
      <c r="O15">
        <v>1.6632199999999999</v>
      </c>
      <c r="P15">
        <v>68.760000000000005</v>
      </c>
    </row>
    <row r="16" spans="1:16">
      <c r="A16">
        <v>11</v>
      </c>
      <c r="B16">
        <v>3758</v>
      </c>
      <c r="C16">
        <v>1.7709299999999999</v>
      </c>
      <c r="D16">
        <v>35.340000000000003</v>
      </c>
      <c r="E16">
        <v>11</v>
      </c>
      <c r="F16">
        <v>1.0652999999999999</v>
      </c>
      <c r="G16">
        <v>64.77</v>
      </c>
      <c r="H16">
        <v>7</v>
      </c>
      <c r="I16">
        <v>1.0006900000000001</v>
      </c>
      <c r="J16">
        <v>46.04</v>
      </c>
      <c r="K16">
        <v>14</v>
      </c>
      <c r="L16">
        <v>1.0645500000000001</v>
      </c>
      <c r="M16">
        <v>55.98</v>
      </c>
      <c r="N16">
        <v>6</v>
      </c>
      <c r="O16">
        <v>1</v>
      </c>
      <c r="P16">
        <v>121.75</v>
      </c>
    </row>
    <row r="17" spans="1:16">
      <c r="A17">
        <v>12</v>
      </c>
      <c r="B17">
        <v>3591</v>
      </c>
      <c r="C17">
        <v>1.5992</v>
      </c>
      <c r="D17">
        <v>16.43</v>
      </c>
      <c r="E17">
        <v>13</v>
      </c>
      <c r="F17">
        <v>1.08693</v>
      </c>
      <c r="G17">
        <v>35.450000000000003</v>
      </c>
      <c r="H17">
        <v>9</v>
      </c>
      <c r="I17">
        <v>1.05949</v>
      </c>
      <c r="J17">
        <v>41.31</v>
      </c>
      <c r="K17">
        <v>13</v>
      </c>
      <c r="L17">
        <v>1.08693</v>
      </c>
      <c r="M17">
        <v>44.91</v>
      </c>
      <c r="N17">
        <v>6</v>
      </c>
      <c r="O17">
        <v>1</v>
      </c>
      <c r="P17">
        <v>54.02</v>
      </c>
    </row>
    <row r="18" spans="1:16">
      <c r="A18">
        <v>13</v>
      </c>
      <c r="B18">
        <v>3898</v>
      </c>
      <c r="C18">
        <v>1.4986200000000001</v>
      </c>
      <c r="D18">
        <v>14.5</v>
      </c>
      <c r="E18">
        <v>11</v>
      </c>
      <c r="F18">
        <v>1.0464800000000001</v>
      </c>
      <c r="G18">
        <v>66.75</v>
      </c>
      <c r="H18">
        <v>7</v>
      </c>
      <c r="I18">
        <v>1.01867</v>
      </c>
      <c r="J18">
        <v>84.35</v>
      </c>
      <c r="K18">
        <v>67</v>
      </c>
      <c r="L18">
        <v>1.0367299999999999</v>
      </c>
      <c r="M18">
        <v>49.39</v>
      </c>
      <c r="N18">
        <v>12</v>
      </c>
      <c r="O18">
        <v>1.6632199999999999</v>
      </c>
      <c r="P18">
        <v>129.38</v>
      </c>
    </row>
    <row r="19" spans="1:16">
      <c r="A19">
        <v>14</v>
      </c>
      <c r="B19">
        <v>3898</v>
      </c>
      <c r="C19">
        <v>1.4986200000000001</v>
      </c>
      <c r="D19">
        <v>15.55</v>
      </c>
      <c r="E19">
        <v>13</v>
      </c>
      <c r="F19">
        <v>1.0043500000000001</v>
      </c>
      <c r="G19">
        <v>34.799999999999997</v>
      </c>
      <c r="H19">
        <v>9</v>
      </c>
      <c r="I19">
        <v>1.02146</v>
      </c>
      <c r="J19">
        <v>42.55</v>
      </c>
      <c r="K19">
        <v>67</v>
      </c>
      <c r="L19">
        <v>1.0011300000000001</v>
      </c>
      <c r="M19">
        <v>46</v>
      </c>
      <c r="N19">
        <v>14</v>
      </c>
      <c r="O19">
        <v>1.66221</v>
      </c>
      <c r="P19">
        <v>74.260000000000005</v>
      </c>
    </row>
    <row r="20" spans="1:16">
      <c r="A20">
        <v>15</v>
      </c>
      <c r="B20">
        <v>3919</v>
      </c>
      <c r="C20">
        <v>1.19225</v>
      </c>
      <c r="D20">
        <v>42.3</v>
      </c>
      <c r="E20">
        <v>10</v>
      </c>
      <c r="F20">
        <v>1.0660400000000001</v>
      </c>
      <c r="G20">
        <v>77.05</v>
      </c>
      <c r="H20">
        <v>6</v>
      </c>
      <c r="I20">
        <v>1</v>
      </c>
      <c r="J20">
        <v>39.69</v>
      </c>
      <c r="K20">
        <v>83</v>
      </c>
      <c r="L20">
        <v>1.05419</v>
      </c>
      <c r="M20">
        <v>42.53</v>
      </c>
      <c r="N20">
        <v>10</v>
      </c>
      <c r="O20">
        <v>1.00091</v>
      </c>
      <c r="P20">
        <v>135.16</v>
      </c>
    </row>
    <row r="21" spans="1:16">
      <c r="A21">
        <v>16</v>
      </c>
      <c r="B21">
        <v>3871</v>
      </c>
      <c r="C21">
        <v>1.2022299999999999</v>
      </c>
      <c r="D21">
        <v>15.74</v>
      </c>
      <c r="E21">
        <v>11</v>
      </c>
      <c r="F21">
        <v>1.99726</v>
      </c>
      <c r="G21">
        <v>31.73</v>
      </c>
      <c r="H21">
        <v>8</v>
      </c>
      <c r="I21">
        <v>1.3644700000000001</v>
      </c>
      <c r="J21">
        <v>51.57</v>
      </c>
      <c r="K21">
        <v>106</v>
      </c>
      <c r="L21">
        <v>1.92374</v>
      </c>
      <c r="M21">
        <v>53.31</v>
      </c>
      <c r="N21">
        <v>12</v>
      </c>
      <c r="O21">
        <v>1.40055</v>
      </c>
      <c r="P21">
        <v>75.069999999999993</v>
      </c>
    </row>
    <row r="22" spans="1:16">
      <c r="A22">
        <v>17</v>
      </c>
      <c r="B22">
        <v>3656</v>
      </c>
      <c r="C22">
        <v>1.74105</v>
      </c>
      <c r="D22">
        <v>14.57</v>
      </c>
      <c r="E22">
        <v>9</v>
      </c>
      <c r="F22">
        <v>1.9976</v>
      </c>
      <c r="G22">
        <v>42.98</v>
      </c>
      <c r="H22">
        <v>7</v>
      </c>
      <c r="I22">
        <v>1.4264300000000001</v>
      </c>
      <c r="J22">
        <v>64.02</v>
      </c>
      <c r="K22">
        <v>66</v>
      </c>
      <c r="L22">
        <v>1.97536</v>
      </c>
      <c r="M22">
        <v>78.16</v>
      </c>
      <c r="N22">
        <v>6</v>
      </c>
      <c r="O22">
        <v>1</v>
      </c>
      <c r="P22">
        <v>55.15</v>
      </c>
    </row>
    <row r="23" spans="1:16">
      <c r="A23">
        <v>18</v>
      </c>
      <c r="B23">
        <v>3871</v>
      </c>
      <c r="C23">
        <v>1.2022299999999999</v>
      </c>
      <c r="D23">
        <v>15.08</v>
      </c>
      <c r="E23">
        <v>13</v>
      </c>
      <c r="F23">
        <v>1.99692</v>
      </c>
      <c r="G23">
        <v>30.58</v>
      </c>
      <c r="H23">
        <v>10</v>
      </c>
      <c r="I23">
        <v>1.33165</v>
      </c>
      <c r="J23">
        <v>53.85</v>
      </c>
      <c r="K23">
        <v>106</v>
      </c>
      <c r="L23">
        <v>1.96584</v>
      </c>
      <c r="M23">
        <v>83.24</v>
      </c>
      <c r="N23">
        <v>14</v>
      </c>
      <c r="O23">
        <v>1.4011</v>
      </c>
      <c r="P23">
        <v>62.04</v>
      </c>
    </row>
    <row r="24" spans="1:16">
      <c r="A24">
        <v>19</v>
      </c>
      <c r="B24">
        <v>3898</v>
      </c>
      <c r="C24">
        <v>1.4986200000000001</v>
      </c>
      <c r="D24">
        <v>14.5</v>
      </c>
      <c r="E24">
        <v>11</v>
      </c>
      <c r="F24">
        <v>1.0464800000000001</v>
      </c>
      <c r="G24">
        <v>40.65</v>
      </c>
      <c r="H24">
        <v>7</v>
      </c>
      <c r="I24">
        <v>1.01867</v>
      </c>
      <c r="J24">
        <v>71.400000000000006</v>
      </c>
      <c r="K24">
        <v>58</v>
      </c>
      <c r="L24">
        <v>1.0403100000000001</v>
      </c>
      <c r="M24">
        <v>80.069999999999993</v>
      </c>
      <c r="N24">
        <v>12</v>
      </c>
      <c r="O24">
        <v>1.6632199999999999</v>
      </c>
      <c r="P24">
        <v>65.64</v>
      </c>
    </row>
    <row r="25" spans="1:16">
      <c r="A25">
        <v>20</v>
      </c>
      <c r="B25">
        <v>3591</v>
      </c>
      <c r="C25">
        <v>1.5992</v>
      </c>
      <c r="D25">
        <v>16.48</v>
      </c>
      <c r="E25">
        <v>11</v>
      </c>
      <c r="F25">
        <v>1.41151</v>
      </c>
      <c r="G25">
        <v>31.8</v>
      </c>
      <c r="H25">
        <v>7</v>
      </c>
      <c r="I25">
        <v>1.05708</v>
      </c>
      <c r="J25">
        <v>60.48</v>
      </c>
      <c r="K25">
        <v>16</v>
      </c>
      <c r="L25">
        <v>1.4089</v>
      </c>
      <c r="M25">
        <v>75.180000000000007</v>
      </c>
      <c r="N25">
        <v>6</v>
      </c>
      <c r="O25">
        <v>1</v>
      </c>
      <c r="P25">
        <v>55.67</v>
      </c>
    </row>
    <row r="26" spans="1:16">
      <c r="A26">
        <v>21</v>
      </c>
      <c r="B26">
        <v>3591</v>
      </c>
      <c r="C26">
        <v>1.5992</v>
      </c>
      <c r="D26">
        <v>25.51</v>
      </c>
      <c r="E26">
        <v>11</v>
      </c>
      <c r="F26">
        <v>1.08446</v>
      </c>
      <c r="G26">
        <v>36.159999999999997</v>
      </c>
      <c r="H26">
        <v>7</v>
      </c>
      <c r="I26">
        <v>1.05708</v>
      </c>
      <c r="J26">
        <v>84.97</v>
      </c>
      <c r="K26">
        <v>13</v>
      </c>
      <c r="L26">
        <v>1.08345</v>
      </c>
      <c r="M26">
        <v>70.349999999999994</v>
      </c>
      <c r="N26">
        <v>6</v>
      </c>
      <c r="O26">
        <v>1</v>
      </c>
      <c r="P26">
        <v>54.45</v>
      </c>
    </row>
    <row r="27" spans="1:16">
      <c r="A27">
        <v>22</v>
      </c>
      <c r="B27">
        <v>3919</v>
      </c>
      <c r="C27">
        <v>1.19225</v>
      </c>
      <c r="D27">
        <v>15.26</v>
      </c>
      <c r="E27">
        <v>12</v>
      </c>
      <c r="F27">
        <v>1.4271499999999999</v>
      </c>
      <c r="G27">
        <v>32.56</v>
      </c>
      <c r="H27">
        <v>8</v>
      </c>
      <c r="I27">
        <v>1.00641</v>
      </c>
      <c r="J27">
        <v>39.89</v>
      </c>
      <c r="K27">
        <v>83</v>
      </c>
      <c r="L27">
        <v>1.42066</v>
      </c>
      <c r="M27">
        <v>89.51</v>
      </c>
      <c r="N27">
        <v>13</v>
      </c>
      <c r="O27">
        <v>1.1825699999999999</v>
      </c>
      <c r="P27">
        <v>85.11</v>
      </c>
    </row>
    <row r="28" spans="1:16">
      <c r="A28">
        <v>23</v>
      </c>
      <c r="B28">
        <v>3871</v>
      </c>
      <c r="C28">
        <v>1.2022299999999999</v>
      </c>
      <c r="D28">
        <v>17.420000000000002</v>
      </c>
      <c r="E28">
        <v>14</v>
      </c>
      <c r="F28">
        <v>1.0041199999999999</v>
      </c>
      <c r="G28">
        <v>48.76</v>
      </c>
      <c r="H28">
        <v>10</v>
      </c>
      <c r="I28">
        <v>1.02169</v>
      </c>
      <c r="J28">
        <v>74.62</v>
      </c>
      <c r="K28">
        <v>106</v>
      </c>
      <c r="L28">
        <v>1</v>
      </c>
      <c r="M28">
        <v>47.98</v>
      </c>
      <c r="N28">
        <v>15</v>
      </c>
      <c r="O28">
        <v>1.0016</v>
      </c>
      <c r="P28">
        <v>65.5</v>
      </c>
    </row>
    <row r="29" spans="1:16">
      <c r="A29">
        <v>24</v>
      </c>
      <c r="B29">
        <v>4289</v>
      </c>
      <c r="C29">
        <v>1.002</v>
      </c>
      <c r="D29">
        <v>16.760000000000002</v>
      </c>
      <c r="E29">
        <v>10</v>
      </c>
      <c r="F29">
        <v>1.0660400000000001</v>
      </c>
      <c r="G29">
        <v>68.64</v>
      </c>
      <c r="H29">
        <v>6</v>
      </c>
      <c r="I29">
        <v>1</v>
      </c>
      <c r="J29">
        <v>59.98</v>
      </c>
      <c r="K29">
        <v>59</v>
      </c>
      <c r="L29">
        <v>1.0601</v>
      </c>
      <c r="M29">
        <v>41.87</v>
      </c>
      <c r="N29">
        <v>8</v>
      </c>
      <c r="O29">
        <v>1.0004599999999999</v>
      </c>
      <c r="P29">
        <v>97.45</v>
      </c>
    </row>
    <row r="30" spans="1:16">
      <c r="A30">
        <v>25</v>
      </c>
      <c r="B30">
        <v>3724</v>
      </c>
      <c r="C30">
        <v>1.7634000000000001</v>
      </c>
      <c r="D30">
        <v>24.05</v>
      </c>
      <c r="E30">
        <v>13</v>
      </c>
      <c r="F30">
        <v>1.4470799999999999</v>
      </c>
      <c r="G30">
        <v>53.87</v>
      </c>
      <c r="H30">
        <v>9</v>
      </c>
      <c r="I30">
        <v>1.4096299999999999</v>
      </c>
      <c r="J30">
        <v>45.36</v>
      </c>
      <c r="K30">
        <v>34</v>
      </c>
      <c r="L30">
        <v>1.4474800000000001</v>
      </c>
      <c r="M30">
        <v>41.71</v>
      </c>
      <c r="N30">
        <v>6</v>
      </c>
      <c r="O30">
        <v>1</v>
      </c>
      <c r="P30">
        <v>60.49</v>
      </c>
    </row>
    <row r="31" spans="1:16">
      <c r="A31">
        <v>26</v>
      </c>
      <c r="B31">
        <v>3871</v>
      </c>
      <c r="C31">
        <v>1.2022299999999999</v>
      </c>
      <c r="D31">
        <v>33.78</v>
      </c>
      <c r="E31">
        <v>12</v>
      </c>
      <c r="F31">
        <v>1.52071</v>
      </c>
      <c r="G31">
        <v>56.65</v>
      </c>
      <c r="H31">
        <v>8</v>
      </c>
      <c r="I31">
        <v>1.48102</v>
      </c>
      <c r="J31">
        <v>47.52</v>
      </c>
      <c r="K31">
        <v>86</v>
      </c>
      <c r="L31">
        <v>1.51237</v>
      </c>
      <c r="M31">
        <v>42</v>
      </c>
      <c r="N31">
        <v>13</v>
      </c>
      <c r="O31">
        <v>1.1825699999999999</v>
      </c>
      <c r="P31">
        <v>106.17</v>
      </c>
    </row>
    <row r="32" spans="1:16">
      <c r="A32">
        <v>27</v>
      </c>
      <c r="B32">
        <v>3919</v>
      </c>
      <c r="C32">
        <v>1.19225</v>
      </c>
      <c r="D32">
        <v>27.29</v>
      </c>
      <c r="E32">
        <v>10</v>
      </c>
      <c r="F32">
        <v>1.43672</v>
      </c>
      <c r="G32">
        <v>47.27</v>
      </c>
      <c r="H32">
        <v>6</v>
      </c>
      <c r="I32">
        <v>1.3995599999999999</v>
      </c>
      <c r="J32">
        <v>44.09</v>
      </c>
      <c r="K32">
        <v>83</v>
      </c>
      <c r="L32">
        <v>1.4293199999999999</v>
      </c>
      <c r="M32">
        <v>42.24</v>
      </c>
      <c r="N32">
        <v>11</v>
      </c>
      <c r="O32">
        <v>1.18207</v>
      </c>
      <c r="P32">
        <v>77.459999999999994</v>
      </c>
    </row>
    <row r="33" spans="1:16">
      <c r="A33">
        <v>28</v>
      </c>
      <c r="B33">
        <v>3871</v>
      </c>
      <c r="C33">
        <v>1.2022299999999999</v>
      </c>
      <c r="D33">
        <v>37.909999999999997</v>
      </c>
      <c r="E33">
        <v>12</v>
      </c>
      <c r="F33">
        <v>1.0324800000000001</v>
      </c>
      <c r="G33">
        <v>57.8</v>
      </c>
      <c r="H33">
        <v>8</v>
      </c>
      <c r="I33">
        <v>1.05925</v>
      </c>
      <c r="J33">
        <v>39.270000000000003</v>
      </c>
      <c r="K33">
        <v>92</v>
      </c>
      <c r="L33">
        <v>1.0340499999999999</v>
      </c>
      <c r="M33">
        <v>41.2</v>
      </c>
      <c r="N33">
        <v>13</v>
      </c>
      <c r="O33">
        <v>1.0011399999999999</v>
      </c>
      <c r="P33">
        <v>106.42</v>
      </c>
    </row>
    <row r="34" spans="1:16">
      <c r="A34">
        <v>29</v>
      </c>
      <c r="B34">
        <v>3898</v>
      </c>
      <c r="C34">
        <v>1.4986200000000001</v>
      </c>
      <c r="D34">
        <v>32.1</v>
      </c>
      <c r="E34">
        <v>11</v>
      </c>
      <c r="F34">
        <v>1.0071000000000001</v>
      </c>
      <c r="G34">
        <v>56.17</v>
      </c>
      <c r="H34">
        <v>7</v>
      </c>
      <c r="I34">
        <v>1.01867</v>
      </c>
      <c r="J34">
        <v>39.35</v>
      </c>
      <c r="K34">
        <v>68</v>
      </c>
      <c r="L34">
        <v>1.00091</v>
      </c>
      <c r="M34">
        <v>40.07</v>
      </c>
      <c r="N34">
        <v>12</v>
      </c>
      <c r="O34">
        <v>1.6632199999999999</v>
      </c>
      <c r="P34">
        <v>83.2</v>
      </c>
    </row>
    <row r="35" spans="1:16">
      <c r="A35">
        <v>30</v>
      </c>
      <c r="B35">
        <v>3591</v>
      </c>
      <c r="C35">
        <v>1.5992</v>
      </c>
      <c r="D35">
        <v>27.34</v>
      </c>
      <c r="E35">
        <v>11</v>
      </c>
      <c r="F35">
        <v>1.0303599999999999</v>
      </c>
      <c r="G35">
        <v>57.36</v>
      </c>
      <c r="H35">
        <v>7</v>
      </c>
      <c r="I35">
        <v>1.05708</v>
      </c>
      <c r="J35">
        <v>40.81</v>
      </c>
      <c r="K35">
        <v>13</v>
      </c>
      <c r="L35">
        <v>1.0308200000000001</v>
      </c>
      <c r="M35">
        <v>41.03</v>
      </c>
      <c r="N35">
        <v>6</v>
      </c>
      <c r="O35">
        <v>1</v>
      </c>
      <c r="P35">
        <v>85.3</v>
      </c>
    </row>
    <row r="36" spans="1:16">
      <c r="A36">
        <v>31</v>
      </c>
      <c r="B36">
        <v>3919</v>
      </c>
      <c r="C36">
        <v>1.19225</v>
      </c>
      <c r="D36">
        <v>32.729999999999997</v>
      </c>
      <c r="E36">
        <v>10</v>
      </c>
      <c r="F36">
        <v>1.43672</v>
      </c>
      <c r="G36">
        <v>55.34</v>
      </c>
      <c r="H36">
        <v>6</v>
      </c>
      <c r="I36">
        <v>1</v>
      </c>
      <c r="J36">
        <v>41.9</v>
      </c>
      <c r="K36">
        <v>83</v>
      </c>
      <c r="L36">
        <v>1.4293199999999999</v>
      </c>
      <c r="M36">
        <v>43.79</v>
      </c>
      <c r="N36">
        <v>11</v>
      </c>
      <c r="O36">
        <v>1.18207</v>
      </c>
      <c r="P36">
        <v>93.24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4289</v>
      </c>
      <c r="C40" s="1">
        <f t="shared" ref="C40:P40" si="0">MAX(C5:C36)</f>
        <v>1.7709299999999999</v>
      </c>
      <c r="D40" s="1">
        <f t="shared" si="0"/>
        <v>42.3</v>
      </c>
      <c r="E40" s="1">
        <f t="shared" si="0"/>
        <v>14</v>
      </c>
      <c r="F40" s="1">
        <f t="shared" si="0"/>
        <v>1.9979499999999999</v>
      </c>
      <c r="G40" s="1">
        <f t="shared" si="0"/>
        <v>77.05</v>
      </c>
      <c r="H40" s="1">
        <f t="shared" si="0"/>
        <v>10</v>
      </c>
      <c r="I40" s="1">
        <f t="shared" si="0"/>
        <v>1.48102</v>
      </c>
      <c r="J40" s="1">
        <f t="shared" si="0"/>
        <v>95.42</v>
      </c>
      <c r="K40" s="1">
        <f t="shared" si="0"/>
        <v>106</v>
      </c>
      <c r="L40" s="1">
        <f t="shared" si="0"/>
        <v>1.97536</v>
      </c>
      <c r="M40" s="1">
        <f t="shared" si="0"/>
        <v>89.51</v>
      </c>
      <c r="N40" s="1">
        <f t="shared" si="0"/>
        <v>15</v>
      </c>
      <c r="O40" s="1">
        <f t="shared" si="0"/>
        <v>1.6632199999999999</v>
      </c>
      <c r="P40" s="1">
        <f t="shared" si="0"/>
        <v>138.9</v>
      </c>
    </row>
    <row r="41" spans="1:16">
      <c r="A41" t="s">
        <v>12</v>
      </c>
      <c r="B41" s="1">
        <f>MIN(B5:B36)</f>
        <v>3591</v>
      </c>
      <c r="C41" s="1">
        <f t="shared" ref="C41:P41" si="1">MIN(C5:C36)</f>
        <v>1.002</v>
      </c>
      <c r="D41" s="1">
        <f t="shared" si="1"/>
        <v>14.36</v>
      </c>
      <c r="E41" s="1">
        <f t="shared" si="1"/>
        <v>7</v>
      </c>
      <c r="F41" s="1">
        <f t="shared" si="1"/>
        <v>1.0041199999999999</v>
      </c>
      <c r="G41" s="1">
        <f t="shared" si="1"/>
        <v>29.91</v>
      </c>
      <c r="H41" s="1">
        <f t="shared" si="1"/>
        <v>6</v>
      </c>
      <c r="I41" s="1">
        <f t="shared" si="1"/>
        <v>1</v>
      </c>
      <c r="J41" s="1">
        <f t="shared" si="1"/>
        <v>39.270000000000003</v>
      </c>
      <c r="K41" s="1">
        <f t="shared" si="1"/>
        <v>13</v>
      </c>
      <c r="L41" s="1">
        <f t="shared" si="1"/>
        <v>1</v>
      </c>
      <c r="M41" s="1">
        <f t="shared" si="1"/>
        <v>39.799999999999997</v>
      </c>
      <c r="N41" s="1">
        <f t="shared" si="1"/>
        <v>6</v>
      </c>
      <c r="O41" s="1">
        <f t="shared" si="1"/>
        <v>1</v>
      </c>
      <c r="P41" s="1">
        <f t="shared" si="1"/>
        <v>53.41</v>
      </c>
    </row>
    <row r="42" spans="1:16">
      <c r="A42" t="s">
        <v>13</v>
      </c>
      <c r="B42" s="1">
        <f>MEDIAN(B5:B36)</f>
        <v>3898</v>
      </c>
      <c r="C42" s="1">
        <f t="shared" ref="C42:P42" si="2">MEDIAN(C5:C36)</f>
        <v>1.3486499999999999</v>
      </c>
      <c r="D42" s="1">
        <f t="shared" si="2"/>
        <v>22.880000000000003</v>
      </c>
      <c r="E42" s="1">
        <f t="shared" si="2"/>
        <v>11</v>
      </c>
      <c r="F42" s="1">
        <f t="shared" si="2"/>
        <v>1.0790250000000001</v>
      </c>
      <c r="G42" s="1">
        <f t="shared" si="2"/>
        <v>46.575000000000003</v>
      </c>
      <c r="H42" s="1">
        <f t="shared" si="2"/>
        <v>7</v>
      </c>
      <c r="I42" s="1">
        <f t="shared" si="2"/>
        <v>1.0530900000000001</v>
      </c>
      <c r="J42" s="1">
        <f t="shared" si="2"/>
        <v>49.545000000000002</v>
      </c>
      <c r="K42" s="1">
        <f t="shared" si="2"/>
        <v>66.5</v>
      </c>
      <c r="L42" s="1">
        <f t="shared" si="2"/>
        <v>1.07904</v>
      </c>
      <c r="M42" s="1">
        <f t="shared" si="2"/>
        <v>48.685000000000002</v>
      </c>
      <c r="N42" s="1">
        <f t="shared" si="2"/>
        <v>11</v>
      </c>
      <c r="O42" s="1">
        <f t="shared" si="2"/>
        <v>1.18207</v>
      </c>
      <c r="P42" s="1">
        <f t="shared" si="2"/>
        <v>75.914999999999992</v>
      </c>
    </row>
    <row r="43" spans="1:16">
      <c r="A43" t="s">
        <v>14</v>
      </c>
      <c r="B43" s="1">
        <f>AVERAGE(B5:B36)</f>
        <v>3859.625</v>
      </c>
      <c r="C43" s="1">
        <f t="shared" ref="C43:P43" si="3">AVERAGE(C5:C36)</f>
        <v>1.3725346875000004</v>
      </c>
      <c r="D43" s="1">
        <f t="shared" si="3"/>
        <v>23.228437499999998</v>
      </c>
      <c r="E43" s="1">
        <f t="shared" si="3"/>
        <v>11.1875</v>
      </c>
      <c r="F43" s="1">
        <f t="shared" si="3"/>
        <v>1.3024687500000001</v>
      </c>
      <c r="G43" s="1">
        <f t="shared" si="3"/>
        <v>46.953124999999993</v>
      </c>
      <c r="H43" s="1">
        <f t="shared" si="3"/>
        <v>7.5</v>
      </c>
      <c r="I43" s="1">
        <f t="shared" si="3"/>
        <v>1.1319021874999999</v>
      </c>
      <c r="J43" s="1">
        <f t="shared" si="3"/>
        <v>54.426562500000003</v>
      </c>
      <c r="K43" s="1">
        <f t="shared" si="3"/>
        <v>61.09375</v>
      </c>
      <c r="L43" s="1">
        <f t="shared" si="3"/>
        <v>1.2931699999999995</v>
      </c>
      <c r="M43" s="1">
        <f t="shared" si="3"/>
        <v>55.714999999999982</v>
      </c>
      <c r="N43" s="1">
        <f t="shared" si="3"/>
        <v>10.15625</v>
      </c>
      <c r="O43" s="1">
        <f t="shared" si="3"/>
        <v>1.22944875</v>
      </c>
      <c r="P43" s="1">
        <f t="shared" si="3"/>
        <v>81.325625000000002</v>
      </c>
    </row>
    <row r="44" spans="1:16">
      <c r="A44" t="s">
        <v>15</v>
      </c>
      <c r="B44" s="1">
        <f>STDEV(B5:B36)</f>
        <v>187.3696966582549</v>
      </c>
      <c r="C44" s="1">
        <f t="shared" ref="C44:P44" si="4">STDEV(C5:C36)</f>
        <v>0.2326134707216872</v>
      </c>
      <c r="D44" s="1">
        <f t="shared" si="4"/>
        <v>8.245113942902897</v>
      </c>
      <c r="E44" s="1">
        <f t="shared" si="4"/>
        <v>1.6740428175045909</v>
      </c>
      <c r="F44" s="1">
        <f t="shared" si="4"/>
        <v>0.35166843495019917</v>
      </c>
      <c r="G44" s="1">
        <f t="shared" si="4"/>
        <v>13.653538933303187</v>
      </c>
      <c r="H44" s="1">
        <f t="shared" si="4"/>
        <v>1.2951522516054665</v>
      </c>
      <c r="I44" s="1">
        <f t="shared" si="4"/>
        <v>0.17359603111143174</v>
      </c>
      <c r="J44" s="1">
        <f t="shared" si="4"/>
        <v>15.92989026740146</v>
      </c>
      <c r="K44" s="1">
        <f t="shared" si="4"/>
        <v>31.786951446435761</v>
      </c>
      <c r="L44" s="1">
        <f t="shared" si="4"/>
        <v>0.34102469291921783</v>
      </c>
      <c r="M44" s="1">
        <f t="shared" si="4"/>
        <v>16.278470047789416</v>
      </c>
      <c r="N44" s="1">
        <f t="shared" si="4"/>
        <v>3.0807348830035406</v>
      </c>
      <c r="O44" s="1">
        <f t="shared" si="4"/>
        <v>0.26837101736155755</v>
      </c>
      <c r="P44" s="1">
        <f t="shared" si="4"/>
        <v>24.843403607850952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74BB6-831E-4242-A1E6-B2A0EDF88EF9}">
  <sheetPr codeName="Sheet9"/>
  <dimension ref="A1:P44"/>
  <sheetViews>
    <sheetView topLeftCell="A31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26246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11635</v>
      </c>
      <c r="C5">
        <v>1.03115</v>
      </c>
      <c r="D5">
        <v>103.53</v>
      </c>
      <c r="E5">
        <v>11</v>
      </c>
      <c r="F5">
        <v>1.0661799999999999</v>
      </c>
      <c r="G5">
        <v>112.01</v>
      </c>
      <c r="H5">
        <v>6</v>
      </c>
      <c r="I5">
        <v>1</v>
      </c>
      <c r="J5">
        <v>163.16</v>
      </c>
      <c r="K5">
        <v>16</v>
      </c>
      <c r="L5">
        <v>1.0656000000000001</v>
      </c>
      <c r="M5">
        <v>193.89</v>
      </c>
      <c r="N5">
        <v>10</v>
      </c>
      <c r="O5">
        <v>1.0003</v>
      </c>
      <c r="P5">
        <v>250.33</v>
      </c>
    </row>
    <row r="6" spans="1:16">
      <c r="A6">
        <v>1</v>
      </c>
      <c r="B6">
        <v>11817</v>
      </c>
      <c r="C6">
        <v>1.2319100000000001</v>
      </c>
      <c r="D6">
        <v>52.14</v>
      </c>
      <c r="E6">
        <v>12</v>
      </c>
      <c r="F6">
        <v>1.0070300000000001</v>
      </c>
      <c r="G6">
        <v>118.12</v>
      </c>
      <c r="H6">
        <v>8</v>
      </c>
      <c r="I6">
        <v>1.0187600000000001</v>
      </c>
      <c r="J6">
        <v>185.98</v>
      </c>
      <c r="K6">
        <v>12</v>
      </c>
      <c r="L6">
        <v>1.00688</v>
      </c>
      <c r="M6">
        <v>153.30000000000001</v>
      </c>
      <c r="N6">
        <v>10</v>
      </c>
      <c r="O6">
        <v>1.0003</v>
      </c>
      <c r="P6">
        <v>282.92</v>
      </c>
    </row>
    <row r="7" spans="1:16">
      <c r="A7">
        <v>2</v>
      </c>
      <c r="B7">
        <v>11817</v>
      </c>
      <c r="C7">
        <v>1.2319100000000001</v>
      </c>
      <c r="D7">
        <v>56.31</v>
      </c>
      <c r="E7">
        <v>15</v>
      </c>
      <c r="F7">
        <v>1.0570999999999999</v>
      </c>
      <c r="G7">
        <v>120.82</v>
      </c>
      <c r="H7">
        <v>10</v>
      </c>
      <c r="I7">
        <v>1.00857</v>
      </c>
      <c r="J7">
        <v>177.08</v>
      </c>
      <c r="K7">
        <v>36</v>
      </c>
      <c r="L7">
        <v>1.0560099999999999</v>
      </c>
      <c r="M7">
        <v>167.47</v>
      </c>
      <c r="N7">
        <v>12</v>
      </c>
      <c r="O7">
        <v>1.0004599999999999</v>
      </c>
      <c r="P7">
        <v>263.69</v>
      </c>
    </row>
    <row r="8" spans="1:16">
      <c r="A8">
        <v>3</v>
      </c>
      <c r="B8">
        <v>11401</v>
      </c>
      <c r="C8">
        <v>1.01861</v>
      </c>
      <c r="D8">
        <v>65.61</v>
      </c>
      <c r="E8">
        <v>13</v>
      </c>
      <c r="F8">
        <v>1.9989699999999999</v>
      </c>
      <c r="G8">
        <v>118.44</v>
      </c>
      <c r="H8">
        <v>10</v>
      </c>
      <c r="I8">
        <v>1.3651899999999999</v>
      </c>
      <c r="J8">
        <v>179.55</v>
      </c>
      <c r="K8">
        <v>59</v>
      </c>
      <c r="L8">
        <v>1.94536</v>
      </c>
      <c r="M8">
        <v>141.91</v>
      </c>
      <c r="N8">
        <v>14</v>
      </c>
      <c r="O8">
        <v>1.4003699999999999</v>
      </c>
      <c r="P8">
        <v>255.79</v>
      </c>
    </row>
    <row r="9" spans="1:16">
      <c r="A9">
        <v>4</v>
      </c>
      <c r="B9">
        <v>11836</v>
      </c>
      <c r="C9">
        <v>1.2033100000000001</v>
      </c>
      <c r="D9">
        <v>51.56</v>
      </c>
      <c r="E9">
        <v>12</v>
      </c>
      <c r="F9">
        <v>1.06609</v>
      </c>
      <c r="G9">
        <v>116.78</v>
      </c>
      <c r="H9">
        <v>7</v>
      </c>
      <c r="I9">
        <v>1.0000800000000001</v>
      </c>
      <c r="J9">
        <v>187.28</v>
      </c>
      <c r="K9">
        <v>155</v>
      </c>
      <c r="L9">
        <v>1.0632200000000001</v>
      </c>
      <c r="M9">
        <v>163.88</v>
      </c>
      <c r="N9">
        <v>12</v>
      </c>
      <c r="O9">
        <v>1.6655199999999999</v>
      </c>
      <c r="P9">
        <v>254.39</v>
      </c>
    </row>
    <row r="10" spans="1:16">
      <c r="A10">
        <v>5</v>
      </c>
      <c r="B10">
        <v>11762</v>
      </c>
      <c r="C10">
        <v>1.4975700000000001</v>
      </c>
      <c r="D10">
        <v>64.7</v>
      </c>
      <c r="E10">
        <v>12</v>
      </c>
      <c r="F10">
        <v>1.0596099999999999</v>
      </c>
      <c r="G10">
        <v>115.75</v>
      </c>
      <c r="H10">
        <v>7</v>
      </c>
      <c r="I10">
        <v>1.0061899999999999</v>
      </c>
      <c r="J10">
        <v>169.98</v>
      </c>
      <c r="K10">
        <v>130</v>
      </c>
      <c r="L10">
        <v>1.05501</v>
      </c>
      <c r="M10">
        <v>155.33000000000001</v>
      </c>
      <c r="N10">
        <v>6</v>
      </c>
      <c r="O10">
        <v>1</v>
      </c>
      <c r="P10">
        <v>250.15</v>
      </c>
    </row>
    <row r="11" spans="1:16">
      <c r="A11">
        <v>6</v>
      </c>
      <c r="B11">
        <v>11631</v>
      </c>
      <c r="C11">
        <v>1.2210000000000001</v>
      </c>
      <c r="D11">
        <v>70.91</v>
      </c>
      <c r="E11">
        <v>13</v>
      </c>
      <c r="F11">
        <v>1.04017</v>
      </c>
      <c r="G11">
        <v>109.44</v>
      </c>
      <c r="H11">
        <v>8</v>
      </c>
      <c r="I11">
        <v>1.0249900000000001</v>
      </c>
      <c r="J11">
        <v>175.05</v>
      </c>
      <c r="K11">
        <v>60</v>
      </c>
      <c r="L11">
        <v>1.0381199999999999</v>
      </c>
      <c r="M11">
        <v>160.08000000000001</v>
      </c>
      <c r="N11">
        <v>10</v>
      </c>
      <c r="O11">
        <v>1.0003</v>
      </c>
      <c r="P11">
        <v>272.29000000000002</v>
      </c>
    </row>
    <row r="12" spans="1:16">
      <c r="A12">
        <v>7</v>
      </c>
      <c r="B12">
        <v>10898</v>
      </c>
      <c r="C12">
        <v>1.59422</v>
      </c>
      <c r="D12">
        <v>57.97</v>
      </c>
      <c r="E12">
        <v>11</v>
      </c>
      <c r="F12">
        <v>1.0845499999999999</v>
      </c>
      <c r="G12">
        <v>116.74</v>
      </c>
      <c r="H12">
        <v>7</v>
      </c>
      <c r="I12">
        <v>1.0571200000000001</v>
      </c>
      <c r="J12">
        <v>167.6</v>
      </c>
      <c r="K12">
        <v>85</v>
      </c>
      <c r="L12">
        <v>1.07805</v>
      </c>
      <c r="M12">
        <v>162.71</v>
      </c>
      <c r="N12">
        <v>6</v>
      </c>
      <c r="O12">
        <v>1</v>
      </c>
      <c r="P12">
        <v>229.26</v>
      </c>
    </row>
    <row r="13" spans="1:16">
      <c r="A13">
        <v>8</v>
      </c>
      <c r="B13">
        <v>11824</v>
      </c>
      <c r="C13">
        <v>1.2041500000000001</v>
      </c>
      <c r="D13">
        <v>61.39</v>
      </c>
      <c r="E13">
        <v>11</v>
      </c>
      <c r="F13">
        <v>1.0322800000000001</v>
      </c>
      <c r="G13">
        <v>154.62</v>
      </c>
      <c r="H13">
        <v>7</v>
      </c>
      <c r="I13">
        <v>1.0061899999999999</v>
      </c>
      <c r="J13">
        <v>173.28</v>
      </c>
      <c r="K13">
        <v>202</v>
      </c>
      <c r="L13">
        <v>1.0325899999999999</v>
      </c>
      <c r="M13">
        <v>201.7</v>
      </c>
      <c r="N13">
        <v>12</v>
      </c>
      <c r="O13">
        <v>1.6655199999999999</v>
      </c>
      <c r="P13">
        <v>254.39</v>
      </c>
    </row>
    <row r="14" spans="1:16">
      <c r="A14">
        <v>9</v>
      </c>
      <c r="B14">
        <v>11824</v>
      </c>
      <c r="C14">
        <v>1.2041500000000001</v>
      </c>
      <c r="D14">
        <v>67.06</v>
      </c>
      <c r="E14">
        <v>13</v>
      </c>
      <c r="F14">
        <v>1.03196</v>
      </c>
      <c r="G14">
        <v>199.75</v>
      </c>
      <c r="H14">
        <v>9</v>
      </c>
      <c r="I14">
        <v>1.0058800000000001</v>
      </c>
      <c r="J14">
        <v>213.16</v>
      </c>
      <c r="K14">
        <v>202</v>
      </c>
      <c r="L14">
        <v>1.0325899999999999</v>
      </c>
      <c r="M14">
        <v>232.58</v>
      </c>
      <c r="N14">
        <v>14</v>
      </c>
      <c r="O14">
        <v>1.6651800000000001</v>
      </c>
      <c r="P14">
        <v>290.02999999999997</v>
      </c>
    </row>
    <row r="15" spans="1:16">
      <c r="A15">
        <v>10</v>
      </c>
      <c r="B15">
        <v>11635</v>
      </c>
      <c r="C15">
        <v>1.03115</v>
      </c>
      <c r="D15">
        <v>58.29</v>
      </c>
      <c r="E15">
        <v>10</v>
      </c>
      <c r="F15">
        <v>1.4372</v>
      </c>
      <c r="G15">
        <v>117.7</v>
      </c>
      <c r="H15">
        <v>6</v>
      </c>
      <c r="I15">
        <v>1</v>
      </c>
      <c r="J15">
        <v>171.7</v>
      </c>
      <c r="K15">
        <v>12</v>
      </c>
      <c r="L15">
        <v>1.4367099999999999</v>
      </c>
      <c r="M15">
        <v>199.64</v>
      </c>
      <c r="N15">
        <v>11</v>
      </c>
      <c r="O15">
        <v>1.1819</v>
      </c>
      <c r="P15">
        <v>262.12</v>
      </c>
    </row>
    <row r="16" spans="1:16">
      <c r="A16">
        <v>11</v>
      </c>
      <c r="B16">
        <v>11631</v>
      </c>
      <c r="C16">
        <v>1.2210000000000001</v>
      </c>
      <c r="D16">
        <v>55.44</v>
      </c>
      <c r="E16">
        <v>12</v>
      </c>
      <c r="F16">
        <v>1.0240499999999999</v>
      </c>
      <c r="G16">
        <v>121.19</v>
      </c>
      <c r="H16">
        <v>8</v>
      </c>
      <c r="I16">
        <v>1.05061</v>
      </c>
      <c r="J16">
        <v>163.22999999999999</v>
      </c>
      <c r="K16">
        <v>59</v>
      </c>
      <c r="L16">
        <v>1.02284</v>
      </c>
      <c r="M16">
        <v>171.55</v>
      </c>
      <c r="N16">
        <v>10</v>
      </c>
      <c r="O16">
        <v>1.0003</v>
      </c>
      <c r="P16">
        <v>253.18</v>
      </c>
    </row>
    <row r="17" spans="1:16">
      <c r="A17">
        <v>12</v>
      </c>
      <c r="B17">
        <v>11865</v>
      </c>
      <c r="C17">
        <v>1.23472</v>
      </c>
      <c r="D17">
        <v>54.46</v>
      </c>
      <c r="E17">
        <v>10</v>
      </c>
      <c r="F17">
        <v>1.02593</v>
      </c>
      <c r="G17">
        <v>121.31</v>
      </c>
      <c r="H17">
        <v>6</v>
      </c>
      <c r="I17">
        <v>1</v>
      </c>
      <c r="J17">
        <v>150.41</v>
      </c>
      <c r="K17">
        <v>12</v>
      </c>
      <c r="L17">
        <v>1.0256099999999999</v>
      </c>
      <c r="M17">
        <v>161.46</v>
      </c>
      <c r="N17">
        <v>8</v>
      </c>
      <c r="O17">
        <v>1.0001500000000001</v>
      </c>
      <c r="P17">
        <v>246.31</v>
      </c>
    </row>
    <row r="18" spans="1:16">
      <c r="A18">
        <v>13</v>
      </c>
      <c r="B18">
        <v>11401</v>
      </c>
      <c r="C18">
        <v>1.01861</v>
      </c>
      <c r="D18">
        <v>54.28</v>
      </c>
      <c r="E18">
        <v>10</v>
      </c>
      <c r="F18">
        <v>1.4372</v>
      </c>
      <c r="G18">
        <v>111.23</v>
      </c>
      <c r="H18">
        <v>6</v>
      </c>
      <c r="I18">
        <v>1</v>
      </c>
      <c r="J18">
        <v>158.83000000000001</v>
      </c>
      <c r="K18">
        <v>59</v>
      </c>
      <c r="L18">
        <v>1.4298</v>
      </c>
      <c r="M18">
        <v>154.07</v>
      </c>
      <c r="N18">
        <v>11</v>
      </c>
      <c r="O18">
        <v>1.1819</v>
      </c>
      <c r="P18">
        <v>244.49</v>
      </c>
    </row>
    <row r="19" spans="1:16">
      <c r="A19">
        <v>14</v>
      </c>
      <c r="B19">
        <v>10898</v>
      </c>
      <c r="C19">
        <v>1.59422</v>
      </c>
      <c r="D19">
        <v>60.58</v>
      </c>
      <c r="E19">
        <v>11</v>
      </c>
      <c r="F19">
        <v>1.0303899999999999</v>
      </c>
      <c r="G19">
        <v>125.73</v>
      </c>
      <c r="H19">
        <v>7</v>
      </c>
      <c r="I19">
        <v>1.0571200000000001</v>
      </c>
      <c r="J19">
        <v>151.75</v>
      </c>
      <c r="K19">
        <v>108</v>
      </c>
      <c r="L19">
        <v>1.02661</v>
      </c>
      <c r="M19">
        <v>165.28</v>
      </c>
      <c r="N19">
        <v>6</v>
      </c>
      <c r="O19">
        <v>1</v>
      </c>
      <c r="P19">
        <v>214.16</v>
      </c>
    </row>
    <row r="20" spans="1:16">
      <c r="A20">
        <v>15</v>
      </c>
      <c r="B20">
        <v>11587</v>
      </c>
      <c r="C20">
        <v>1.02858</v>
      </c>
      <c r="D20">
        <v>54.1</v>
      </c>
      <c r="E20">
        <v>15</v>
      </c>
      <c r="F20">
        <v>1.5275300000000001</v>
      </c>
      <c r="G20">
        <v>111.69</v>
      </c>
      <c r="H20">
        <v>10</v>
      </c>
      <c r="I20">
        <v>1.02047</v>
      </c>
      <c r="J20">
        <v>149.71</v>
      </c>
      <c r="K20">
        <v>36</v>
      </c>
      <c r="L20">
        <v>1.5273600000000001</v>
      </c>
      <c r="M20">
        <v>152.44</v>
      </c>
      <c r="N20">
        <v>14</v>
      </c>
      <c r="O20">
        <v>1.1823300000000001</v>
      </c>
      <c r="P20">
        <v>249.19</v>
      </c>
    </row>
    <row r="21" spans="1:16">
      <c r="A21">
        <v>16</v>
      </c>
      <c r="B21">
        <v>11587</v>
      </c>
      <c r="C21">
        <v>1.02858</v>
      </c>
      <c r="D21">
        <v>54.19</v>
      </c>
      <c r="E21">
        <v>12</v>
      </c>
      <c r="F21">
        <v>1.42703</v>
      </c>
      <c r="G21">
        <v>118.15</v>
      </c>
      <c r="H21">
        <v>8</v>
      </c>
      <c r="I21">
        <v>1.3899900000000001</v>
      </c>
      <c r="J21">
        <v>163.13</v>
      </c>
      <c r="K21">
        <v>35</v>
      </c>
      <c r="L21">
        <v>1.42378</v>
      </c>
      <c r="M21">
        <v>185.87</v>
      </c>
      <c r="N21">
        <v>13</v>
      </c>
      <c r="O21">
        <v>1.18207</v>
      </c>
      <c r="P21">
        <v>254.39</v>
      </c>
    </row>
    <row r="22" spans="1:16">
      <c r="A22">
        <v>17</v>
      </c>
      <c r="B22">
        <v>11635</v>
      </c>
      <c r="C22">
        <v>1.03115</v>
      </c>
      <c r="D22">
        <v>56.33</v>
      </c>
      <c r="E22">
        <v>7</v>
      </c>
      <c r="F22">
        <v>1.9993099999999999</v>
      </c>
      <c r="G22">
        <v>112.1</v>
      </c>
      <c r="H22">
        <v>6</v>
      </c>
      <c r="I22">
        <v>1.39985</v>
      </c>
      <c r="J22">
        <v>151.37</v>
      </c>
      <c r="K22">
        <v>9</v>
      </c>
      <c r="L22">
        <v>1.9988600000000001</v>
      </c>
      <c r="M22">
        <v>149.76</v>
      </c>
      <c r="N22">
        <v>10</v>
      </c>
      <c r="O22">
        <v>1.4</v>
      </c>
      <c r="P22">
        <v>232.17</v>
      </c>
    </row>
    <row r="23" spans="1:16">
      <c r="A23">
        <v>18</v>
      </c>
      <c r="B23">
        <v>10898</v>
      </c>
      <c r="C23">
        <v>1.59422</v>
      </c>
      <c r="D23">
        <v>53.25</v>
      </c>
      <c r="E23">
        <v>13</v>
      </c>
      <c r="F23">
        <v>1.0867</v>
      </c>
      <c r="G23">
        <v>116</v>
      </c>
      <c r="H23">
        <v>9</v>
      </c>
      <c r="I23">
        <v>1.0592200000000001</v>
      </c>
      <c r="J23">
        <v>158.28</v>
      </c>
      <c r="K23">
        <v>85</v>
      </c>
      <c r="L23">
        <v>1.0803499999999999</v>
      </c>
      <c r="M23">
        <v>174.53</v>
      </c>
      <c r="N23">
        <v>6</v>
      </c>
      <c r="O23">
        <v>1</v>
      </c>
      <c r="P23">
        <v>236.75</v>
      </c>
    </row>
    <row r="24" spans="1:16">
      <c r="A24">
        <v>19</v>
      </c>
      <c r="B24">
        <v>11635</v>
      </c>
      <c r="C24">
        <v>1.03115</v>
      </c>
      <c r="D24">
        <v>54.2</v>
      </c>
      <c r="E24">
        <v>10</v>
      </c>
      <c r="F24">
        <v>1.4372</v>
      </c>
      <c r="G24">
        <v>109.95</v>
      </c>
      <c r="H24">
        <v>6</v>
      </c>
      <c r="I24">
        <v>1</v>
      </c>
      <c r="J24">
        <v>149.16999999999999</v>
      </c>
      <c r="K24">
        <v>12</v>
      </c>
      <c r="L24">
        <v>1.4367099999999999</v>
      </c>
      <c r="M24">
        <v>177.09</v>
      </c>
      <c r="N24">
        <v>11</v>
      </c>
      <c r="O24">
        <v>1.1819</v>
      </c>
      <c r="P24">
        <v>265.45999999999998</v>
      </c>
    </row>
    <row r="25" spans="1:16">
      <c r="A25">
        <v>20</v>
      </c>
      <c r="B25">
        <v>11865</v>
      </c>
      <c r="C25">
        <v>1.23472</v>
      </c>
      <c r="D25">
        <v>54.21</v>
      </c>
      <c r="E25">
        <v>10</v>
      </c>
      <c r="F25">
        <v>1.02593</v>
      </c>
      <c r="G25">
        <v>112.85</v>
      </c>
      <c r="H25">
        <v>6</v>
      </c>
      <c r="I25">
        <v>1</v>
      </c>
      <c r="J25">
        <v>152.47999999999999</v>
      </c>
      <c r="K25">
        <v>12</v>
      </c>
      <c r="L25">
        <v>1.0256099999999999</v>
      </c>
      <c r="M25">
        <v>163.27000000000001</v>
      </c>
      <c r="N25">
        <v>8</v>
      </c>
      <c r="O25">
        <v>1.0001500000000001</v>
      </c>
      <c r="P25">
        <v>277.02</v>
      </c>
    </row>
    <row r="26" spans="1:16">
      <c r="A26">
        <v>21</v>
      </c>
      <c r="B26">
        <v>11587</v>
      </c>
      <c r="C26">
        <v>1.02858</v>
      </c>
      <c r="D26">
        <v>57.31</v>
      </c>
      <c r="E26">
        <v>12</v>
      </c>
      <c r="F26">
        <v>1.0443800000000001</v>
      </c>
      <c r="G26">
        <v>122.02</v>
      </c>
      <c r="H26">
        <v>8</v>
      </c>
      <c r="I26">
        <v>1.01799</v>
      </c>
      <c r="J26">
        <v>148.04</v>
      </c>
      <c r="K26">
        <v>21</v>
      </c>
      <c r="L26">
        <v>1.0439700000000001</v>
      </c>
      <c r="M26">
        <v>167.58</v>
      </c>
      <c r="N26">
        <v>13</v>
      </c>
      <c r="O26">
        <v>1.00038</v>
      </c>
      <c r="P26">
        <v>276.07</v>
      </c>
    </row>
    <row r="27" spans="1:16">
      <c r="A27">
        <v>22</v>
      </c>
      <c r="B27">
        <v>11629</v>
      </c>
      <c r="C27">
        <v>1.0308299999999999</v>
      </c>
      <c r="D27">
        <v>58.01</v>
      </c>
      <c r="E27">
        <v>7</v>
      </c>
      <c r="F27">
        <v>1.9993099999999999</v>
      </c>
      <c r="G27">
        <v>114.94</v>
      </c>
      <c r="H27">
        <v>6</v>
      </c>
      <c r="I27">
        <v>1.39985</v>
      </c>
      <c r="J27">
        <v>159.93</v>
      </c>
      <c r="K27">
        <v>18</v>
      </c>
      <c r="L27">
        <v>1.99817</v>
      </c>
      <c r="M27">
        <v>163.61000000000001</v>
      </c>
      <c r="N27">
        <v>10</v>
      </c>
      <c r="O27">
        <v>1.4</v>
      </c>
      <c r="P27">
        <v>241.53</v>
      </c>
    </row>
    <row r="28" spans="1:16">
      <c r="A28">
        <v>23</v>
      </c>
      <c r="B28">
        <v>11740</v>
      </c>
      <c r="C28">
        <v>1.2100299999999999</v>
      </c>
      <c r="D28">
        <v>57.55</v>
      </c>
      <c r="E28">
        <v>11</v>
      </c>
      <c r="F28">
        <v>1.0450999999999999</v>
      </c>
      <c r="G28">
        <v>121.71</v>
      </c>
      <c r="H28">
        <v>7</v>
      </c>
      <c r="I28">
        <v>1.0186900000000001</v>
      </c>
      <c r="J28">
        <v>162.97999999999999</v>
      </c>
      <c r="K28">
        <v>250</v>
      </c>
      <c r="L28">
        <v>1.0465</v>
      </c>
      <c r="M28">
        <v>169.75</v>
      </c>
      <c r="N28">
        <v>12</v>
      </c>
      <c r="O28">
        <v>1.6655199999999999</v>
      </c>
      <c r="P28">
        <v>249.7</v>
      </c>
    </row>
    <row r="29" spans="1:16">
      <c r="A29">
        <v>24</v>
      </c>
      <c r="B29">
        <v>11824</v>
      </c>
      <c r="C29">
        <v>1.2041500000000001</v>
      </c>
      <c r="D29">
        <v>57.2</v>
      </c>
      <c r="E29">
        <v>11</v>
      </c>
      <c r="F29">
        <v>1.0196099999999999</v>
      </c>
      <c r="G29">
        <v>121.25</v>
      </c>
      <c r="H29">
        <v>7</v>
      </c>
      <c r="I29">
        <v>1.0061899999999999</v>
      </c>
      <c r="J29">
        <v>167.08</v>
      </c>
      <c r="K29">
        <v>202</v>
      </c>
      <c r="L29">
        <v>1.01755</v>
      </c>
      <c r="M29">
        <v>174.52</v>
      </c>
      <c r="N29">
        <v>12</v>
      </c>
      <c r="O29">
        <v>1.6655199999999999</v>
      </c>
      <c r="P29">
        <v>260.2</v>
      </c>
    </row>
    <row r="30" spans="1:16">
      <c r="A30">
        <v>25</v>
      </c>
      <c r="B30">
        <v>11740</v>
      </c>
      <c r="C30">
        <v>1.2100299999999999</v>
      </c>
      <c r="D30">
        <v>56.72</v>
      </c>
      <c r="E30">
        <v>14</v>
      </c>
      <c r="F30">
        <v>1.4818100000000001</v>
      </c>
      <c r="G30">
        <v>124.03</v>
      </c>
      <c r="H30">
        <v>9</v>
      </c>
      <c r="I30">
        <v>1.00895</v>
      </c>
      <c r="J30">
        <v>152.27000000000001</v>
      </c>
      <c r="K30">
        <v>283</v>
      </c>
      <c r="L30">
        <v>1.45366</v>
      </c>
      <c r="M30">
        <v>148.5</v>
      </c>
      <c r="N30">
        <v>6</v>
      </c>
      <c r="O30">
        <v>1.39985</v>
      </c>
      <c r="P30">
        <v>227.87</v>
      </c>
    </row>
    <row r="31" spans="1:16">
      <c r="A31">
        <v>26</v>
      </c>
      <c r="B31">
        <v>10898</v>
      </c>
      <c r="C31">
        <v>1.59422</v>
      </c>
      <c r="D31">
        <v>54.54</v>
      </c>
      <c r="E31">
        <v>11</v>
      </c>
      <c r="F31">
        <v>1.0845499999999999</v>
      </c>
      <c r="G31">
        <v>125.81</v>
      </c>
      <c r="H31">
        <v>7</v>
      </c>
      <c r="I31">
        <v>1.0571200000000001</v>
      </c>
      <c r="J31">
        <v>201.32</v>
      </c>
      <c r="K31">
        <v>88</v>
      </c>
      <c r="L31">
        <v>1.0778000000000001</v>
      </c>
      <c r="M31">
        <v>221.85</v>
      </c>
      <c r="N31">
        <v>6</v>
      </c>
      <c r="O31">
        <v>1</v>
      </c>
      <c r="P31">
        <v>263.83</v>
      </c>
    </row>
    <row r="32" spans="1:16">
      <c r="A32">
        <v>27</v>
      </c>
      <c r="B32">
        <v>11740</v>
      </c>
      <c r="C32">
        <v>1.2100299999999999</v>
      </c>
      <c r="D32">
        <v>66.599999999999994</v>
      </c>
      <c r="E32">
        <v>12</v>
      </c>
      <c r="F32">
        <v>1.04661</v>
      </c>
      <c r="G32">
        <v>130.19999999999999</v>
      </c>
      <c r="H32">
        <v>7</v>
      </c>
      <c r="I32">
        <v>1.0186900000000001</v>
      </c>
      <c r="J32">
        <v>143.76</v>
      </c>
      <c r="K32">
        <v>260</v>
      </c>
      <c r="L32">
        <v>1.03986</v>
      </c>
      <c r="M32">
        <v>155.83000000000001</v>
      </c>
      <c r="N32">
        <v>12</v>
      </c>
      <c r="O32">
        <v>1.6655199999999999</v>
      </c>
      <c r="P32">
        <v>244.68</v>
      </c>
    </row>
    <row r="33" spans="1:16">
      <c r="A33">
        <v>28</v>
      </c>
      <c r="B33">
        <v>11678</v>
      </c>
      <c r="C33">
        <v>1.5058800000000001</v>
      </c>
      <c r="D33">
        <v>55.15</v>
      </c>
      <c r="E33">
        <v>9</v>
      </c>
      <c r="F33">
        <v>1.9992000000000001</v>
      </c>
      <c r="G33">
        <v>108.87</v>
      </c>
      <c r="H33">
        <v>7</v>
      </c>
      <c r="I33">
        <v>1.42679</v>
      </c>
      <c r="J33">
        <v>156.1</v>
      </c>
      <c r="K33">
        <v>176</v>
      </c>
      <c r="L33">
        <v>1.9831799999999999</v>
      </c>
      <c r="M33">
        <v>163</v>
      </c>
      <c r="N33">
        <v>6</v>
      </c>
      <c r="O33">
        <v>1</v>
      </c>
      <c r="P33">
        <v>219.2</v>
      </c>
    </row>
    <row r="34" spans="1:16">
      <c r="A34">
        <v>29</v>
      </c>
      <c r="B34">
        <v>11824</v>
      </c>
      <c r="C34">
        <v>1.2041500000000001</v>
      </c>
      <c r="D34">
        <v>55.38</v>
      </c>
      <c r="E34">
        <v>13</v>
      </c>
      <c r="F34">
        <v>1.0177499999999999</v>
      </c>
      <c r="G34">
        <v>121.11</v>
      </c>
      <c r="H34">
        <v>9</v>
      </c>
      <c r="I34">
        <v>1.00803</v>
      </c>
      <c r="J34">
        <v>163.95</v>
      </c>
      <c r="K34">
        <v>211</v>
      </c>
      <c r="L34">
        <v>1.0163899999999999</v>
      </c>
      <c r="M34">
        <v>164.58</v>
      </c>
      <c r="N34">
        <v>14</v>
      </c>
      <c r="O34">
        <v>1.6651800000000001</v>
      </c>
      <c r="P34">
        <v>249.16</v>
      </c>
    </row>
    <row r="35" spans="1:16">
      <c r="A35">
        <v>30</v>
      </c>
      <c r="B35">
        <v>11629</v>
      </c>
      <c r="C35">
        <v>1.0308299999999999</v>
      </c>
      <c r="D35">
        <v>52.57</v>
      </c>
      <c r="E35">
        <v>7</v>
      </c>
      <c r="F35">
        <v>1.9993099999999999</v>
      </c>
      <c r="G35">
        <v>116.75</v>
      </c>
      <c r="H35">
        <v>6</v>
      </c>
      <c r="I35">
        <v>1.39985</v>
      </c>
      <c r="J35">
        <v>195.58</v>
      </c>
      <c r="K35">
        <v>12</v>
      </c>
      <c r="L35">
        <v>1.9985200000000001</v>
      </c>
      <c r="M35">
        <v>195.9</v>
      </c>
      <c r="N35">
        <v>10</v>
      </c>
      <c r="O35">
        <v>1.4</v>
      </c>
      <c r="P35">
        <v>244.14</v>
      </c>
    </row>
    <row r="36" spans="1:16">
      <c r="A36">
        <v>31</v>
      </c>
      <c r="B36">
        <v>10898</v>
      </c>
      <c r="C36">
        <v>1.59422</v>
      </c>
      <c r="D36">
        <v>58.67</v>
      </c>
      <c r="E36">
        <v>13</v>
      </c>
      <c r="F36">
        <v>1.9989699999999999</v>
      </c>
      <c r="G36">
        <v>115.19</v>
      </c>
      <c r="H36">
        <v>9</v>
      </c>
      <c r="I36">
        <v>1.43892</v>
      </c>
      <c r="J36">
        <v>163.9</v>
      </c>
      <c r="K36">
        <v>106</v>
      </c>
      <c r="L36">
        <v>1.99149</v>
      </c>
      <c r="M36">
        <v>158.02000000000001</v>
      </c>
      <c r="N36">
        <v>6</v>
      </c>
      <c r="O36">
        <v>1</v>
      </c>
      <c r="P36">
        <v>220.6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11865</v>
      </c>
      <c r="C40" s="1">
        <f t="shared" ref="C40:P40" si="0">MAX(C5:C36)</f>
        <v>1.59422</v>
      </c>
      <c r="D40" s="1">
        <f t="shared" si="0"/>
        <v>103.53</v>
      </c>
      <c r="E40" s="1">
        <f t="shared" si="0"/>
        <v>15</v>
      </c>
      <c r="F40" s="1">
        <f t="shared" si="0"/>
        <v>1.9993099999999999</v>
      </c>
      <c r="G40" s="1">
        <f t="shared" si="0"/>
        <v>199.75</v>
      </c>
      <c r="H40" s="1">
        <f t="shared" si="0"/>
        <v>10</v>
      </c>
      <c r="I40" s="1">
        <f t="shared" si="0"/>
        <v>1.43892</v>
      </c>
      <c r="J40" s="1">
        <f t="shared" si="0"/>
        <v>213.16</v>
      </c>
      <c r="K40" s="1">
        <f t="shared" si="0"/>
        <v>283</v>
      </c>
      <c r="L40" s="1">
        <f t="shared" si="0"/>
        <v>1.9988600000000001</v>
      </c>
      <c r="M40" s="1">
        <f t="shared" si="0"/>
        <v>232.58</v>
      </c>
      <c r="N40" s="1">
        <f t="shared" si="0"/>
        <v>14</v>
      </c>
      <c r="O40" s="1">
        <f t="shared" si="0"/>
        <v>1.6655199999999999</v>
      </c>
      <c r="P40" s="1">
        <f t="shared" si="0"/>
        <v>290.02999999999997</v>
      </c>
    </row>
    <row r="41" spans="1:16">
      <c r="A41" t="s">
        <v>12</v>
      </c>
      <c r="B41" s="1">
        <f>MIN(B5:B36)</f>
        <v>10898</v>
      </c>
      <c r="C41" s="1">
        <f t="shared" ref="C41:P41" si="1">MIN(C5:C36)</f>
        <v>1.01861</v>
      </c>
      <c r="D41" s="1">
        <f t="shared" si="1"/>
        <v>51.56</v>
      </c>
      <c r="E41" s="1">
        <f t="shared" si="1"/>
        <v>7</v>
      </c>
      <c r="F41" s="1">
        <f t="shared" si="1"/>
        <v>1.0070300000000001</v>
      </c>
      <c r="G41" s="1">
        <f t="shared" si="1"/>
        <v>108.87</v>
      </c>
      <c r="H41" s="1">
        <f t="shared" si="1"/>
        <v>6</v>
      </c>
      <c r="I41" s="1">
        <f t="shared" si="1"/>
        <v>1</v>
      </c>
      <c r="J41" s="1">
        <f t="shared" si="1"/>
        <v>143.76</v>
      </c>
      <c r="K41" s="1">
        <f t="shared" si="1"/>
        <v>9</v>
      </c>
      <c r="L41" s="1">
        <f t="shared" si="1"/>
        <v>1.00688</v>
      </c>
      <c r="M41" s="1">
        <f t="shared" si="1"/>
        <v>141.91</v>
      </c>
      <c r="N41" s="1">
        <f t="shared" si="1"/>
        <v>6</v>
      </c>
      <c r="O41" s="1">
        <f t="shared" si="1"/>
        <v>1</v>
      </c>
      <c r="P41" s="1">
        <f t="shared" si="1"/>
        <v>214.16</v>
      </c>
    </row>
    <row r="42" spans="1:16">
      <c r="A42" t="s">
        <v>13</v>
      </c>
      <c r="B42" s="1">
        <f>MEDIAN(B5:B36)</f>
        <v>11635</v>
      </c>
      <c r="C42" s="1">
        <f t="shared" ref="C42:P42" si="2">MEDIAN(C5:C36)</f>
        <v>1.20709</v>
      </c>
      <c r="D42" s="1">
        <f t="shared" si="2"/>
        <v>56.524999999999999</v>
      </c>
      <c r="E42" s="1">
        <f t="shared" si="2"/>
        <v>11.5</v>
      </c>
      <c r="F42" s="1">
        <f t="shared" si="2"/>
        <v>1.0661350000000001</v>
      </c>
      <c r="G42" s="1">
        <f t="shared" si="2"/>
        <v>117.91</v>
      </c>
      <c r="H42" s="1">
        <f t="shared" si="2"/>
        <v>7</v>
      </c>
      <c r="I42" s="1">
        <f t="shared" si="2"/>
        <v>1.0186900000000001</v>
      </c>
      <c r="J42" s="1">
        <f t="shared" si="2"/>
        <v>163.19499999999999</v>
      </c>
      <c r="K42" s="1">
        <f t="shared" si="2"/>
        <v>59.5</v>
      </c>
      <c r="L42" s="1">
        <f t="shared" si="2"/>
        <v>1.0644100000000001</v>
      </c>
      <c r="M42" s="1">
        <f t="shared" si="2"/>
        <v>164.23000000000002</v>
      </c>
      <c r="N42" s="1">
        <f t="shared" si="2"/>
        <v>10</v>
      </c>
      <c r="O42" s="1">
        <f t="shared" si="2"/>
        <v>1.1819</v>
      </c>
      <c r="P42" s="1">
        <f t="shared" si="2"/>
        <v>250.24</v>
      </c>
    </row>
    <row r="43" spans="1:16">
      <c r="A43" t="s">
        <v>14</v>
      </c>
      <c r="B43" s="1">
        <f>AVERAGE(B5:B36)</f>
        <v>11570.90625</v>
      </c>
      <c r="C43" s="1">
        <f t="shared" ref="C43:P43" si="3">AVERAGE(C5:C36)</f>
        <v>1.2284071875000002</v>
      </c>
      <c r="D43" s="1">
        <f t="shared" si="3"/>
        <v>59.069062500000008</v>
      </c>
      <c r="E43" s="1">
        <f t="shared" si="3"/>
        <v>11.34375</v>
      </c>
      <c r="F43" s="1">
        <f t="shared" si="3"/>
        <v>1.3012190625000002</v>
      </c>
      <c r="G43" s="1">
        <f t="shared" si="3"/>
        <v>121.32031249999999</v>
      </c>
      <c r="H43" s="1">
        <f t="shared" si="3"/>
        <v>7.46875</v>
      </c>
      <c r="I43" s="1">
        <f t="shared" si="3"/>
        <v>1.1022281250000001</v>
      </c>
      <c r="J43" s="1">
        <f t="shared" si="3"/>
        <v>166.4715625</v>
      </c>
      <c r="K43" s="1">
        <f t="shared" si="3"/>
        <v>94.46875</v>
      </c>
      <c r="L43" s="1">
        <f t="shared" si="3"/>
        <v>1.2960862500000001</v>
      </c>
      <c r="M43" s="1">
        <f t="shared" si="3"/>
        <v>170.96718750000002</v>
      </c>
      <c r="N43" s="1">
        <f t="shared" si="3"/>
        <v>10.03125</v>
      </c>
      <c r="O43" s="1">
        <f t="shared" si="3"/>
        <v>1.2365818749999997</v>
      </c>
      <c r="P43" s="1">
        <f t="shared" si="3"/>
        <v>251.10812499999997</v>
      </c>
    </row>
    <row r="44" spans="1:16">
      <c r="A44" t="s">
        <v>15</v>
      </c>
      <c r="B44" s="1">
        <f>STDEV(B5:B36)</f>
        <v>316.60001827634289</v>
      </c>
      <c r="C44" s="1">
        <f t="shared" ref="C44:P44" si="4">STDEV(C5:C36)</f>
        <v>0.20194881327246381</v>
      </c>
      <c r="D44" s="1">
        <f t="shared" si="4"/>
        <v>9.3936826264404711</v>
      </c>
      <c r="E44" s="1">
        <f t="shared" si="4"/>
        <v>2.009804596504106</v>
      </c>
      <c r="F44" s="1">
        <f t="shared" si="4"/>
        <v>0.37690292090001537</v>
      </c>
      <c r="G44" s="1">
        <f t="shared" si="4"/>
        <v>16.551067694704191</v>
      </c>
      <c r="H44" s="1">
        <f t="shared" si="4"/>
        <v>1.3194420863966856</v>
      </c>
      <c r="I44" s="1">
        <f t="shared" si="4"/>
        <v>0.16304752531853814</v>
      </c>
      <c r="J44" s="1">
        <f t="shared" si="4"/>
        <v>16.431291373154945</v>
      </c>
      <c r="K44" s="1">
        <f t="shared" si="4"/>
        <v>85.8287809367975</v>
      </c>
      <c r="L44" s="1">
        <f t="shared" si="4"/>
        <v>0.37262441742712299</v>
      </c>
      <c r="M44" s="1">
        <f t="shared" si="4"/>
        <v>20.9205127357097</v>
      </c>
      <c r="N44" s="1">
        <f t="shared" si="4"/>
        <v>2.8110883554124522</v>
      </c>
      <c r="O44" s="1">
        <f t="shared" si="4"/>
        <v>0.27085737268589716</v>
      </c>
      <c r="P44" s="1">
        <f t="shared" si="4"/>
        <v>18.15194834250671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CB58C-971E-1846-A4D4-524CC48BFF36}">
  <sheetPr codeName="Sheet10"/>
  <dimension ref="A1:P44"/>
  <sheetViews>
    <sheetView topLeftCell="A25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78734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32443</v>
      </c>
      <c r="C5">
        <v>1.24265</v>
      </c>
      <c r="D5">
        <v>741.87</v>
      </c>
      <c r="E5">
        <v>13</v>
      </c>
      <c r="F5">
        <v>1.07792</v>
      </c>
      <c r="G5">
        <v>378.49</v>
      </c>
      <c r="H5">
        <v>8</v>
      </c>
      <c r="I5">
        <v>1.05063</v>
      </c>
      <c r="J5">
        <v>451.47</v>
      </c>
      <c r="K5">
        <v>118</v>
      </c>
      <c r="L5">
        <v>1.0764199999999999</v>
      </c>
      <c r="M5">
        <v>580.80999999999995</v>
      </c>
      <c r="N5">
        <v>13</v>
      </c>
      <c r="O5">
        <v>1.00013</v>
      </c>
      <c r="P5">
        <v>758.48</v>
      </c>
    </row>
    <row r="6" spans="1:16">
      <c r="A6">
        <v>1</v>
      </c>
      <c r="B6">
        <v>34014</v>
      </c>
      <c r="C6">
        <v>1.2846599999999999</v>
      </c>
      <c r="D6">
        <v>174.93</v>
      </c>
      <c r="E6">
        <v>12</v>
      </c>
      <c r="F6">
        <v>1.0466299999999999</v>
      </c>
      <c r="G6">
        <v>390.44</v>
      </c>
      <c r="H6">
        <v>7</v>
      </c>
      <c r="I6">
        <v>1.0186900000000001</v>
      </c>
      <c r="J6">
        <v>444.06</v>
      </c>
      <c r="K6">
        <v>17</v>
      </c>
      <c r="L6">
        <v>1.04644</v>
      </c>
      <c r="M6">
        <v>526.35</v>
      </c>
      <c r="N6">
        <v>6</v>
      </c>
      <c r="O6">
        <v>1</v>
      </c>
      <c r="P6">
        <v>663.32</v>
      </c>
    </row>
    <row r="7" spans="1:16">
      <c r="A7">
        <v>2</v>
      </c>
      <c r="B7">
        <v>33061</v>
      </c>
      <c r="C7">
        <v>1.25675</v>
      </c>
      <c r="D7">
        <v>177.45</v>
      </c>
      <c r="E7">
        <v>13</v>
      </c>
      <c r="F7">
        <v>1.04447</v>
      </c>
      <c r="G7">
        <v>363.25</v>
      </c>
      <c r="H7">
        <v>8</v>
      </c>
      <c r="I7">
        <v>1.0207900000000001</v>
      </c>
      <c r="J7">
        <v>446.57</v>
      </c>
      <c r="K7">
        <v>70</v>
      </c>
      <c r="L7">
        <v>1.0435099999999999</v>
      </c>
      <c r="M7">
        <v>539.66999999999996</v>
      </c>
      <c r="N7">
        <v>12</v>
      </c>
      <c r="O7">
        <v>1.0001500000000001</v>
      </c>
      <c r="P7">
        <v>786.39</v>
      </c>
    </row>
    <row r="8" spans="1:16">
      <c r="A8">
        <v>3</v>
      </c>
      <c r="B8">
        <v>36288</v>
      </c>
      <c r="C8">
        <v>1.2111099999999999</v>
      </c>
      <c r="D8">
        <v>180.74</v>
      </c>
      <c r="E8">
        <v>14</v>
      </c>
      <c r="F8">
        <v>1.45069</v>
      </c>
      <c r="G8">
        <v>359.74</v>
      </c>
      <c r="H8">
        <v>9</v>
      </c>
      <c r="I8">
        <v>1.4128400000000001</v>
      </c>
      <c r="J8">
        <v>428.01</v>
      </c>
      <c r="K8">
        <v>37</v>
      </c>
      <c r="L8">
        <v>1.4504900000000001</v>
      </c>
      <c r="M8">
        <v>515.24</v>
      </c>
      <c r="N8">
        <v>6</v>
      </c>
      <c r="O8">
        <v>1</v>
      </c>
      <c r="P8">
        <v>654.65</v>
      </c>
    </row>
    <row r="9" spans="1:16">
      <c r="A9">
        <v>4</v>
      </c>
      <c r="B9">
        <v>31889</v>
      </c>
      <c r="C9">
        <v>1.5262199999999999</v>
      </c>
      <c r="D9">
        <v>177.61</v>
      </c>
      <c r="E9">
        <v>15</v>
      </c>
      <c r="F9">
        <v>1.07382</v>
      </c>
      <c r="G9">
        <v>363.59</v>
      </c>
      <c r="H9">
        <v>10</v>
      </c>
      <c r="I9">
        <v>1.0071399999999999</v>
      </c>
      <c r="J9">
        <v>456.82</v>
      </c>
      <c r="K9">
        <v>36</v>
      </c>
      <c r="L9">
        <v>1.0737699999999999</v>
      </c>
      <c r="M9">
        <v>534.24</v>
      </c>
      <c r="N9">
        <v>12</v>
      </c>
      <c r="O9">
        <v>1.0001500000000001</v>
      </c>
      <c r="P9">
        <v>774.26</v>
      </c>
    </row>
    <row r="10" spans="1:16">
      <c r="A10">
        <v>5</v>
      </c>
      <c r="B10">
        <v>33247</v>
      </c>
      <c r="C10">
        <v>1.26051</v>
      </c>
      <c r="D10">
        <v>186.47</v>
      </c>
      <c r="E10">
        <v>15</v>
      </c>
      <c r="F10">
        <v>1.4270799999999999</v>
      </c>
      <c r="G10">
        <v>355.07</v>
      </c>
      <c r="H10">
        <v>10</v>
      </c>
      <c r="I10">
        <v>1.38995</v>
      </c>
      <c r="J10">
        <v>421.63</v>
      </c>
      <c r="K10">
        <v>36</v>
      </c>
      <c r="L10">
        <v>1.42645</v>
      </c>
      <c r="M10">
        <v>506.2</v>
      </c>
      <c r="N10">
        <v>15</v>
      </c>
      <c r="O10">
        <v>1.1819599999999999</v>
      </c>
      <c r="P10">
        <v>727.11</v>
      </c>
    </row>
    <row r="11" spans="1:16">
      <c r="A11">
        <v>6</v>
      </c>
      <c r="B11">
        <v>34014</v>
      </c>
      <c r="C11">
        <v>1.2846599999999999</v>
      </c>
      <c r="D11">
        <v>187.38</v>
      </c>
      <c r="E11">
        <v>12</v>
      </c>
      <c r="F11">
        <v>1.00857</v>
      </c>
      <c r="G11">
        <v>371.79</v>
      </c>
      <c r="H11">
        <v>7</v>
      </c>
      <c r="I11">
        <v>1.05714</v>
      </c>
      <c r="J11">
        <v>438.14</v>
      </c>
      <c r="K11">
        <v>14</v>
      </c>
      <c r="L11">
        <v>1.00847</v>
      </c>
      <c r="M11">
        <v>536.47</v>
      </c>
      <c r="N11">
        <v>6</v>
      </c>
      <c r="O11">
        <v>1</v>
      </c>
      <c r="P11">
        <v>644.97</v>
      </c>
    </row>
    <row r="12" spans="1:16">
      <c r="A12">
        <v>7</v>
      </c>
      <c r="B12">
        <v>36288</v>
      </c>
      <c r="C12">
        <v>1.2111099999999999</v>
      </c>
      <c r="D12">
        <v>189.51</v>
      </c>
      <c r="E12">
        <v>12</v>
      </c>
      <c r="F12">
        <v>1.4652000000000001</v>
      </c>
      <c r="G12">
        <v>361.41</v>
      </c>
      <c r="H12">
        <v>7</v>
      </c>
      <c r="I12">
        <v>1.4269099999999999</v>
      </c>
      <c r="J12">
        <v>426.12</v>
      </c>
      <c r="K12">
        <v>236</v>
      </c>
      <c r="L12">
        <v>1.46373</v>
      </c>
      <c r="M12">
        <v>499.96</v>
      </c>
      <c r="N12">
        <v>6</v>
      </c>
      <c r="O12">
        <v>1</v>
      </c>
      <c r="P12">
        <v>624.96</v>
      </c>
    </row>
    <row r="13" spans="1:16">
      <c r="A13">
        <v>8</v>
      </c>
      <c r="B13">
        <v>33061</v>
      </c>
      <c r="C13">
        <v>1.25675</v>
      </c>
      <c r="D13">
        <v>180.14</v>
      </c>
      <c r="E13">
        <v>15</v>
      </c>
      <c r="F13">
        <v>1.5278099999999999</v>
      </c>
      <c r="G13">
        <v>354.1</v>
      </c>
      <c r="H13">
        <v>10</v>
      </c>
      <c r="I13">
        <v>1.0204800000000001</v>
      </c>
      <c r="J13">
        <v>460.04</v>
      </c>
      <c r="K13">
        <v>69</v>
      </c>
      <c r="L13">
        <v>1.52752</v>
      </c>
      <c r="M13">
        <v>503.69</v>
      </c>
      <c r="N13">
        <v>14</v>
      </c>
      <c r="O13">
        <v>1.1819900000000001</v>
      </c>
      <c r="P13">
        <v>729.69</v>
      </c>
    </row>
    <row r="14" spans="1:16">
      <c r="A14">
        <v>9</v>
      </c>
      <c r="B14">
        <v>34014</v>
      </c>
      <c r="C14">
        <v>1.2846599999999999</v>
      </c>
      <c r="D14">
        <v>171.67</v>
      </c>
      <c r="E14">
        <v>16</v>
      </c>
      <c r="F14">
        <v>1.03773</v>
      </c>
      <c r="G14">
        <v>356.68</v>
      </c>
      <c r="H14">
        <v>11</v>
      </c>
      <c r="I14">
        <v>1.0646800000000001</v>
      </c>
      <c r="J14">
        <v>441.3</v>
      </c>
      <c r="K14">
        <v>37</v>
      </c>
      <c r="L14">
        <v>1.03769</v>
      </c>
      <c r="M14">
        <v>520.42999999999995</v>
      </c>
      <c r="N14">
        <v>6</v>
      </c>
      <c r="O14">
        <v>1</v>
      </c>
      <c r="P14">
        <v>649.75</v>
      </c>
    </row>
    <row r="15" spans="1:16">
      <c r="A15">
        <v>10</v>
      </c>
      <c r="B15">
        <v>34014</v>
      </c>
      <c r="C15">
        <v>1.2846599999999999</v>
      </c>
      <c r="D15">
        <v>174.25</v>
      </c>
      <c r="E15">
        <v>12</v>
      </c>
      <c r="F15">
        <v>1.4122699999999999</v>
      </c>
      <c r="G15">
        <v>338.47</v>
      </c>
      <c r="H15">
        <v>7</v>
      </c>
      <c r="I15">
        <v>1.05714</v>
      </c>
      <c r="J15">
        <v>450.08</v>
      </c>
      <c r="K15">
        <v>37</v>
      </c>
      <c r="L15">
        <v>1.41089</v>
      </c>
      <c r="M15">
        <v>497.76</v>
      </c>
      <c r="N15">
        <v>6</v>
      </c>
      <c r="O15">
        <v>1</v>
      </c>
      <c r="P15">
        <v>612.36</v>
      </c>
    </row>
    <row r="16" spans="1:16">
      <c r="A16">
        <v>11</v>
      </c>
      <c r="B16">
        <v>31889</v>
      </c>
      <c r="C16">
        <v>1.5262199999999999</v>
      </c>
      <c r="D16">
        <v>184.14</v>
      </c>
      <c r="E16">
        <v>11</v>
      </c>
      <c r="F16">
        <v>1.02596</v>
      </c>
      <c r="G16">
        <v>349.1</v>
      </c>
      <c r="H16">
        <v>6</v>
      </c>
      <c r="I16">
        <v>1</v>
      </c>
      <c r="J16">
        <v>437.35</v>
      </c>
      <c r="K16">
        <v>16</v>
      </c>
      <c r="L16">
        <v>1.0257799999999999</v>
      </c>
      <c r="M16">
        <v>527.61</v>
      </c>
      <c r="N16">
        <v>8</v>
      </c>
      <c r="O16">
        <v>1.0000500000000001</v>
      </c>
      <c r="P16">
        <v>728.92</v>
      </c>
    </row>
    <row r="17" spans="1:16">
      <c r="A17">
        <v>12</v>
      </c>
      <c r="B17">
        <v>34678</v>
      </c>
      <c r="C17">
        <v>1.0232600000000001</v>
      </c>
      <c r="D17">
        <v>181.47</v>
      </c>
      <c r="E17">
        <v>12</v>
      </c>
      <c r="F17">
        <v>1.0238499999999999</v>
      </c>
      <c r="G17">
        <v>351.49</v>
      </c>
      <c r="H17">
        <v>7</v>
      </c>
      <c r="I17">
        <v>1.00206</v>
      </c>
      <c r="J17">
        <v>423.75</v>
      </c>
      <c r="K17">
        <v>59</v>
      </c>
      <c r="L17">
        <v>1.02319</v>
      </c>
      <c r="M17">
        <v>534.71</v>
      </c>
      <c r="N17">
        <v>12</v>
      </c>
      <c r="O17">
        <v>1.66628</v>
      </c>
      <c r="P17">
        <v>740.24</v>
      </c>
    </row>
    <row r="18" spans="1:16">
      <c r="A18">
        <v>13</v>
      </c>
      <c r="B18">
        <v>34210</v>
      </c>
      <c r="C18">
        <v>1.01491</v>
      </c>
      <c r="D18">
        <v>173.51</v>
      </c>
      <c r="E18">
        <v>12</v>
      </c>
      <c r="F18">
        <v>1.0071399999999999</v>
      </c>
      <c r="G18">
        <v>359.11</v>
      </c>
      <c r="H18">
        <v>7</v>
      </c>
      <c r="I18">
        <v>1.0186900000000001</v>
      </c>
      <c r="J18">
        <v>421.88</v>
      </c>
      <c r="K18">
        <v>236</v>
      </c>
      <c r="L18">
        <v>1.00396</v>
      </c>
      <c r="M18">
        <v>502.54</v>
      </c>
      <c r="N18">
        <v>12</v>
      </c>
      <c r="O18">
        <v>1.66628</v>
      </c>
      <c r="P18">
        <v>750.55</v>
      </c>
    </row>
    <row r="19" spans="1:16">
      <c r="A19">
        <v>14</v>
      </c>
      <c r="B19">
        <v>34210</v>
      </c>
      <c r="C19">
        <v>1.01491</v>
      </c>
      <c r="D19">
        <v>178.98</v>
      </c>
      <c r="E19">
        <v>12</v>
      </c>
      <c r="F19">
        <v>1.4673700000000001</v>
      </c>
      <c r="G19">
        <v>352.86</v>
      </c>
      <c r="H19">
        <v>7</v>
      </c>
      <c r="I19">
        <v>1.0186900000000001</v>
      </c>
      <c r="J19">
        <v>430.04</v>
      </c>
      <c r="K19">
        <v>203</v>
      </c>
      <c r="L19">
        <v>1.46316</v>
      </c>
      <c r="M19">
        <v>490.02</v>
      </c>
      <c r="N19">
        <v>6</v>
      </c>
      <c r="O19">
        <v>1.39995</v>
      </c>
      <c r="P19">
        <v>707.67</v>
      </c>
    </row>
    <row r="20" spans="1:16">
      <c r="A20">
        <v>15</v>
      </c>
      <c r="B20">
        <v>33247</v>
      </c>
      <c r="C20">
        <v>1.26051</v>
      </c>
      <c r="D20">
        <v>172.46</v>
      </c>
      <c r="E20">
        <v>11</v>
      </c>
      <c r="F20">
        <v>1.4374</v>
      </c>
      <c r="G20">
        <v>340.36</v>
      </c>
      <c r="H20">
        <v>6</v>
      </c>
      <c r="I20">
        <v>1.39995</v>
      </c>
      <c r="J20">
        <v>419.71</v>
      </c>
      <c r="K20">
        <v>34</v>
      </c>
      <c r="L20">
        <v>1.4362999999999999</v>
      </c>
      <c r="M20">
        <v>489.12</v>
      </c>
      <c r="N20">
        <v>11</v>
      </c>
      <c r="O20">
        <v>1.1818500000000001</v>
      </c>
      <c r="P20">
        <v>723.06</v>
      </c>
    </row>
    <row r="21" spans="1:16">
      <c r="A21">
        <v>16</v>
      </c>
      <c r="B21">
        <v>34594</v>
      </c>
      <c r="C21">
        <v>1.02176</v>
      </c>
      <c r="D21">
        <v>171.44</v>
      </c>
      <c r="E21">
        <v>14</v>
      </c>
      <c r="F21">
        <v>1.02291</v>
      </c>
      <c r="G21">
        <v>353.54</v>
      </c>
      <c r="H21">
        <v>9</v>
      </c>
      <c r="I21">
        <v>1.00298</v>
      </c>
      <c r="J21">
        <v>436.03</v>
      </c>
      <c r="K21">
        <v>140</v>
      </c>
      <c r="L21">
        <v>1.0204899999999999</v>
      </c>
      <c r="M21">
        <v>514.01</v>
      </c>
      <c r="N21">
        <v>14</v>
      </c>
      <c r="O21">
        <v>1.6661699999999999</v>
      </c>
      <c r="P21">
        <v>763.11</v>
      </c>
    </row>
    <row r="22" spans="1:16">
      <c r="A22">
        <v>17</v>
      </c>
      <c r="B22">
        <v>34014</v>
      </c>
      <c r="C22">
        <v>1.2846599999999999</v>
      </c>
      <c r="D22">
        <v>172.36</v>
      </c>
      <c r="E22">
        <v>12</v>
      </c>
      <c r="F22">
        <v>1.0846100000000001</v>
      </c>
      <c r="G22">
        <v>350.37</v>
      </c>
      <c r="H22">
        <v>7</v>
      </c>
      <c r="I22">
        <v>1.05714</v>
      </c>
      <c r="J22">
        <v>446.69</v>
      </c>
      <c r="K22">
        <v>17</v>
      </c>
      <c r="L22">
        <v>1.0844100000000001</v>
      </c>
      <c r="M22">
        <v>511.95</v>
      </c>
      <c r="N22">
        <v>6</v>
      </c>
      <c r="O22">
        <v>1</v>
      </c>
      <c r="P22">
        <v>616.30999999999995</v>
      </c>
    </row>
    <row r="23" spans="1:16">
      <c r="A23">
        <v>18</v>
      </c>
      <c r="B23">
        <v>34678</v>
      </c>
      <c r="C23">
        <v>1.0232600000000001</v>
      </c>
      <c r="D23">
        <v>177.67</v>
      </c>
      <c r="E23">
        <v>12</v>
      </c>
      <c r="F23">
        <v>1.02807</v>
      </c>
      <c r="G23">
        <v>361.99</v>
      </c>
      <c r="H23">
        <v>7</v>
      </c>
      <c r="I23">
        <v>1.00206</v>
      </c>
      <c r="J23">
        <v>493.49</v>
      </c>
      <c r="K23">
        <v>59</v>
      </c>
      <c r="L23">
        <v>1.02824</v>
      </c>
      <c r="M23">
        <v>542.62</v>
      </c>
      <c r="N23">
        <v>12</v>
      </c>
      <c r="O23">
        <v>1.66628</v>
      </c>
      <c r="P23">
        <v>746.9</v>
      </c>
    </row>
    <row r="24" spans="1:16">
      <c r="A24">
        <v>19</v>
      </c>
      <c r="B24">
        <v>34014</v>
      </c>
      <c r="C24">
        <v>1.2846599999999999</v>
      </c>
      <c r="D24">
        <v>191.17</v>
      </c>
      <c r="E24">
        <v>12</v>
      </c>
      <c r="F24">
        <v>1.00857</v>
      </c>
      <c r="G24">
        <v>360.61</v>
      </c>
      <c r="H24">
        <v>7</v>
      </c>
      <c r="I24">
        <v>1.05714</v>
      </c>
      <c r="J24">
        <v>434.43</v>
      </c>
      <c r="K24">
        <v>17</v>
      </c>
      <c r="L24">
        <v>1.0083899999999999</v>
      </c>
      <c r="M24">
        <v>513.41999999999996</v>
      </c>
      <c r="N24">
        <v>6</v>
      </c>
      <c r="O24">
        <v>1</v>
      </c>
      <c r="P24">
        <v>630.71</v>
      </c>
    </row>
    <row r="25" spans="1:16">
      <c r="A25">
        <v>20</v>
      </c>
      <c r="B25">
        <v>34594</v>
      </c>
      <c r="C25">
        <v>1.02176</v>
      </c>
      <c r="D25">
        <v>174.64</v>
      </c>
      <c r="E25">
        <v>12</v>
      </c>
      <c r="F25">
        <v>1.50552</v>
      </c>
      <c r="G25">
        <v>346.92</v>
      </c>
      <c r="H25">
        <v>7</v>
      </c>
      <c r="I25">
        <v>1.0061899999999999</v>
      </c>
      <c r="J25">
        <v>423.78</v>
      </c>
      <c r="K25">
        <v>138</v>
      </c>
      <c r="L25">
        <v>1.5039499999999999</v>
      </c>
      <c r="M25">
        <v>485.36</v>
      </c>
      <c r="N25">
        <v>6</v>
      </c>
      <c r="O25">
        <v>1.39995</v>
      </c>
      <c r="P25">
        <v>717.66</v>
      </c>
    </row>
    <row r="26" spans="1:16">
      <c r="A26">
        <v>21</v>
      </c>
      <c r="B26">
        <v>34210</v>
      </c>
      <c r="C26">
        <v>1.01491</v>
      </c>
      <c r="D26">
        <v>173.97</v>
      </c>
      <c r="E26">
        <v>12</v>
      </c>
      <c r="F26">
        <v>1.4673700000000001</v>
      </c>
      <c r="G26">
        <v>359.72</v>
      </c>
      <c r="H26">
        <v>7</v>
      </c>
      <c r="I26">
        <v>1.0186900000000001</v>
      </c>
      <c r="J26">
        <v>430.8</v>
      </c>
      <c r="K26">
        <v>213</v>
      </c>
      <c r="L26">
        <v>1.46271</v>
      </c>
      <c r="M26">
        <v>497.24</v>
      </c>
      <c r="N26">
        <v>6</v>
      </c>
      <c r="O26">
        <v>1.39995</v>
      </c>
      <c r="P26">
        <v>727.33</v>
      </c>
    </row>
    <row r="27" spans="1:16">
      <c r="A27">
        <v>22</v>
      </c>
      <c r="B27">
        <v>31889</v>
      </c>
      <c r="C27">
        <v>1.5262199999999999</v>
      </c>
      <c r="D27">
        <v>172.43</v>
      </c>
      <c r="E27">
        <v>11</v>
      </c>
      <c r="F27">
        <v>1.02596</v>
      </c>
      <c r="G27">
        <v>353.33</v>
      </c>
      <c r="H27">
        <v>6</v>
      </c>
      <c r="I27">
        <v>1</v>
      </c>
      <c r="J27">
        <v>435.63</v>
      </c>
      <c r="K27">
        <v>16</v>
      </c>
      <c r="L27">
        <v>1.0257799999999999</v>
      </c>
      <c r="M27">
        <v>501.81</v>
      </c>
      <c r="N27">
        <v>8</v>
      </c>
      <c r="O27">
        <v>1.0000500000000001</v>
      </c>
      <c r="P27">
        <v>752.68</v>
      </c>
    </row>
    <row r="28" spans="1:16">
      <c r="A28">
        <v>23</v>
      </c>
      <c r="B28">
        <v>34210</v>
      </c>
      <c r="C28">
        <v>1.01491</v>
      </c>
      <c r="D28">
        <v>174.67</v>
      </c>
      <c r="E28">
        <v>12</v>
      </c>
      <c r="F28">
        <v>1.4673700000000001</v>
      </c>
      <c r="G28">
        <v>347.97</v>
      </c>
      <c r="H28">
        <v>7</v>
      </c>
      <c r="I28">
        <v>1.0186900000000001</v>
      </c>
      <c r="J28">
        <v>433.41</v>
      </c>
      <c r="K28">
        <v>280</v>
      </c>
      <c r="L28">
        <v>1.45943</v>
      </c>
      <c r="M28">
        <v>485.28</v>
      </c>
      <c r="N28">
        <v>6</v>
      </c>
      <c r="O28">
        <v>1.39995</v>
      </c>
      <c r="P28">
        <v>733.54</v>
      </c>
    </row>
    <row r="29" spans="1:16">
      <c r="A29">
        <v>24</v>
      </c>
      <c r="B29">
        <v>32527</v>
      </c>
      <c r="C29">
        <v>1.24434</v>
      </c>
      <c r="D29">
        <v>175.16</v>
      </c>
      <c r="E29">
        <v>15</v>
      </c>
      <c r="F29">
        <v>1.41509</v>
      </c>
      <c r="G29">
        <v>337.77</v>
      </c>
      <c r="H29">
        <v>10</v>
      </c>
      <c r="I29">
        <v>1.05507</v>
      </c>
      <c r="J29">
        <v>444.4</v>
      </c>
      <c r="K29">
        <v>60</v>
      </c>
      <c r="L29">
        <v>1.4152199999999999</v>
      </c>
      <c r="M29">
        <v>508.49</v>
      </c>
      <c r="N29">
        <v>14</v>
      </c>
      <c r="O29">
        <v>1.1819900000000001</v>
      </c>
      <c r="P29">
        <v>718.04</v>
      </c>
    </row>
    <row r="30" spans="1:16">
      <c r="A30">
        <v>25</v>
      </c>
      <c r="B30">
        <v>34594</v>
      </c>
      <c r="C30">
        <v>1.02176</v>
      </c>
      <c r="D30">
        <v>174.55</v>
      </c>
      <c r="E30">
        <v>12</v>
      </c>
      <c r="F30">
        <v>1.0323100000000001</v>
      </c>
      <c r="G30">
        <v>356.52</v>
      </c>
      <c r="H30">
        <v>7</v>
      </c>
      <c r="I30">
        <v>1.0061899999999999</v>
      </c>
      <c r="J30">
        <v>425.76</v>
      </c>
      <c r="K30">
        <v>107</v>
      </c>
      <c r="L30">
        <v>1.03288</v>
      </c>
      <c r="M30">
        <v>509.5</v>
      </c>
      <c r="N30">
        <v>12</v>
      </c>
      <c r="O30">
        <v>1.66628</v>
      </c>
      <c r="P30">
        <v>739.68</v>
      </c>
    </row>
    <row r="31" spans="1:16">
      <c r="A31">
        <v>26</v>
      </c>
      <c r="B31">
        <v>32527</v>
      </c>
      <c r="C31">
        <v>1.24434</v>
      </c>
      <c r="D31">
        <v>179.04</v>
      </c>
      <c r="E31">
        <v>13</v>
      </c>
      <c r="F31">
        <v>1.0823700000000001</v>
      </c>
      <c r="G31">
        <v>350.8</v>
      </c>
      <c r="H31">
        <v>8</v>
      </c>
      <c r="I31">
        <v>1.0549599999999999</v>
      </c>
      <c r="J31">
        <v>422.54</v>
      </c>
      <c r="K31">
        <v>60</v>
      </c>
      <c r="L31">
        <v>1.0816300000000001</v>
      </c>
      <c r="M31">
        <v>605.04</v>
      </c>
      <c r="N31">
        <v>13</v>
      </c>
      <c r="O31">
        <v>1.00013</v>
      </c>
      <c r="P31">
        <v>785.13</v>
      </c>
    </row>
    <row r="32" spans="1:16">
      <c r="A32">
        <v>27</v>
      </c>
      <c r="B32">
        <v>33295</v>
      </c>
      <c r="C32">
        <v>1.2614799999999999</v>
      </c>
      <c r="D32">
        <v>177.93</v>
      </c>
      <c r="E32">
        <v>11</v>
      </c>
      <c r="F32">
        <v>1.0662</v>
      </c>
      <c r="G32">
        <v>356.18</v>
      </c>
      <c r="H32">
        <v>6</v>
      </c>
      <c r="I32">
        <v>1</v>
      </c>
      <c r="J32">
        <v>429.43</v>
      </c>
      <c r="K32">
        <v>13</v>
      </c>
      <c r="L32">
        <v>1.06609</v>
      </c>
      <c r="M32">
        <v>534.34</v>
      </c>
      <c r="N32">
        <v>10</v>
      </c>
      <c r="O32">
        <v>1.0001</v>
      </c>
      <c r="P32">
        <v>743.43</v>
      </c>
    </row>
    <row r="33" spans="1:16">
      <c r="A33">
        <v>28</v>
      </c>
      <c r="B33">
        <v>34014</v>
      </c>
      <c r="C33">
        <v>1.2846599999999999</v>
      </c>
      <c r="D33">
        <v>175.97</v>
      </c>
      <c r="E33">
        <v>12</v>
      </c>
      <c r="F33">
        <v>1.03037</v>
      </c>
      <c r="G33">
        <v>361.15</v>
      </c>
      <c r="H33">
        <v>7</v>
      </c>
      <c r="I33">
        <v>1.05714</v>
      </c>
      <c r="J33">
        <v>424.62</v>
      </c>
      <c r="K33">
        <v>14</v>
      </c>
      <c r="L33">
        <v>1.0304199999999999</v>
      </c>
      <c r="M33">
        <v>524.04</v>
      </c>
      <c r="N33">
        <v>6</v>
      </c>
      <c r="O33">
        <v>1</v>
      </c>
      <c r="P33">
        <v>631.94000000000005</v>
      </c>
    </row>
    <row r="34" spans="1:16">
      <c r="A34">
        <v>29</v>
      </c>
      <c r="B34">
        <v>31937</v>
      </c>
      <c r="C34">
        <v>1.5273099999999999</v>
      </c>
      <c r="D34">
        <v>176.76</v>
      </c>
      <c r="E34">
        <v>11</v>
      </c>
      <c r="F34">
        <v>1.02596</v>
      </c>
      <c r="G34">
        <v>367.84</v>
      </c>
      <c r="H34">
        <v>6</v>
      </c>
      <c r="I34">
        <v>1</v>
      </c>
      <c r="J34">
        <v>429.02</v>
      </c>
      <c r="K34">
        <v>16</v>
      </c>
      <c r="L34">
        <v>1.0257799999999999</v>
      </c>
      <c r="M34">
        <v>509.07</v>
      </c>
      <c r="N34">
        <v>8</v>
      </c>
      <c r="O34">
        <v>1.0000500000000001</v>
      </c>
      <c r="P34">
        <v>747.65</v>
      </c>
    </row>
    <row r="35" spans="1:16">
      <c r="A35">
        <v>30</v>
      </c>
      <c r="B35">
        <v>31715</v>
      </c>
      <c r="C35">
        <v>1.52224</v>
      </c>
      <c r="D35">
        <v>172.85</v>
      </c>
      <c r="E35">
        <v>11</v>
      </c>
      <c r="F35">
        <v>1.0662</v>
      </c>
      <c r="G35">
        <v>351.91</v>
      </c>
      <c r="H35">
        <v>6</v>
      </c>
      <c r="I35">
        <v>1</v>
      </c>
      <c r="J35">
        <v>436.37</v>
      </c>
      <c r="K35">
        <v>34</v>
      </c>
      <c r="L35">
        <v>1.0654999999999999</v>
      </c>
      <c r="M35">
        <v>506.59</v>
      </c>
      <c r="N35">
        <v>8</v>
      </c>
      <c r="O35">
        <v>1.0000500000000001</v>
      </c>
      <c r="P35">
        <v>736.18</v>
      </c>
    </row>
    <row r="36" spans="1:16">
      <c r="A36">
        <v>31</v>
      </c>
      <c r="B36">
        <v>34210</v>
      </c>
      <c r="C36">
        <v>1.01491</v>
      </c>
      <c r="D36">
        <v>173.85</v>
      </c>
      <c r="E36">
        <v>12</v>
      </c>
      <c r="F36">
        <v>1.52504</v>
      </c>
      <c r="G36">
        <v>333.99</v>
      </c>
      <c r="H36">
        <v>7</v>
      </c>
      <c r="I36">
        <v>1.0186900000000001</v>
      </c>
      <c r="J36">
        <v>442.88</v>
      </c>
      <c r="K36">
        <v>37</v>
      </c>
      <c r="L36">
        <v>1.5235000000000001</v>
      </c>
      <c r="M36">
        <v>500.32</v>
      </c>
      <c r="N36">
        <v>6</v>
      </c>
      <c r="O36">
        <v>1.39995</v>
      </c>
      <c r="P36">
        <v>712.54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36288</v>
      </c>
      <c r="C40" s="1">
        <f t="shared" ref="C40:P40" si="0">MAX(C5:C36)</f>
        <v>1.5273099999999999</v>
      </c>
      <c r="D40" s="1">
        <f t="shared" si="0"/>
        <v>741.87</v>
      </c>
      <c r="E40" s="1">
        <f t="shared" si="0"/>
        <v>16</v>
      </c>
      <c r="F40" s="1">
        <f t="shared" si="0"/>
        <v>1.5278099999999999</v>
      </c>
      <c r="G40" s="1">
        <f t="shared" si="0"/>
        <v>390.44</v>
      </c>
      <c r="H40" s="1">
        <f t="shared" si="0"/>
        <v>11</v>
      </c>
      <c r="I40" s="1">
        <f t="shared" si="0"/>
        <v>1.4269099999999999</v>
      </c>
      <c r="J40" s="1">
        <f t="shared" si="0"/>
        <v>493.49</v>
      </c>
      <c r="K40" s="1">
        <f t="shared" si="0"/>
        <v>280</v>
      </c>
      <c r="L40" s="1">
        <f t="shared" si="0"/>
        <v>1.52752</v>
      </c>
      <c r="M40" s="1">
        <f t="shared" si="0"/>
        <v>605.04</v>
      </c>
      <c r="N40" s="1">
        <f t="shared" si="0"/>
        <v>15</v>
      </c>
      <c r="O40" s="1">
        <f t="shared" si="0"/>
        <v>1.66628</v>
      </c>
      <c r="P40" s="1">
        <f t="shared" si="0"/>
        <v>786.39</v>
      </c>
    </row>
    <row r="41" spans="1:16">
      <c r="A41" t="s">
        <v>12</v>
      </c>
      <c r="B41" s="1">
        <f>MIN(B5:B36)</f>
        <v>31715</v>
      </c>
      <c r="C41" s="1">
        <f t="shared" ref="C41:P41" si="1">MIN(C5:C36)</f>
        <v>1.01491</v>
      </c>
      <c r="D41" s="1">
        <f t="shared" si="1"/>
        <v>171.44</v>
      </c>
      <c r="E41" s="1">
        <f t="shared" si="1"/>
        <v>11</v>
      </c>
      <c r="F41" s="1">
        <f t="shared" si="1"/>
        <v>1.0071399999999999</v>
      </c>
      <c r="G41" s="1">
        <f t="shared" si="1"/>
        <v>333.99</v>
      </c>
      <c r="H41" s="1">
        <f t="shared" si="1"/>
        <v>6</v>
      </c>
      <c r="I41" s="1">
        <f t="shared" si="1"/>
        <v>1</v>
      </c>
      <c r="J41" s="1">
        <f t="shared" si="1"/>
        <v>419.71</v>
      </c>
      <c r="K41" s="1">
        <f t="shared" si="1"/>
        <v>13</v>
      </c>
      <c r="L41" s="1">
        <f t="shared" si="1"/>
        <v>1.00396</v>
      </c>
      <c r="M41" s="1">
        <f t="shared" si="1"/>
        <v>485.28</v>
      </c>
      <c r="N41" s="1">
        <f t="shared" si="1"/>
        <v>6</v>
      </c>
      <c r="O41" s="1">
        <f t="shared" si="1"/>
        <v>1</v>
      </c>
      <c r="P41" s="1">
        <f t="shared" si="1"/>
        <v>612.36</v>
      </c>
    </row>
    <row r="42" spans="1:16">
      <c r="A42" t="s">
        <v>13</v>
      </c>
      <c r="B42" s="1">
        <f>MEDIAN(B5:B36)</f>
        <v>34014</v>
      </c>
      <c r="C42" s="1">
        <f t="shared" ref="C42:P42" si="2">MEDIAN(C5:C36)</f>
        <v>1.25675</v>
      </c>
      <c r="D42" s="1">
        <f t="shared" si="2"/>
        <v>176.36500000000001</v>
      </c>
      <c r="E42" s="1">
        <f t="shared" si="2"/>
        <v>12</v>
      </c>
      <c r="F42" s="1">
        <f t="shared" si="2"/>
        <v>1.0700099999999999</v>
      </c>
      <c r="G42" s="1">
        <f t="shared" si="2"/>
        <v>355.625</v>
      </c>
      <c r="H42" s="1">
        <f t="shared" si="2"/>
        <v>7</v>
      </c>
      <c r="I42" s="1">
        <f t="shared" si="2"/>
        <v>1.0186900000000001</v>
      </c>
      <c r="J42" s="1">
        <f t="shared" si="2"/>
        <v>435.03</v>
      </c>
      <c r="K42" s="1">
        <f t="shared" si="2"/>
        <v>37</v>
      </c>
      <c r="L42" s="1">
        <f t="shared" si="2"/>
        <v>1.0699299999999998</v>
      </c>
      <c r="M42" s="1">
        <f t="shared" si="2"/>
        <v>510.72500000000002</v>
      </c>
      <c r="N42" s="1">
        <f t="shared" si="2"/>
        <v>8</v>
      </c>
      <c r="O42" s="1">
        <f t="shared" si="2"/>
        <v>1.00014</v>
      </c>
      <c r="P42" s="1">
        <f t="shared" si="2"/>
        <v>728.125</v>
      </c>
    </row>
    <row r="43" spans="1:16">
      <c r="A43" t="s">
        <v>14</v>
      </c>
      <c r="B43" s="1">
        <f>AVERAGE(B5:B36)</f>
        <v>33674.65625</v>
      </c>
      <c r="C43" s="1">
        <f t="shared" ref="C43:P43" si="3">AVERAGE(C5:C36)</f>
        <v>1.2267728125000001</v>
      </c>
      <c r="D43" s="1">
        <f t="shared" si="3"/>
        <v>195.22000000000006</v>
      </c>
      <c r="E43" s="1">
        <f t="shared" si="3"/>
        <v>12.53125</v>
      </c>
      <c r="F43" s="1">
        <f t="shared" si="3"/>
        <v>1.1996196874999998</v>
      </c>
      <c r="G43" s="1">
        <f t="shared" si="3"/>
        <v>356.14249999999993</v>
      </c>
      <c r="H43" s="1">
        <f t="shared" si="3"/>
        <v>7.53125</v>
      </c>
      <c r="I43" s="1">
        <f t="shared" si="3"/>
        <v>1.0725225</v>
      </c>
      <c r="J43" s="1">
        <f t="shared" si="3"/>
        <v>437.07031250000006</v>
      </c>
      <c r="K43" s="1">
        <f t="shared" si="3"/>
        <v>77.375</v>
      </c>
      <c r="L43" s="1">
        <f t="shared" si="3"/>
        <v>1.1985059375</v>
      </c>
      <c r="M43" s="1">
        <f t="shared" si="3"/>
        <v>517.30937500000005</v>
      </c>
      <c r="N43" s="1">
        <f t="shared" si="3"/>
        <v>9.125</v>
      </c>
      <c r="O43" s="1">
        <f t="shared" si="3"/>
        <v>1.1893653125000003</v>
      </c>
      <c r="P43" s="1">
        <f t="shared" si="3"/>
        <v>711.85031249999997</v>
      </c>
    </row>
    <row r="44" spans="1:16">
      <c r="A44" t="s">
        <v>15</v>
      </c>
      <c r="B44" s="1">
        <f>STDEV(B5:B36)</f>
        <v>1167.9432047994014</v>
      </c>
      <c r="C44" s="1">
        <f t="shared" ref="C44:P44" si="4">STDEV(C5:C36)</f>
        <v>0.17133996939181756</v>
      </c>
      <c r="D44" s="1">
        <f t="shared" si="4"/>
        <v>99.890073064214761</v>
      </c>
      <c r="E44" s="1">
        <f t="shared" si="4"/>
        <v>1.3908543440819434</v>
      </c>
      <c r="F44" s="1">
        <f t="shared" si="4"/>
        <v>0.21032660739269021</v>
      </c>
      <c r="G44" s="1">
        <f t="shared" si="4"/>
        <v>11.399874362635357</v>
      </c>
      <c r="H44" s="1">
        <f t="shared" si="4"/>
        <v>1.3908543440819434</v>
      </c>
      <c r="I44" s="1">
        <f t="shared" si="4"/>
        <v>0.13058469465224246</v>
      </c>
      <c r="J44" s="1">
        <f t="shared" si="4"/>
        <v>14.88912061884178</v>
      </c>
      <c r="K44" s="1">
        <f t="shared" si="4"/>
        <v>77.294055190175754</v>
      </c>
      <c r="L44" s="1">
        <f t="shared" si="4"/>
        <v>0.20957683470329866</v>
      </c>
      <c r="M44" s="1">
        <f t="shared" si="4"/>
        <v>25.695194095331793</v>
      </c>
      <c r="N44" s="1">
        <f t="shared" si="4"/>
        <v>3.2700991402550432</v>
      </c>
      <c r="O44" s="1">
        <f t="shared" si="4"/>
        <v>0.25426828779960631</v>
      </c>
      <c r="P44" s="1">
        <f t="shared" si="4"/>
        <v>51.973242649579745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E00CB-57B8-B045-82E4-91E92BFBD132}">
  <sheetPr codeName="Sheet11"/>
  <dimension ref="A1:P44"/>
  <sheetViews>
    <sheetView topLeftCell="A27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236198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101798</v>
      </c>
      <c r="C5">
        <v>1.0487299999999999</v>
      </c>
      <c r="D5">
        <v>675.65</v>
      </c>
      <c r="E5">
        <v>13</v>
      </c>
      <c r="F5">
        <v>1.00858</v>
      </c>
      <c r="G5">
        <v>2211.9</v>
      </c>
      <c r="H5">
        <v>7</v>
      </c>
      <c r="I5">
        <v>1.05714</v>
      </c>
      <c r="J5">
        <v>1670.32</v>
      </c>
      <c r="K5">
        <v>24</v>
      </c>
      <c r="L5">
        <v>1.00847</v>
      </c>
      <c r="M5">
        <v>2112.4</v>
      </c>
      <c r="N5">
        <v>6</v>
      </c>
      <c r="O5">
        <v>1</v>
      </c>
      <c r="P5">
        <v>2370.25</v>
      </c>
    </row>
    <row r="6" spans="1:16">
      <c r="A6">
        <v>1</v>
      </c>
      <c r="B6">
        <v>99608</v>
      </c>
      <c r="C6">
        <v>1.6751499999999999</v>
      </c>
      <c r="D6">
        <v>664.11</v>
      </c>
      <c r="E6">
        <v>12</v>
      </c>
      <c r="F6">
        <v>1.0662199999999999</v>
      </c>
      <c r="G6">
        <v>1391.64</v>
      </c>
      <c r="H6">
        <v>6</v>
      </c>
      <c r="I6">
        <v>1</v>
      </c>
      <c r="J6">
        <v>1667.61</v>
      </c>
      <c r="K6">
        <v>324</v>
      </c>
      <c r="L6">
        <v>1.0647899999999999</v>
      </c>
      <c r="M6">
        <v>2004.47</v>
      </c>
      <c r="N6">
        <v>8</v>
      </c>
      <c r="O6">
        <v>1.0000199999999999</v>
      </c>
      <c r="P6">
        <v>2781.54</v>
      </c>
    </row>
    <row r="7" spans="1:16">
      <c r="A7">
        <v>2</v>
      </c>
      <c r="B7">
        <v>91897</v>
      </c>
      <c r="C7">
        <v>1.54097</v>
      </c>
      <c r="D7">
        <v>622.69000000000005</v>
      </c>
      <c r="E7">
        <v>12</v>
      </c>
      <c r="F7">
        <v>1.43747</v>
      </c>
      <c r="G7">
        <v>1327.72</v>
      </c>
      <c r="H7">
        <v>6</v>
      </c>
      <c r="I7">
        <v>1.39998</v>
      </c>
      <c r="J7">
        <v>1678.92</v>
      </c>
      <c r="K7">
        <v>492</v>
      </c>
      <c r="L7">
        <v>1.4353100000000001</v>
      </c>
      <c r="M7">
        <v>1919.97</v>
      </c>
      <c r="N7">
        <v>11</v>
      </c>
      <c r="O7">
        <v>1.1818299999999999</v>
      </c>
      <c r="P7">
        <v>2674.01</v>
      </c>
    </row>
    <row r="8" spans="1:16">
      <c r="A8">
        <v>3</v>
      </c>
      <c r="B8">
        <v>99572</v>
      </c>
      <c r="C8">
        <v>1.67563</v>
      </c>
      <c r="D8">
        <v>639.91999999999996</v>
      </c>
      <c r="E8">
        <v>12</v>
      </c>
      <c r="F8">
        <v>1.02597</v>
      </c>
      <c r="G8">
        <v>1366.46</v>
      </c>
      <c r="H8">
        <v>6</v>
      </c>
      <c r="I8">
        <v>1</v>
      </c>
      <c r="J8">
        <v>1648.58</v>
      </c>
      <c r="K8">
        <v>324</v>
      </c>
      <c r="L8">
        <v>1.0254000000000001</v>
      </c>
      <c r="M8">
        <v>2084.89</v>
      </c>
      <c r="N8">
        <v>8</v>
      </c>
      <c r="O8">
        <v>1.0000199999999999</v>
      </c>
      <c r="P8">
        <v>2826.2</v>
      </c>
    </row>
    <row r="9" spans="1:16">
      <c r="A9">
        <v>4</v>
      </c>
      <c r="B9">
        <v>91897</v>
      </c>
      <c r="C9">
        <v>1.54097</v>
      </c>
      <c r="D9">
        <v>630.12</v>
      </c>
      <c r="E9">
        <v>12</v>
      </c>
      <c r="F9">
        <v>1.43747</v>
      </c>
      <c r="G9">
        <v>1344.36</v>
      </c>
      <c r="H9">
        <v>6</v>
      </c>
      <c r="I9">
        <v>1</v>
      </c>
      <c r="J9">
        <v>1663.93</v>
      </c>
      <c r="K9">
        <v>501</v>
      </c>
      <c r="L9">
        <v>1.4351</v>
      </c>
      <c r="M9">
        <v>1982.42</v>
      </c>
      <c r="N9">
        <v>11</v>
      </c>
      <c r="O9">
        <v>1.1818299999999999</v>
      </c>
      <c r="P9">
        <v>2699.27</v>
      </c>
    </row>
    <row r="10" spans="1:16">
      <c r="A10">
        <v>5</v>
      </c>
      <c r="B10">
        <v>91909</v>
      </c>
      <c r="C10">
        <v>1.5410600000000001</v>
      </c>
      <c r="D10">
        <v>685.46</v>
      </c>
      <c r="E10">
        <v>12</v>
      </c>
      <c r="F10">
        <v>1.0662199999999999</v>
      </c>
      <c r="G10">
        <v>1420.79</v>
      </c>
      <c r="H10">
        <v>6</v>
      </c>
      <c r="I10">
        <v>1</v>
      </c>
      <c r="J10">
        <v>1720.07</v>
      </c>
      <c r="K10">
        <v>468</v>
      </c>
      <c r="L10">
        <v>1.0634600000000001</v>
      </c>
      <c r="M10">
        <v>2022.48</v>
      </c>
      <c r="N10">
        <v>10</v>
      </c>
      <c r="O10">
        <v>1.00003</v>
      </c>
      <c r="P10">
        <v>2833.98</v>
      </c>
    </row>
    <row r="11" spans="1:16">
      <c r="A11">
        <v>6</v>
      </c>
      <c r="B11">
        <v>99212</v>
      </c>
      <c r="C11">
        <v>1.68045</v>
      </c>
      <c r="D11">
        <v>645</v>
      </c>
      <c r="E11">
        <v>14</v>
      </c>
      <c r="F11">
        <v>1.0324899999999999</v>
      </c>
      <c r="G11">
        <v>1364.9</v>
      </c>
      <c r="H11">
        <v>8</v>
      </c>
      <c r="I11">
        <v>1.05932</v>
      </c>
      <c r="J11">
        <v>1662.62</v>
      </c>
      <c r="K11">
        <v>396</v>
      </c>
      <c r="L11">
        <v>1.03298</v>
      </c>
      <c r="M11">
        <v>2127.17</v>
      </c>
      <c r="N11">
        <v>10</v>
      </c>
      <c r="O11">
        <v>1.00003</v>
      </c>
      <c r="P11">
        <v>2873.33</v>
      </c>
    </row>
    <row r="12" spans="1:16">
      <c r="A12">
        <v>7</v>
      </c>
      <c r="B12">
        <v>101762</v>
      </c>
      <c r="C12">
        <v>1.0489599999999999</v>
      </c>
      <c r="D12">
        <v>669.25</v>
      </c>
      <c r="E12">
        <v>9</v>
      </c>
      <c r="F12">
        <v>1.9999100000000001</v>
      </c>
      <c r="G12">
        <v>1217.8499999999999</v>
      </c>
      <c r="H12">
        <v>7</v>
      </c>
      <c r="I12">
        <v>1.4269499999999999</v>
      </c>
      <c r="J12">
        <v>1752.97</v>
      </c>
      <c r="K12">
        <v>69</v>
      </c>
      <c r="L12">
        <v>1.99888</v>
      </c>
      <c r="M12">
        <v>1913.92</v>
      </c>
      <c r="N12">
        <v>6</v>
      </c>
      <c r="O12">
        <v>1</v>
      </c>
      <c r="P12">
        <v>2226.54</v>
      </c>
    </row>
    <row r="13" spans="1:16">
      <c r="A13">
        <v>8</v>
      </c>
      <c r="B13">
        <v>96832</v>
      </c>
      <c r="C13">
        <v>1.2398800000000001</v>
      </c>
      <c r="D13">
        <v>640.02</v>
      </c>
      <c r="E13">
        <v>17</v>
      </c>
      <c r="F13">
        <v>1.0476300000000001</v>
      </c>
      <c r="G13">
        <v>1381.56</v>
      </c>
      <c r="H13">
        <v>11</v>
      </c>
      <c r="I13">
        <v>1.02111</v>
      </c>
      <c r="J13">
        <v>1656.46</v>
      </c>
      <c r="K13">
        <v>484</v>
      </c>
      <c r="L13">
        <v>1.0481100000000001</v>
      </c>
      <c r="M13">
        <v>1987.09</v>
      </c>
      <c r="N13">
        <v>16</v>
      </c>
      <c r="O13">
        <v>1.6664600000000001</v>
      </c>
      <c r="P13">
        <v>2815.48</v>
      </c>
    </row>
    <row r="14" spans="1:16">
      <c r="A14">
        <v>9</v>
      </c>
      <c r="B14">
        <v>99572</v>
      </c>
      <c r="C14">
        <v>1.67563</v>
      </c>
      <c r="D14">
        <v>643.19000000000005</v>
      </c>
      <c r="E14">
        <v>14</v>
      </c>
      <c r="F14">
        <v>1.04592</v>
      </c>
      <c r="G14">
        <v>1356.12</v>
      </c>
      <c r="H14">
        <v>8</v>
      </c>
      <c r="I14">
        <v>1.01939</v>
      </c>
      <c r="J14">
        <v>1673.61</v>
      </c>
      <c r="K14">
        <v>348</v>
      </c>
      <c r="L14">
        <v>1.0446200000000001</v>
      </c>
      <c r="M14">
        <v>2126.85</v>
      </c>
      <c r="N14">
        <v>10</v>
      </c>
      <c r="O14">
        <v>1.00003</v>
      </c>
      <c r="P14">
        <v>2748.21</v>
      </c>
    </row>
    <row r="15" spans="1:16">
      <c r="A15">
        <v>10</v>
      </c>
      <c r="B15">
        <v>96832</v>
      </c>
      <c r="C15">
        <v>1.2398800000000001</v>
      </c>
      <c r="D15">
        <v>650.15</v>
      </c>
      <c r="E15">
        <v>13</v>
      </c>
      <c r="F15">
        <v>1.04515</v>
      </c>
      <c r="G15">
        <v>1369.67</v>
      </c>
      <c r="H15">
        <v>7</v>
      </c>
      <c r="I15">
        <v>1.0186900000000001</v>
      </c>
      <c r="J15">
        <v>1628.52</v>
      </c>
      <c r="K15">
        <v>406</v>
      </c>
      <c r="L15">
        <v>1.0460400000000001</v>
      </c>
      <c r="M15">
        <v>2025.13</v>
      </c>
      <c r="N15">
        <v>12</v>
      </c>
      <c r="O15">
        <v>1.6665399999999999</v>
      </c>
      <c r="P15">
        <v>2806.68</v>
      </c>
    </row>
    <row r="16" spans="1:16">
      <c r="A16">
        <v>11</v>
      </c>
      <c r="B16">
        <v>92083</v>
      </c>
      <c r="C16">
        <v>1.5424100000000001</v>
      </c>
      <c r="D16">
        <v>671.51</v>
      </c>
      <c r="E16">
        <v>12</v>
      </c>
      <c r="F16">
        <v>1.43747</v>
      </c>
      <c r="G16">
        <v>1290.9100000000001</v>
      </c>
      <c r="H16">
        <v>6</v>
      </c>
      <c r="I16">
        <v>1</v>
      </c>
      <c r="J16">
        <v>1665.59</v>
      </c>
      <c r="K16">
        <v>468</v>
      </c>
      <c r="L16">
        <v>1.4356599999999999</v>
      </c>
      <c r="M16">
        <v>1963.09</v>
      </c>
      <c r="N16">
        <v>11</v>
      </c>
      <c r="O16">
        <v>1.1818299999999999</v>
      </c>
      <c r="P16">
        <v>2648.21</v>
      </c>
    </row>
    <row r="17" spans="1:16">
      <c r="A17">
        <v>12</v>
      </c>
      <c r="B17">
        <v>91279</v>
      </c>
      <c r="C17">
        <v>1.53548</v>
      </c>
      <c r="D17">
        <v>607.74</v>
      </c>
      <c r="E17">
        <v>12</v>
      </c>
      <c r="F17">
        <v>1.0662199999999999</v>
      </c>
      <c r="G17">
        <v>1381</v>
      </c>
      <c r="H17">
        <v>6</v>
      </c>
      <c r="I17">
        <v>1</v>
      </c>
      <c r="J17">
        <v>1651.95</v>
      </c>
      <c r="K17">
        <v>540</v>
      </c>
      <c r="L17">
        <v>1.0627899999999999</v>
      </c>
      <c r="M17">
        <v>2042.89</v>
      </c>
      <c r="N17">
        <v>10</v>
      </c>
      <c r="O17">
        <v>1.00003</v>
      </c>
      <c r="P17">
        <v>2740.45</v>
      </c>
    </row>
    <row r="18" spans="1:16">
      <c r="A18">
        <v>13</v>
      </c>
      <c r="B18">
        <v>107450</v>
      </c>
      <c r="C18">
        <v>1.0146999999999999</v>
      </c>
      <c r="D18">
        <v>651.79</v>
      </c>
      <c r="E18">
        <v>13</v>
      </c>
      <c r="F18">
        <v>1.04664</v>
      </c>
      <c r="G18">
        <v>1358.23</v>
      </c>
      <c r="H18">
        <v>7</v>
      </c>
      <c r="I18">
        <v>1.0186900000000001</v>
      </c>
      <c r="J18">
        <v>1697.4</v>
      </c>
      <c r="K18">
        <v>62</v>
      </c>
      <c r="L18">
        <v>1.04613</v>
      </c>
      <c r="M18">
        <v>1985.76</v>
      </c>
      <c r="N18">
        <v>6</v>
      </c>
      <c r="O18">
        <v>1</v>
      </c>
      <c r="P18">
        <v>2360.69</v>
      </c>
    </row>
    <row r="19" spans="1:16">
      <c r="A19">
        <v>14</v>
      </c>
      <c r="B19">
        <v>96832</v>
      </c>
      <c r="C19">
        <v>1.2398800000000001</v>
      </c>
      <c r="D19">
        <v>644.17999999999995</v>
      </c>
      <c r="E19">
        <v>13</v>
      </c>
      <c r="F19">
        <v>1.04515</v>
      </c>
      <c r="G19">
        <v>1388.79</v>
      </c>
      <c r="H19">
        <v>7</v>
      </c>
      <c r="I19">
        <v>1.0186900000000001</v>
      </c>
      <c r="J19">
        <v>1724.92</v>
      </c>
      <c r="K19">
        <v>396</v>
      </c>
      <c r="L19">
        <v>1.04613</v>
      </c>
      <c r="M19">
        <v>2018.57</v>
      </c>
      <c r="N19">
        <v>12</v>
      </c>
      <c r="O19">
        <v>1.6665399999999999</v>
      </c>
      <c r="P19">
        <v>2841.02</v>
      </c>
    </row>
    <row r="20" spans="1:16">
      <c r="A20">
        <v>15</v>
      </c>
      <c r="B20">
        <v>107450</v>
      </c>
      <c r="C20">
        <v>1.0146999999999999</v>
      </c>
      <c r="D20">
        <v>651.34</v>
      </c>
      <c r="E20">
        <v>13</v>
      </c>
      <c r="F20">
        <v>1.04664</v>
      </c>
      <c r="G20">
        <v>1365.73</v>
      </c>
      <c r="H20">
        <v>7</v>
      </c>
      <c r="I20">
        <v>1.0186900000000001</v>
      </c>
      <c r="J20">
        <v>1664.83</v>
      </c>
      <c r="K20">
        <v>406</v>
      </c>
      <c r="L20">
        <v>1.0452600000000001</v>
      </c>
      <c r="M20">
        <v>2089</v>
      </c>
      <c r="N20">
        <v>6</v>
      </c>
      <c r="O20">
        <v>1</v>
      </c>
      <c r="P20">
        <v>2323.17</v>
      </c>
    </row>
    <row r="21" spans="1:16">
      <c r="A21">
        <v>16</v>
      </c>
      <c r="B21">
        <v>91279</v>
      </c>
      <c r="C21">
        <v>1.53548</v>
      </c>
      <c r="D21">
        <v>631.37</v>
      </c>
      <c r="E21">
        <v>12</v>
      </c>
      <c r="F21">
        <v>1.43747</v>
      </c>
      <c r="G21">
        <v>1240.1300000000001</v>
      </c>
      <c r="H21">
        <v>6</v>
      </c>
      <c r="I21">
        <v>1</v>
      </c>
      <c r="J21">
        <v>1693.15</v>
      </c>
      <c r="K21">
        <v>540</v>
      </c>
      <c r="L21">
        <v>1.4346000000000001</v>
      </c>
      <c r="M21">
        <v>1955.08</v>
      </c>
      <c r="N21">
        <v>11</v>
      </c>
      <c r="O21">
        <v>1.1818299999999999</v>
      </c>
      <c r="P21">
        <v>2689.59</v>
      </c>
    </row>
    <row r="22" spans="1:16">
      <c r="A22">
        <v>17</v>
      </c>
      <c r="B22">
        <v>101798</v>
      </c>
      <c r="C22">
        <v>1.0487299999999999</v>
      </c>
      <c r="D22">
        <v>627.69000000000005</v>
      </c>
      <c r="E22">
        <v>13</v>
      </c>
      <c r="F22">
        <v>1.08463</v>
      </c>
      <c r="G22">
        <v>1354.71</v>
      </c>
      <c r="H22">
        <v>7</v>
      </c>
      <c r="I22">
        <v>1.05714</v>
      </c>
      <c r="J22">
        <v>1627.3</v>
      </c>
      <c r="K22">
        <v>24</v>
      </c>
      <c r="L22">
        <v>1.0845</v>
      </c>
      <c r="M22">
        <v>2072.11</v>
      </c>
      <c r="N22">
        <v>6</v>
      </c>
      <c r="O22">
        <v>1</v>
      </c>
      <c r="P22">
        <v>2331.02</v>
      </c>
    </row>
    <row r="23" spans="1:16">
      <c r="A23">
        <v>18</v>
      </c>
      <c r="B23">
        <v>98224</v>
      </c>
      <c r="C23">
        <v>1.2503299999999999</v>
      </c>
      <c r="D23">
        <v>605.88</v>
      </c>
      <c r="E23">
        <v>13</v>
      </c>
      <c r="F23">
        <v>1.05965</v>
      </c>
      <c r="G23">
        <v>1313.05</v>
      </c>
      <c r="H23">
        <v>7</v>
      </c>
      <c r="I23">
        <v>1.0061899999999999</v>
      </c>
      <c r="J23">
        <v>1702.57</v>
      </c>
      <c r="K23">
        <v>204</v>
      </c>
      <c r="L23">
        <v>1.0589500000000001</v>
      </c>
      <c r="M23">
        <v>1957.43</v>
      </c>
      <c r="N23">
        <v>12</v>
      </c>
      <c r="O23">
        <v>1.6665399999999999</v>
      </c>
      <c r="P23">
        <v>2818.72</v>
      </c>
    </row>
    <row r="24" spans="1:16">
      <c r="A24">
        <v>19</v>
      </c>
      <c r="B24">
        <v>101798</v>
      </c>
      <c r="C24">
        <v>1.0487299999999999</v>
      </c>
      <c r="D24">
        <v>667.42</v>
      </c>
      <c r="E24">
        <v>13</v>
      </c>
      <c r="F24">
        <v>1.00858</v>
      </c>
      <c r="G24">
        <v>1404.76</v>
      </c>
      <c r="H24">
        <v>7</v>
      </c>
      <c r="I24">
        <v>1.05714</v>
      </c>
      <c r="J24">
        <v>1702.24</v>
      </c>
      <c r="K24">
        <v>38</v>
      </c>
      <c r="L24">
        <v>1.0083</v>
      </c>
      <c r="M24">
        <v>2099.5500000000002</v>
      </c>
      <c r="N24">
        <v>6</v>
      </c>
      <c r="O24">
        <v>1</v>
      </c>
      <c r="P24">
        <v>2420.35</v>
      </c>
    </row>
    <row r="25" spans="1:16">
      <c r="A25">
        <v>20</v>
      </c>
      <c r="B25">
        <v>92131</v>
      </c>
      <c r="C25">
        <v>1.54278</v>
      </c>
      <c r="D25">
        <v>614.42999999999995</v>
      </c>
      <c r="E25">
        <v>12</v>
      </c>
      <c r="F25">
        <v>1.0662199999999999</v>
      </c>
      <c r="G25">
        <v>1419.61</v>
      </c>
      <c r="H25">
        <v>6</v>
      </c>
      <c r="I25">
        <v>1</v>
      </c>
      <c r="J25">
        <v>1709.66</v>
      </c>
      <c r="K25">
        <v>445</v>
      </c>
      <c r="L25">
        <v>1.06372</v>
      </c>
      <c r="M25">
        <v>2187.96</v>
      </c>
      <c r="N25">
        <v>10</v>
      </c>
      <c r="O25">
        <v>1.00003</v>
      </c>
      <c r="P25">
        <v>2787.95</v>
      </c>
    </row>
    <row r="26" spans="1:16">
      <c r="A26">
        <v>21</v>
      </c>
      <c r="B26">
        <v>107450</v>
      </c>
      <c r="C26">
        <v>1.0146999999999999</v>
      </c>
      <c r="D26">
        <v>643.72</v>
      </c>
      <c r="E26">
        <v>9</v>
      </c>
      <c r="F26">
        <v>1.9999100000000001</v>
      </c>
      <c r="G26">
        <v>1206.06</v>
      </c>
      <c r="H26">
        <v>7</v>
      </c>
      <c r="I26">
        <v>1.4269499999999999</v>
      </c>
      <c r="J26">
        <v>1771.45</v>
      </c>
      <c r="K26">
        <v>401</v>
      </c>
      <c r="L26">
        <v>1.9947299999999999</v>
      </c>
      <c r="M26">
        <v>1843.36</v>
      </c>
      <c r="N26">
        <v>6</v>
      </c>
      <c r="O26">
        <v>1</v>
      </c>
      <c r="P26">
        <v>2259.9899999999998</v>
      </c>
    </row>
    <row r="27" spans="1:16">
      <c r="A27">
        <v>22</v>
      </c>
      <c r="B27">
        <v>89617</v>
      </c>
      <c r="C27">
        <v>1.5156000000000001</v>
      </c>
      <c r="D27">
        <v>643.91999999999996</v>
      </c>
      <c r="E27">
        <v>12</v>
      </c>
      <c r="F27">
        <v>1.0662199999999999</v>
      </c>
      <c r="G27">
        <v>1366.89</v>
      </c>
      <c r="H27">
        <v>6</v>
      </c>
      <c r="I27">
        <v>1</v>
      </c>
      <c r="J27">
        <v>1647.12</v>
      </c>
      <c r="K27">
        <v>729</v>
      </c>
      <c r="L27">
        <v>1.0606599999999999</v>
      </c>
      <c r="M27">
        <v>1974.05</v>
      </c>
      <c r="N27">
        <v>10</v>
      </c>
      <c r="O27">
        <v>1.00003</v>
      </c>
      <c r="P27">
        <v>2791.64</v>
      </c>
    </row>
    <row r="28" spans="1:16">
      <c r="A28">
        <v>23</v>
      </c>
      <c r="B28">
        <v>92131</v>
      </c>
      <c r="C28">
        <v>1.54278</v>
      </c>
      <c r="D28">
        <v>631.08000000000004</v>
      </c>
      <c r="E28">
        <v>12</v>
      </c>
      <c r="F28">
        <v>1.43747</v>
      </c>
      <c r="G28">
        <v>1255.6199999999999</v>
      </c>
      <c r="H28">
        <v>6</v>
      </c>
      <c r="I28">
        <v>1</v>
      </c>
      <c r="J28">
        <v>1724.26</v>
      </c>
      <c r="K28">
        <v>445</v>
      </c>
      <c r="L28">
        <v>1.43608</v>
      </c>
      <c r="M28">
        <v>1959.91</v>
      </c>
      <c r="N28">
        <v>11</v>
      </c>
      <c r="O28">
        <v>1.1818299999999999</v>
      </c>
      <c r="P28">
        <v>2651.86</v>
      </c>
    </row>
    <row r="29" spans="1:16">
      <c r="A29">
        <v>24</v>
      </c>
      <c r="B29">
        <v>101762</v>
      </c>
      <c r="C29">
        <v>1.0489599999999999</v>
      </c>
      <c r="D29">
        <v>625.48</v>
      </c>
      <c r="E29">
        <v>13</v>
      </c>
      <c r="F29">
        <v>1.03037</v>
      </c>
      <c r="G29">
        <v>1348.17</v>
      </c>
      <c r="H29">
        <v>7</v>
      </c>
      <c r="I29">
        <v>1.05714</v>
      </c>
      <c r="J29">
        <v>1658.05</v>
      </c>
      <c r="K29">
        <v>38</v>
      </c>
      <c r="L29">
        <v>1.0305800000000001</v>
      </c>
      <c r="M29">
        <v>2078.79</v>
      </c>
      <c r="N29">
        <v>6</v>
      </c>
      <c r="O29">
        <v>1</v>
      </c>
      <c r="P29">
        <v>2326.7800000000002</v>
      </c>
    </row>
    <row r="30" spans="1:16">
      <c r="A30">
        <v>25</v>
      </c>
      <c r="B30">
        <v>101762</v>
      </c>
      <c r="C30">
        <v>1.0489599999999999</v>
      </c>
      <c r="D30">
        <v>625.51</v>
      </c>
      <c r="E30">
        <v>13</v>
      </c>
      <c r="F30">
        <v>1.08463</v>
      </c>
      <c r="G30">
        <v>1363.07</v>
      </c>
      <c r="H30">
        <v>7</v>
      </c>
      <c r="I30">
        <v>1.05714</v>
      </c>
      <c r="J30">
        <v>1674.09</v>
      </c>
      <c r="K30">
        <v>62</v>
      </c>
      <c r="L30">
        <v>1.0840799999999999</v>
      </c>
      <c r="M30">
        <v>1983.87</v>
      </c>
      <c r="N30">
        <v>6</v>
      </c>
      <c r="O30">
        <v>1</v>
      </c>
      <c r="P30">
        <v>2287.1799999999998</v>
      </c>
    </row>
    <row r="31" spans="1:16">
      <c r="A31">
        <v>26</v>
      </c>
      <c r="B31">
        <v>101762</v>
      </c>
      <c r="C31">
        <v>1.0489599999999999</v>
      </c>
      <c r="D31">
        <v>619.85</v>
      </c>
      <c r="E31">
        <v>15</v>
      </c>
      <c r="F31">
        <v>1.0935999999999999</v>
      </c>
      <c r="G31">
        <v>1379.38</v>
      </c>
      <c r="H31">
        <v>9</v>
      </c>
      <c r="I31">
        <v>1.0658799999999999</v>
      </c>
      <c r="J31">
        <v>1637.28</v>
      </c>
      <c r="K31">
        <v>120</v>
      </c>
      <c r="L31">
        <v>1.09368</v>
      </c>
      <c r="M31">
        <v>1967.47</v>
      </c>
      <c r="N31">
        <v>6</v>
      </c>
      <c r="O31">
        <v>1</v>
      </c>
      <c r="P31">
        <v>2351.14</v>
      </c>
    </row>
    <row r="32" spans="1:16">
      <c r="A32">
        <v>27</v>
      </c>
      <c r="B32">
        <v>90001</v>
      </c>
      <c r="C32">
        <v>1.5185599999999999</v>
      </c>
      <c r="D32">
        <v>668.1</v>
      </c>
      <c r="E32">
        <v>11</v>
      </c>
      <c r="F32">
        <v>1.9999</v>
      </c>
      <c r="G32">
        <v>1268.81</v>
      </c>
      <c r="H32">
        <v>8</v>
      </c>
      <c r="I32">
        <v>1.32534</v>
      </c>
      <c r="J32">
        <v>1763.81</v>
      </c>
      <c r="K32">
        <v>538</v>
      </c>
      <c r="L32">
        <v>1.9944599999999999</v>
      </c>
      <c r="M32">
        <v>1952.36</v>
      </c>
      <c r="N32">
        <v>12</v>
      </c>
      <c r="O32">
        <v>1.40002</v>
      </c>
      <c r="P32">
        <v>2723.81</v>
      </c>
    </row>
    <row r="33" spans="1:16">
      <c r="A33">
        <v>28</v>
      </c>
      <c r="B33">
        <v>107450</v>
      </c>
      <c r="C33">
        <v>1.0146999999999999</v>
      </c>
      <c r="D33">
        <v>656.31</v>
      </c>
      <c r="E33">
        <v>17</v>
      </c>
      <c r="F33">
        <v>1.99986</v>
      </c>
      <c r="G33">
        <v>1217.3</v>
      </c>
      <c r="H33">
        <v>11</v>
      </c>
      <c r="I33">
        <v>1.3638399999999999</v>
      </c>
      <c r="J33">
        <v>1754.97</v>
      </c>
      <c r="K33">
        <v>71</v>
      </c>
      <c r="L33">
        <v>1.95214</v>
      </c>
      <c r="M33">
        <v>1962.88</v>
      </c>
      <c r="N33">
        <v>6</v>
      </c>
      <c r="O33">
        <v>1</v>
      </c>
      <c r="P33">
        <v>2232.94</v>
      </c>
    </row>
    <row r="34" spans="1:16">
      <c r="A34">
        <v>29</v>
      </c>
      <c r="B34">
        <v>90001</v>
      </c>
      <c r="C34">
        <v>1.5185599999999999</v>
      </c>
      <c r="D34">
        <v>630.62</v>
      </c>
      <c r="E34">
        <v>12</v>
      </c>
      <c r="F34">
        <v>1.43747</v>
      </c>
      <c r="G34">
        <v>1229.98</v>
      </c>
      <c r="H34">
        <v>6</v>
      </c>
      <c r="I34">
        <v>1</v>
      </c>
      <c r="J34">
        <v>1696.83</v>
      </c>
      <c r="K34">
        <v>540</v>
      </c>
      <c r="L34">
        <v>1.4346000000000001</v>
      </c>
      <c r="M34">
        <v>1889.74</v>
      </c>
      <c r="N34">
        <v>11</v>
      </c>
      <c r="O34">
        <v>1.1818299999999999</v>
      </c>
      <c r="P34">
        <v>2696.95</v>
      </c>
    </row>
    <row r="35" spans="1:16">
      <c r="A35">
        <v>30</v>
      </c>
      <c r="B35">
        <v>101798</v>
      </c>
      <c r="C35">
        <v>1.0487299999999999</v>
      </c>
      <c r="D35">
        <v>635.71</v>
      </c>
      <c r="E35">
        <v>15</v>
      </c>
      <c r="F35">
        <v>1.08562</v>
      </c>
      <c r="G35">
        <v>1341.89</v>
      </c>
      <c r="H35">
        <v>9</v>
      </c>
      <c r="I35">
        <v>1.0581100000000001</v>
      </c>
      <c r="J35">
        <v>1681.32</v>
      </c>
      <c r="K35">
        <v>38</v>
      </c>
      <c r="L35">
        <v>1.0855999999999999</v>
      </c>
      <c r="M35">
        <v>1942.94</v>
      </c>
      <c r="N35">
        <v>6</v>
      </c>
      <c r="O35">
        <v>1</v>
      </c>
      <c r="P35">
        <v>2338.04</v>
      </c>
    </row>
    <row r="36" spans="1:16">
      <c r="A36">
        <v>31</v>
      </c>
      <c r="B36">
        <v>96832</v>
      </c>
      <c r="C36">
        <v>1.2398800000000001</v>
      </c>
      <c r="D36">
        <v>655.87</v>
      </c>
      <c r="E36">
        <v>13</v>
      </c>
      <c r="F36">
        <v>1.4674499999999999</v>
      </c>
      <c r="G36">
        <v>1325.68</v>
      </c>
      <c r="H36">
        <v>7</v>
      </c>
      <c r="I36">
        <v>1.0186900000000001</v>
      </c>
      <c r="J36">
        <v>1760.18</v>
      </c>
      <c r="K36">
        <v>405</v>
      </c>
      <c r="L36">
        <v>1.46454</v>
      </c>
      <c r="M36">
        <v>1927.26</v>
      </c>
      <c r="N36">
        <v>6</v>
      </c>
      <c r="O36">
        <v>1.39998</v>
      </c>
      <c r="P36">
        <v>2705.03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107450</v>
      </c>
      <c r="C40" s="1">
        <f t="shared" ref="C40:P40" si="0">MAX(C5:C36)</f>
        <v>1.68045</v>
      </c>
      <c r="D40" s="1">
        <f t="shared" si="0"/>
        <v>685.46</v>
      </c>
      <c r="E40" s="1">
        <f t="shared" si="0"/>
        <v>17</v>
      </c>
      <c r="F40" s="1">
        <f t="shared" si="0"/>
        <v>1.9999100000000001</v>
      </c>
      <c r="G40" s="1">
        <f t="shared" si="0"/>
        <v>2211.9</v>
      </c>
      <c r="H40" s="1">
        <f t="shared" si="0"/>
        <v>11</v>
      </c>
      <c r="I40" s="1">
        <f t="shared" si="0"/>
        <v>1.4269499999999999</v>
      </c>
      <c r="J40" s="1">
        <f t="shared" si="0"/>
        <v>1771.45</v>
      </c>
      <c r="K40" s="1">
        <f t="shared" si="0"/>
        <v>729</v>
      </c>
      <c r="L40" s="1">
        <f t="shared" si="0"/>
        <v>1.99888</v>
      </c>
      <c r="M40" s="1">
        <f t="shared" si="0"/>
        <v>2187.96</v>
      </c>
      <c r="N40" s="1">
        <f t="shared" si="0"/>
        <v>16</v>
      </c>
      <c r="O40" s="1">
        <f t="shared" si="0"/>
        <v>1.6665399999999999</v>
      </c>
      <c r="P40" s="1">
        <f t="shared" si="0"/>
        <v>2873.33</v>
      </c>
    </row>
    <row r="41" spans="1:16">
      <c r="A41" t="s">
        <v>12</v>
      </c>
      <c r="B41" s="1">
        <f>MIN(B5:B36)</f>
        <v>89617</v>
      </c>
      <c r="C41" s="1">
        <f t="shared" ref="C41:P41" si="1">MIN(C5:C36)</f>
        <v>1.0146999999999999</v>
      </c>
      <c r="D41" s="1">
        <f t="shared" si="1"/>
        <v>605.88</v>
      </c>
      <c r="E41" s="1">
        <f t="shared" si="1"/>
        <v>9</v>
      </c>
      <c r="F41" s="1">
        <f t="shared" si="1"/>
        <v>1.00858</v>
      </c>
      <c r="G41" s="1">
        <f t="shared" si="1"/>
        <v>1206.06</v>
      </c>
      <c r="H41" s="1">
        <f t="shared" si="1"/>
        <v>6</v>
      </c>
      <c r="I41" s="1">
        <f t="shared" si="1"/>
        <v>1</v>
      </c>
      <c r="J41" s="1">
        <f t="shared" si="1"/>
        <v>1627.3</v>
      </c>
      <c r="K41" s="1">
        <f t="shared" si="1"/>
        <v>24</v>
      </c>
      <c r="L41" s="1">
        <f t="shared" si="1"/>
        <v>1.0083</v>
      </c>
      <c r="M41" s="1">
        <f t="shared" si="1"/>
        <v>1843.36</v>
      </c>
      <c r="N41" s="1">
        <f t="shared" si="1"/>
        <v>6</v>
      </c>
      <c r="O41" s="1">
        <f t="shared" si="1"/>
        <v>1</v>
      </c>
      <c r="P41" s="1">
        <f t="shared" si="1"/>
        <v>2226.54</v>
      </c>
    </row>
    <row r="42" spans="1:16">
      <c r="A42" t="s">
        <v>13</v>
      </c>
      <c r="B42" s="1">
        <f>MEDIAN(B5:B36)</f>
        <v>98718</v>
      </c>
      <c r="C42" s="1">
        <f t="shared" ref="C42:P42" si="2">MEDIAN(C5:C36)</f>
        <v>1.2451050000000001</v>
      </c>
      <c r="D42" s="1">
        <f t="shared" si="2"/>
        <v>643.45500000000004</v>
      </c>
      <c r="E42" s="1">
        <f t="shared" si="2"/>
        <v>13</v>
      </c>
      <c r="F42" s="1">
        <f t="shared" si="2"/>
        <v>1.0662199999999999</v>
      </c>
      <c r="G42" s="1">
        <f t="shared" si="2"/>
        <v>1357.175</v>
      </c>
      <c r="H42" s="1">
        <f t="shared" si="2"/>
        <v>7</v>
      </c>
      <c r="I42" s="1">
        <f t="shared" si="2"/>
        <v>1.0186900000000001</v>
      </c>
      <c r="J42" s="1">
        <f t="shared" si="2"/>
        <v>1676.5050000000001</v>
      </c>
      <c r="K42" s="1">
        <f t="shared" si="2"/>
        <v>398.5</v>
      </c>
      <c r="L42" s="1">
        <f t="shared" si="2"/>
        <v>1.064255</v>
      </c>
      <c r="M42" s="1">
        <f t="shared" si="2"/>
        <v>1984.8150000000001</v>
      </c>
      <c r="N42" s="1">
        <f t="shared" si="2"/>
        <v>10</v>
      </c>
      <c r="O42" s="1">
        <f t="shared" si="2"/>
        <v>1.00003</v>
      </c>
      <c r="P42" s="1">
        <f t="shared" si="2"/>
        <v>2693.27</v>
      </c>
    </row>
    <row r="43" spans="1:16">
      <c r="A43" t="s">
        <v>14</v>
      </c>
      <c r="B43" s="1">
        <f>AVERAGE(B5:B36)</f>
        <v>97868.15625</v>
      </c>
      <c r="C43" s="1">
        <f t="shared" ref="C43:P43" si="3">AVERAGE(C5:C36)</f>
        <v>1.3200287499999999</v>
      </c>
      <c r="D43" s="1">
        <f t="shared" si="3"/>
        <v>642.97124999999983</v>
      </c>
      <c r="E43" s="1">
        <f t="shared" si="3"/>
        <v>12.75</v>
      </c>
      <c r="F43" s="1">
        <f t="shared" si="3"/>
        <v>1.2566937499999999</v>
      </c>
      <c r="G43" s="1">
        <f t="shared" si="3"/>
        <v>1361.6481249999999</v>
      </c>
      <c r="H43" s="1">
        <f t="shared" si="3"/>
        <v>7.09375</v>
      </c>
      <c r="I43" s="1">
        <f t="shared" si="3"/>
        <v>1.0797565624999999</v>
      </c>
      <c r="J43" s="1">
        <f t="shared" si="3"/>
        <v>1688.5181250000003</v>
      </c>
      <c r="K43" s="1">
        <f t="shared" si="3"/>
        <v>323.3125</v>
      </c>
      <c r="L43" s="1">
        <f t="shared" si="3"/>
        <v>1.2537609374999998</v>
      </c>
      <c r="M43" s="1">
        <f t="shared" si="3"/>
        <v>2005.0268750000002</v>
      </c>
      <c r="N43" s="1">
        <f t="shared" si="3"/>
        <v>8.875</v>
      </c>
      <c r="O43" s="1">
        <f t="shared" si="3"/>
        <v>1.142415</v>
      </c>
      <c r="P43" s="1">
        <f t="shared" si="3"/>
        <v>2593.1881249999992</v>
      </c>
    </row>
    <row r="44" spans="1:16">
      <c r="A44" t="s">
        <v>15</v>
      </c>
      <c r="B44" s="1">
        <f>STDEV(B5:B36)</f>
        <v>5649.8606155195002</v>
      </c>
      <c r="C44" s="1">
        <f t="shared" ref="C44:P44" si="4">STDEV(C5:C36)</f>
        <v>0.25436768124685705</v>
      </c>
      <c r="D44" s="1">
        <f t="shared" si="4"/>
        <v>20.07351195625878</v>
      </c>
      <c r="E44" s="1">
        <f t="shared" si="4"/>
        <v>1.6848470783484639</v>
      </c>
      <c r="F44" s="1">
        <f t="shared" si="4"/>
        <v>0.32769576928126304</v>
      </c>
      <c r="G44" s="1">
        <f t="shared" si="4"/>
        <v>166.84625152512243</v>
      </c>
      <c r="H44" s="1">
        <f t="shared" si="4"/>
        <v>1.3285785515888533</v>
      </c>
      <c r="I44" s="1">
        <f t="shared" si="4"/>
        <v>0.1378865800766064</v>
      </c>
      <c r="J44" s="1">
        <f t="shared" si="4"/>
        <v>40.612975317168093</v>
      </c>
      <c r="K44" s="1">
        <f t="shared" si="4"/>
        <v>204.01524887663066</v>
      </c>
      <c r="L44" s="1">
        <f t="shared" si="4"/>
        <v>0.32347410085646666</v>
      </c>
      <c r="M44" s="1">
        <f t="shared" si="4"/>
        <v>78.571088725228591</v>
      </c>
      <c r="N44" s="1">
        <f t="shared" si="4"/>
        <v>2.7444959581890678</v>
      </c>
      <c r="O44" s="1">
        <f t="shared" si="4"/>
        <v>0.23045141644593017</v>
      </c>
      <c r="P44" s="1">
        <f t="shared" si="4"/>
        <v>224.989771142938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64A5E-CFC5-8B49-BC2B-6BDCB6C9A94A}">
  <sheetPr codeName="Sheet12"/>
  <dimension ref="A1:P44"/>
  <sheetViews>
    <sheetView topLeftCell="A28" workbookViewId="0">
      <selection activeCell="A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708590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271344</v>
      </c>
      <c r="C5">
        <v>1.5935699999999999</v>
      </c>
      <c r="D5">
        <v>5995.66</v>
      </c>
      <c r="E5">
        <v>11</v>
      </c>
      <c r="F5">
        <v>1.99997</v>
      </c>
      <c r="G5">
        <v>5830.25</v>
      </c>
      <c r="H5">
        <v>8</v>
      </c>
      <c r="I5">
        <v>1.37459</v>
      </c>
      <c r="J5">
        <v>7847.56</v>
      </c>
      <c r="K5">
        <v>106</v>
      </c>
      <c r="L5">
        <v>1.99952</v>
      </c>
      <c r="M5">
        <v>8479.41</v>
      </c>
      <c r="N5">
        <v>12</v>
      </c>
      <c r="O5">
        <v>1.40001</v>
      </c>
      <c r="P5">
        <v>10702.53</v>
      </c>
    </row>
    <row r="6" spans="1:16">
      <c r="A6">
        <v>1</v>
      </c>
      <c r="B6">
        <v>305292</v>
      </c>
      <c r="C6">
        <v>1.24129</v>
      </c>
      <c r="D6">
        <v>2657.99</v>
      </c>
      <c r="E6">
        <v>9</v>
      </c>
      <c r="F6">
        <v>1.99997</v>
      </c>
      <c r="G6">
        <v>5494.91</v>
      </c>
      <c r="H6">
        <v>7</v>
      </c>
      <c r="I6">
        <v>1.42696</v>
      </c>
      <c r="J6">
        <v>7140.72</v>
      </c>
      <c r="K6">
        <v>1208</v>
      </c>
      <c r="L6">
        <v>1.9957800000000001</v>
      </c>
      <c r="M6">
        <v>6934.55</v>
      </c>
      <c r="N6">
        <v>6</v>
      </c>
      <c r="O6">
        <v>1</v>
      </c>
      <c r="P6">
        <v>10414.69</v>
      </c>
    </row>
    <row r="7" spans="1:16">
      <c r="A7">
        <v>2</v>
      </c>
      <c r="B7">
        <v>266806</v>
      </c>
      <c r="C7">
        <v>1.51213</v>
      </c>
      <c r="D7">
        <v>2393.23</v>
      </c>
      <c r="E7">
        <v>14</v>
      </c>
      <c r="F7">
        <v>1.4674700000000001</v>
      </c>
      <c r="G7">
        <v>6303.31</v>
      </c>
      <c r="H7">
        <v>7</v>
      </c>
      <c r="I7">
        <v>1.0186900000000001</v>
      </c>
      <c r="J7">
        <v>6062.33</v>
      </c>
      <c r="K7">
        <v>73</v>
      </c>
      <c r="L7">
        <v>1.4671400000000001</v>
      </c>
      <c r="M7">
        <v>8078.69</v>
      </c>
      <c r="N7">
        <v>6</v>
      </c>
      <c r="O7">
        <v>1.3999900000000001</v>
      </c>
      <c r="P7">
        <v>10536.37</v>
      </c>
    </row>
    <row r="8" spans="1:16">
      <c r="A8">
        <v>3</v>
      </c>
      <c r="B8">
        <v>271344</v>
      </c>
      <c r="C8">
        <v>1.5935699999999999</v>
      </c>
      <c r="D8">
        <v>3361.95</v>
      </c>
      <c r="E8">
        <v>15</v>
      </c>
      <c r="F8">
        <v>1.07504</v>
      </c>
      <c r="G8">
        <v>4820.83</v>
      </c>
      <c r="H8">
        <v>8</v>
      </c>
      <c r="I8">
        <v>1.0082599999999999</v>
      </c>
      <c r="J8">
        <v>6983.09</v>
      </c>
      <c r="K8">
        <v>284</v>
      </c>
      <c r="L8">
        <v>1.0749500000000001</v>
      </c>
      <c r="M8">
        <v>7182.55</v>
      </c>
      <c r="N8">
        <v>12</v>
      </c>
      <c r="O8">
        <v>1.0000199999999999</v>
      </c>
      <c r="P8">
        <v>10994.4</v>
      </c>
    </row>
    <row r="9" spans="1:16">
      <c r="A9">
        <v>4</v>
      </c>
      <c r="B9">
        <v>271740</v>
      </c>
      <c r="C9">
        <v>1.5919000000000001</v>
      </c>
      <c r="D9">
        <v>2544.92</v>
      </c>
      <c r="E9">
        <v>12</v>
      </c>
      <c r="F9">
        <v>1.4374899999999999</v>
      </c>
      <c r="G9">
        <v>5401.22</v>
      </c>
      <c r="H9">
        <v>6</v>
      </c>
      <c r="I9">
        <v>1</v>
      </c>
      <c r="J9">
        <v>5578.71</v>
      </c>
      <c r="K9">
        <v>14</v>
      </c>
      <c r="L9">
        <v>1.43747</v>
      </c>
      <c r="M9">
        <v>8208.3700000000008</v>
      </c>
      <c r="N9">
        <v>11</v>
      </c>
      <c r="O9">
        <v>1.1818200000000001</v>
      </c>
      <c r="P9">
        <v>11691.25</v>
      </c>
    </row>
    <row r="10" spans="1:16">
      <c r="A10">
        <v>5</v>
      </c>
      <c r="B10">
        <v>271740</v>
      </c>
      <c r="C10">
        <v>1.5919000000000001</v>
      </c>
      <c r="D10">
        <v>2944</v>
      </c>
      <c r="E10">
        <v>12</v>
      </c>
      <c r="F10">
        <v>1.4374899999999999</v>
      </c>
      <c r="G10">
        <v>6047.45</v>
      </c>
      <c r="H10">
        <v>6</v>
      </c>
      <c r="I10">
        <v>1.3999900000000001</v>
      </c>
      <c r="J10">
        <v>6803.49</v>
      </c>
      <c r="K10">
        <v>37</v>
      </c>
      <c r="L10">
        <v>1.43733</v>
      </c>
      <c r="M10">
        <v>7278.58</v>
      </c>
      <c r="N10">
        <v>11</v>
      </c>
      <c r="O10">
        <v>1.1818200000000001</v>
      </c>
      <c r="P10">
        <v>10702.09</v>
      </c>
    </row>
    <row r="11" spans="1:16">
      <c r="A11">
        <v>6</v>
      </c>
      <c r="B11">
        <v>271054</v>
      </c>
      <c r="C11">
        <v>1.52776</v>
      </c>
      <c r="D11">
        <v>2326.4299999999998</v>
      </c>
      <c r="E11">
        <v>18</v>
      </c>
      <c r="F11">
        <v>1.48353</v>
      </c>
      <c r="G11">
        <v>5880.18</v>
      </c>
      <c r="H11">
        <v>11</v>
      </c>
      <c r="I11">
        <v>1.00807</v>
      </c>
      <c r="J11">
        <v>5856.26</v>
      </c>
      <c r="K11">
        <v>623</v>
      </c>
      <c r="L11">
        <v>1.4826600000000001</v>
      </c>
      <c r="M11">
        <v>7998.21</v>
      </c>
      <c r="N11">
        <v>6</v>
      </c>
      <c r="O11">
        <v>1.3999900000000001</v>
      </c>
      <c r="P11">
        <v>11151.74</v>
      </c>
    </row>
    <row r="12" spans="1:16">
      <c r="A12">
        <v>7</v>
      </c>
      <c r="B12">
        <v>272830</v>
      </c>
      <c r="C12">
        <v>1.53281</v>
      </c>
      <c r="D12">
        <v>2346.1999999999998</v>
      </c>
      <c r="E12">
        <v>13</v>
      </c>
      <c r="F12">
        <v>1.02668</v>
      </c>
      <c r="G12">
        <v>4921.99</v>
      </c>
      <c r="H12">
        <v>7</v>
      </c>
      <c r="I12">
        <v>1.0006900000000001</v>
      </c>
      <c r="J12">
        <v>6937.35</v>
      </c>
      <c r="K12">
        <v>117</v>
      </c>
      <c r="L12">
        <v>1.0266999999999999</v>
      </c>
      <c r="M12">
        <v>6853.3</v>
      </c>
      <c r="N12">
        <v>12</v>
      </c>
      <c r="O12">
        <v>1.66662</v>
      </c>
      <c r="P12">
        <v>11162.21</v>
      </c>
    </row>
    <row r="13" spans="1:16">
      <c r="A13">
        <v>8</v>
      </c>
      <c r="B13">
        <v>271704</v>
      </c>
      <c r="C13">
        <v>1.59205</v>
      </c>
      <c r="D13">
        <v>2422.5500000000002</v>
      </c>
      <c r="E13">
        <v>12</v>
      </c>
      <c r="F13">
        <v>1.4374899999999999</v>
      </c>
      <c r="G13">
        <v>5946.87</v>
      </c>
      <c r="H13">
        <v>6</v>
      </c>
      <c r="I13">
        <v>1</v>
      </c>
      <c r="J13">
        <v>5734.46</v>
      </c>
      <c r="K13">
        <v>141</v>
      </c>
      <c r="L13">
        <v>1.43682</v>
      </c>
      <c r="M13">
        <v>8453.75</v>
      </c>
      <c r="N13">
        <v>11</v>
      </c>
      <c r="O13">
        <v>1.1818200000000001</v>
      </c>
      <c r="P13">
        <v>10601.78</v>
      </c>
    </row>
    <row r="14" spans="1:16">
      <c r="A14">
        <v>9</v>
      </c>
      <c r="B14">
        <v>271740</v>
      </c>
      <c r="C14">
        <v>1.5919000000000001</v>
      </c>
      <c r="D14">
        <v>2398.4</v>
      </c>
      <c r="E14">
        <v>12</v>
      </c>
      <c r="F14">
        <v>1.4374899999999999</v>
      </c>
      <c r="G14">
        <v>5134.1899999999996</v>
      </c>
      <c r="H14">
        <v>6</v>
      </c>
      <c r="I14">
        <v>1.3999900000000001</v>
      </c>
      <c r="J14">
        <v>9447.4599999999991</v>
      </c>
      <c r="K14">
        <v>14</v>
      </c>
      <c r="L14">
        <v>1.43747</v>
      </c>
      <c r="M14">
        <v>6556.05</v>
      </c>
      <c r="N14">
        <v>11</v>
      </c>
      <c r="O14">
        <v>1.1818200000000001</v>
      </c>
      <c r="P14">
        <v>10856.26</v>
      </c>
    </row>
    <row r="15" spans="1:16">
      <c r="A15">
        <v>10</v>
      </c>
      <c r="B15">
        <v>271704</v>
      </c>
      <c r="C15">
        <v>1.59205</v>
      </c>
      <c r="D15">
        <v>2482.0100000000002</v>
      </c>
      <c r="E15">
        <v>13</v>
      </c>
      <c r="F15">
        <v>1.0662199999999999</v>
      </c>
      <c r="G15">
        <v>5934.02</v>
      </c>
      <c r="H15">
        <v>6</v>
      </c>
      <c r="I15">
        <v>1</v>
      </c>
      <c r="J15">
        <v>5772.01</v>
      </c>
      <c r="K15">
        <v>141</v>
      </c>
      <c r="L15">
        <v>1.0657799999999999</v>
      </c>
      <c r="M15">
        <v>8453.81</v>
      </c>
      <c r="N15">
        <v>10</v>
      </c>
      <c r="O15">
        <v>1.0000100000000001</v>
      </c>
      <c r="P15">
        <v>11441.74</v>
      </c>
    </row>
    <row r="16" spans="1:16">
      <c r="A16">
        <v>11</v>
      </c>
      <c r="B16">
        <v>271740</v>
      </c>
      <c r="C16">
        <v>1.5919000000000001</v>
      </c>
      <c r="D16">
        <v>2489</v>
      </c>
      <c r="E16">
        <v>7</v>
      </c>
      <c r="F16">
        <v>1.99997</v>
      </c>
      <c r="G16">
        <v>4474.07</v>
      </c>
      <c r="H16">
        <v>6</v>
      </c>
      <c r="I16">
        <v>1.3999900000000001</v>
      </c>
      <c r="J16">
        <v>6697.99</v>
      </c>
      <c r="K16">
        <v>12</v>
      </c>
      <c r="L16">
        <v>1.9999400000000001</v>
      </c>
      <c r="M16">
        <v>6521.5</v>
      </c>
      <c r="N16">
        <v>10</v>
      </c>
      <c r="O16">
        <v>1.4</v>
      </c>
      <c r="P16">
        <v>10391.200000000001</v>
      </c>
    </row>
    <row r="17" spans="1:16">
      <c r="A17">
        <v>12</v>
      </c>
      <c r="B17">
        <v>308948</v>
      </c>
      <c r="C17">
        <v>1.3519099999999999</v>
      </c>
      <c r="D17">
        <v>2446.39</v>
      </c>
      <c r="E17">
        <v>16</v>
      </c>
      <c r="F17">
        <v>1.00745</v>
      </c>
      <c r="G17">
        <v>5650.11</v>
      </c>
      <c r="H17">
        <v>10</v>
      </c>
      <c r="I17">
        <v>1.0183800000000001</v>
      </c>
      <c r="J17">
        <v>5678.38</v>
      </c>
      <c r="K17">
        <v>71</v>
      </c>
      <c r="L17">
        <v>1.00746</v>
      </c>
      <c r="M17">
        <v>8216.52</v>
      </c>
      <c r="N17">
        <v>12</v>
      </c>
      <c r="O17">
        <v>1.0000199999999999</v>
      </c>
      <c r="P17">
        <v>11596.66</v>
      </c>
    </row>
    <row r="18" spans="1:16">
      <c r="A18">
        <v>13</v>
      </c>
      <c r="B18">
        <v>309308</v>
      </c>
      <c r="C18">
        <v>1.3507800000000001</v>
      </c>
      <c r="D18">
        <v>2448.94</v>
      </c>
      <c r="E18">
        <v>14</v>
      </c>
      <c r="F18">
        <v>1.0322499999999999</v>
      </c>
      <c r="G18">
        <v>6139.33</v>
      </c>
      <c r="H18">
        <v>8</v>
      </c>
      <c r="I18">
        <v>1.0061199999999999</v>
      </c>
      <c r="J18">
        <v>5769.48</v>
      </c>
      <c r="K18">
        <v>35</v>
      </c>
      <c r="L18">
        <v>1.0322199999999999</v>
      </c>
      <c r="M18">
        <v>8352.44</v>
      </c>
      <c r="N18">
        <v>10</v>
      </c>
      <c r="O18">
        <v>1.0000100000000001</v>
      </c>
      <c r="P18">
        <v>9770.06</v>
      </c>
    </row>
    <row r="19" spans="1:16">
      <c r="A19">
        <v>14</v>
      </c>
      <c r="B19">
        <v>293118</v>
      </c>
      <c r="C19">
        <v>1.1597200000000001</v>
      </c>
      <c r="D19">
        <v>2443.04</v>
      </c>
      <c r="E19">
        <v>13</v>
      </c>
      <c r="F19">
        <v>1.08463</v>
      </c>
      <c r="G19">
        <v>10168.48</v>
      </c>
      <c r="H19">
        <v>7</v>
      </c>
      <c r="I19">
        <v>1.05714</v>
      </c>
      <c r="J19">
        <v>5553</v>
      </c>
      <c r="K19">
        <v>551</v>
      </c>
      <c r="L19">
        <v>1.08287</v>
      </c>
      <c r="M19">
        <v>8301.6299999999992</v>
      </c>
      <c r="N19">
        <v>6</v>
      </c>
      <c r="O19">
        <v>1</v>
      </c>
      <c r="P19">
        <v>10005.030000000001</v>
      </c>
    </row>
    <row r="20" spans="1:16">
      <c r="A20">
        <v>15</v>
      </c>
      <c r="B20">
        <v>293478</v>
      </c>
      <c r="C20">
        <v>1.1605000000000001</v>
      </c>
      <c r="D20">
        <v>2436.62</v>
      </c>
      <c r="E20">
        <v>15</v>
      </c>
      <c r="F20">
        <v>1.0331999999999999</v>
      </c>
      <c r="G20">
        <v>6100.98</v>
      </c>
      <c r="H20">
        <v>9</v>
      </c>
      <c r="I20">
        <v>1.0600499999999999</v>
      </c>
      <c r="J20">
        <v>5913.89</v>
      </c>
      <c r="K20">
        <v>552</v>
      </c>
      <c r="L20">
        <v>1.0320400000000001</v>
      </c>
      <c r="M20">
        <v>8693.75</v>
      </c>
      <c r="N20">
        <v>6</v>
      </c>
      <c r="O20">
        <v>1</v>
      </c>
      <c r="P20">
        <v>10064.84</v>
      </c>
    </row>
    <row r="21" spans="1:16">
      <c r="A21">
        <v>16</v>
      </c>
      <c r="B21">
        <v>269220</v>
      </c>
      <c r="C21">
        <v>1.6025799999999999</v>
      </c>
      <c r="D21">
        <v>2411.4299999999998</v>
      </c>
      <c r="E21">
        <v>18</v>
      </c>
      <c r="F21">
        <v>1.0935699999999999</v>
      </c>
      <c r="G21">
        <v>6484.34</v>
      </c>
      <c r="H21">
        <v>12</v>
      </c>
      <c r="I21">
        <v>1.06585</v>
      </c>
      <c r="J21">
        <v>5777.68</v>
      </c>
      <c r="K21">
        <v>579</v>
      </c>
      <c r="L21">
        <v>1.09352</v>
      </c>
      <c r="M21">
        <v>8279.81</v>
      </c>
      <c r="N21">
        <v>17</v>
      </c>
      <c r="O21">
        <v>1.00003</v>
      </c>
      <c r="P21">
        <v>9776.74</v>
      </c>
    </row>
    <row r="22" spans="1:16">
      <c r="A22">
        <v>17</v>
      </c>
      <c r="B22">
        <v>271344</v>
      </c>
      <c r="C22">
        <v>1.5935699999999999</v>
      </c>
      <c r="D22">
        <v>3382.08</v>
      </c>
      <c r="E22">
        <v>11</v>
      </c>
      <c r="F22">
        <v>1.99997</v>
      </c>
      <c r="G22">
        <v>4463.5200000000004</v>
      </c>
      <c r="H22">
        <v>8</v>
      </c>
      <c r="I22">
        <v>1.37459</v>
      </c>
      <c r="J22">
        <v>5995.05</v>
      </c>
      <c r="K22">
        <v>282</v>
      </c>
      <c r="L22">
        <v>1.99871</v>
      </c>
      <c r="M22">
        <v>13225.18</v>
      </c>
      <c r="N22">
        <v>12</v>
      </c>
      <c r="O22">
        <v>1.40001</v>
      </c>
      <c r="P22">
        <v>9052.4</v>
      </c>
    </row>
    <row r="23" spans="1:16">
      <c r="A23">
        <v>18</v>
      </c>
      <c r="B23">
        <v>309344</v>
      </c>
      <c r="C23">
        <v>1.35067</v>
      </c>
      <c r="D23">
        <v>2461.1799999999998</v>
      </c>
      <c r="E23">
        <v>12</v>
      </c>
      <c r="F23">
        <v>1.02597</v>
      </c>
      <c r="G23">
        <v>5461.77</v>
      </c>
      <c r="H23">
        <v>6</v>
      </c>
      <c r="I23">
        <v>1</v>
      </c>
      <c r="J23">
        <v>5580.49</v>
      </c>
      <c r="K23">
        <v>17</v>
      </c>
      <c r="L23">
        <v>1.0259499999999999</v>
      </c>
      <c r="M23">
        <v>8330.2800000000007</v>
      </c>
      <c r="N23">
        <v>8</v>
      </c>
      <c r="O23">
        <v>1.0000100000000001</v>
      </c>
      <c r="P23">
        <v>9764.52</v>
      </c>
    </row>
    <row r="24" spans="1:16">
      <c r="A24">
        <v>19</v>
      </c>
      <c r="B24">
        <v>308948</v>
      </c>
      <c r="C24">
        <v>1.3519099999999999</v>
      </c>
      <c r="D24">
        <v>3503</v>
      </c>
      <c r="E24">
        <v>12</v>
      </c>
      <c r="F24">
        <v>1.02597</v>
      </c>
      <c r="G24">
        <v>4676.42</v>
      </c>
      <c r="H24">
        <v>6</v>
      </c>
      <c r="I24">
        <v>1</v>
      </c>
      <c r="J24">
        <v>5536.04</v>
      </c>
      <c r="K24">
        <v>214</v>
      </c>
      <c r="L24">
        <v>1.0253399999999999</v>
      </c>
      <c r="M24">
        <v>7990.1</v>
      </c>
      <c r="N24">
        <v>8</v>
      </c>
      <c r="O24">
        <v>1.0000100000000001</v>
      </c>
      <c r="P24">
        <v>9753.0300000000007</v>
      </c>
    </row>
    <row r="25" spans="1:16">
      <c r="A25">
        <v>20</v>
      </c>
      <c r="B25">
        <v>266770</v>
      </c>
      <c r="C25">
        <v>1.5120400000000001</v>
      </c>
      <c r="D25">
        <v>3311.2</v>
      </c>
      <c r="E25">
        <v>16</v>
      </c>
      <c r="F25">
        <v>1.09283</v>
      </c>
      <c r="G25">
        <v>4870.45</v>
      </c>
      <c r="H25">
        <v>9</v>
      </c>
      <c r="I25">
        <v>1.0249200000000001</v>
      </c>
      <c r="J25">
        <v>5563</v>
      </c>
      <c r="K25">
        <v>39</v>
      </c>
      <c r="L25">
        <v>1.0927800000000001</v>
      </c>
      <c r="M25">
        <v>7710.15</v>
      </c>
      <c r="N25">
        <v>14</v>
      </c>
      <c r="O25">
        <v>1.6666099999999999</v>
      </c>
      <c r="P25">
        <v>10967.44</v>
      </c>
    </row>
    <row r="26" spans="1:16">
      <c r="A26">
        <v>21</v>
      </c>
      <c r="B26">
        <v>269220</v>
      </c>
      <c r="C26">
        <v>1.6025799999999999</v>
      </c>
      <c r="D26">
        <v>2386.2399999999998</v>
      </c>
      <c r="E26">
        <v>14</v>
      </c>
      <c r="F26">
        <v>1.00095</v>
      </c>
      <c r="G26">
        <v>4672.04</v>
      </c>
      <c r="H26">
        <v>8</v>
      </c>
      <c r="I26">
        <v>1.0249999999999999</v>
      </c>
      <c r="J26">
        <v>6538.85</v>
      </c>
      <c r="K26">
        <v>397</v>
      </c>
      <c r="L26">
        <v>1.0005599999999999</v>
      </c>
      <c r="M26">
        <v>7102.74</v>
      </c>
      <c r="N26">
        <v>13</v>
      </c>
      <c r="O26">
        <v>1.0000100000000001</v>
      </c>
      <c r="P26">
        <v>11142.59</v>
      </c>
    </row>
    <row r="27" spans="1:16">
      <c r="A27">
        <v>22</v>
      </c>
      <c r="B27">
        <v>309540</v>
      </c>
      <c r="C27">
        <v>1.25427</v>
      </c>
      <c r="D27">
        <v>2443.9499999999998</v>
      </c>
      <c r="E27">
        <v>13</v>
      </c>
      <c r="F27">
        <v>1.42835</v>
      </c>
      <c r="G27">
        <v>5463.95</v>
      </c>
      <c r="H27">
        <v>7</v>
      </c>
      <c r="I27">
        <v>1.39114</v>
      </c>
      <c r="J27">
        <v>5373.21</v>
      </c>
      <c r="K27">
        <v>828</v>
      </c>
      <c r="L27">
        <v>1.4253899999999999</v>
      </c>
      <c r="M27">
        <v>6441.99</v>
      </c>
      <c r="N27">
        <v>6</v>
      </c>
      <c r="O27">
        <v>1</v>
      </c>
      <c r="P27">
        <v>8837.98</v>
      </c>
    </row>
    <row r="28" spans="1:16">
      <c r="A28">
        <v>23</v>
      </c>
      <c r="B28">
        <v>271704</v>
      </c>
      <c r="C28">
        <v>1.59205</v>
      </c>
      <c r="D28">
        <v>2367.1</v>
      </c>
      <c r="E28">
        <v>12</v>
      </c>
      <c r="F28">
        <v>1.4374899999999999</v>
      </c>
      <c r="G28">
        <v>6198.04</v>
      </c>
      <c r="H28">
        <v>6</v>
      </c>
      <c r="I28">
        <v>1</v>
      </c>
      <c r="J28">
        <v>5576.13</v>
      </c>
      <c r="K28">
        <v>71</v>
      </c>
      <c r="L28">
        <v>1.43716</v>
      </c>
      <c r="M28">
        <v>8251.7099999999991</v>
      </c>
      <c r="N28">
        <v>11</v>
      </c>
      <c r="O28">
        <v>1.1818200000000001</v>
      </c>
      <c r="P28">
        <v>11440.93</v>
      </c>
    </row>
    <row r="29" spans="1:16">
      <c r="A29">
        <v>24</v>
      </c>
      <c r="B29">
        <v>293514</v>
      </c>
      <c r="C29">
        <v>1.1605700000000001</v>
      </c>
      <c r="D29">
        <v>2380.73</v>
      </c>
      <c r="E29">
        <v>13</v>
      </c>
      <c r="F29">
        <v>1.08463</v>
      </c>
      <c r="G29">
        <v>4970.72</v>
      </c>
      <c r="H29">
        <v>7</v>
      </c>
      <c r="I29">
        <v>1.05714</v>
      </c>
      <c r="J29">
        <v>6655.57</v>
      </c>
      <c r="K29">
        <v>456</v>
      </c>
      <c r="L29">
        <v>1.08321</v>
      </c>
      <c r="M29">
        <v>7194.62</v>
      </c>
      <c r="N29">
        <v>6</v>
      </c>
      <c r="O29">
        <v>1</v>
      </c>
      <c r="P29">
        <v>9286.07</v>
      </c>
    </row>
    <row r="30" spans="1:16">
      <c r="A30">
        <v>25</v>
      </c>
      <c r="B30">
        <v>305292</v>
      </c>
      <c r="C30">
        <v>1.24129</v>
      </c>
      <c r="D30">
        <v>2445.2399999999998</v>
      </c>
      <c r="E30">
        <v>15</v>
      </c>
      <c r="F30">
        <v>1.4069700000000001</v>
      </c>
      <c r="G30">
        <v>5603.94</v>
      </c>
      <c r="H30">
        <v>9</v>
      </c>
      <c r="I30">
        <v>1.3704000000000001</v>
      </c>
      <c r="J30">
        <v>5545.99</v>
      </c>
      <c r="K30">
        <v>503</v>
      </c>
      <c r="L30">
        <v>1.4047099999999999</v>
      </c>
      <c r="M30">
        <v>8284.58</v>
      </c>
      <c r="N30">
        <v>6</v>
      </c>
      <c r="O30">
        <v>1</v>
      </c>
      <c r="P30">
        <v>9900.06</v>
      </c>
    </row>
    <row r="31" spans="1:16">
      <c r="A31">
        <v>26</v>
      </c>
      <c r="B31">
        <v>271740</v>
      </c>
      <c r="C31">
        <v>1.5919000000000001</v>
      </c>
      <c r="D31">
        <v>2331.61</v>
      </c>
      <c r="E31">
        <v>12</v>
      </c>
      <c r="F31">
        <v>1.4374899999999999</v>
      </c>
      <c r="G31">
        <v>6064.84</v>
      </c>
      <c r="H31">
        <v>6</v>
      </c>
      <c r="I31">
        <v>1</v>
      </c>
      <c r="J31">
        <v>5701.38</v>
      </c>
      <c r="K31">
        <v>37</v>
      </c>
      <c r="L31">
        <v>1.43733</v>
      </c>
      <c r="M31">
        <v>8145.6</v>
      </c>
      <c r="N31">
        <v>11</v>
      </c>
      <c r="O31">
        <v>1.1818200000000001</v>
      </c>
      <c r="P31">
        <v>9505.2900000000009</v>
      </c>
    </row>
    <row r="32" spans="1:16">
      <c r="A32">
        <v>27</v>
      </c>
      <c r="B32">
        <v>269220</v>
      </c>
      <c r="C32">
        <v>1.6025799999999999</v>
      </c>
      <c r="D32">
        <v>2398.21</v>
      </c>
      <c r="E32">
        <v>15</v>
      </c>
      <c r="F32">
        <v>1.45811</v>
      </c>
      <c r="G32">
        <v>5227.25</v>
      </c>
      <c r="H32">
        <v>8</v>
      </c>
      <c r="I32">
        <v>1.0249999999999999</v>
      </c>
      <c r="J32">
        <v>5727.69</v>
      </c>
      <c r="K32">
        <v>398</v>
      </c>
      <c r="L32">
        <v>1.45722</v>
      </c>
      <c r="M32">
        <v>8198.41</v>
      </c>
      <c r="N32">
        <v>12</v>
      </c>
      <c r="O32">
        <v>1.1818299999999999</v>
      </c>
      <c r="P32">
        <v>10853.66</v>
      </c>
    </row>
    <row r="33" spans="1:16">
      <c r="A33">
        <v>28</v>
      </c>
      <c r="B33">
        <v>271344</v>
      </c>
      <c r="C33">
        <v>1.5935699999999999</v>
      </c>
      <c r="D33">
        <v>2385.13</v>
      </c>
      <c r="E33">
        <v>13</v>
      </c>
      <c r="F33">
        <v>1.0662199999999999</v>
      </c>
      <c r="G33">
        <v>4735.5200000000004</v>
      </c>
      <c r="H33">
        <v>6</v>
      </c>
      <c r="I33">
        <v>1</v>
      </c>
      <c r="J33">
        <v>7047.64</v>
      </c>
      <c r="K33">
        <v>120</v>
      </c>
      <c r="L33">
        <v>1.0658700000000001</v>
      </c>
      <c r="M33">
        <v>6959.22</v>
      </c>
      <c r="N33">
        <v>10</v>
      </c>
      <c r="O33">
        <v>1.0000100000000001</v>
      </c>
      <c r="P33">
        <v>10975.03</v>
      </c>
    </row>
    <row r="34" spans="1:16">
      <c r="A34">
        <v>29</v>
      </c>
      <c r="B34">
        <v>271740</v>
      </c>
      <c r="C34">
        <v>1.5919000000000001</v>
      </c>
      <c r="D34">
        <v>2491.2600000000002</v>
      </c>
      <c r="E34">
        <v>13</v>
      </c>
      <c r="F34">
        <v>1.0662199999999999</v>
      </c>
      <c r="G34">
        <v>5618.16</v>
      </c>
      <c r="H34">
        <v>6</v>
      </c>
      <c r="I34">
        <v>1</v>
      </c>
      <c r="J34">
        <v>5657.1</v>
      </c>
      <c r="K34">
        <v>38</v>
      </c>
      <c r="L34">
        <v>1.06612</v>
      </c>
      <c r="M34">
        <v>8268.15</v>
      </c>
      <c r="N34">
        <v>10</v>
      </c>
      <c r="O34">
        <v>1.0000100000000001</v>
      </c>
      <c r="P34">
        <v>11475.2</v>
      </c>
    </row>
    <row r="35" spans="1:16">
      <c r="A35">
        <v>30</v>
      </c>
      <c r="B35">
        <v>305256</v>
      </c>
      <c r="C35">
        <v>1.2412099999999999</v>
      </c>
      <c r="D35">
        <v>2466.84</v>
      </c>
      <c r="E35">
        <v>13</v>
      </c>
      <c r="F35">
        <v>1.99996</v>
      </c>
      <c r="G35">
        <v>5689.56</v>
      </c>
      <c r="H35">
        <v>9</v>
      </c>
      <c r="I35">
        <v>1.4129</v>
      </c>
      <c r="J35">
        <v>6037.9</v>
      </c>
      <c r="K35">
        <v>572</v>
      </c>
      <c r="L35">
        <v>1.99847</v>
      </c>
      <c r="M35">
        <v>8082.69</v>
      </c>
      <c r="N35">
        <v>6</v>
      </c>
      <c r="O35">
        <v>1</v>
      </c>
      <c r="P35">
        <v>9756.34</v>
      </c>
    </row>
    <row r="36" spans="1:16">
      <c r="A36">
        <v>31</v>
      </c>
      <c r="B36">
        <v>266806</v>
      </c>
      <c r="C36">
        <v>1.51213</v>
      </c>
      <c r="D36">
        <v>2415.92</v>
      </c>
      <c r="E36">
        <v>14</v>
      </c>
      <c r="F36">
        <v>1.4674700000000001</v>
      </c>
      <c r="G36">
        <v>5907.9</v>
      </c>
      <c r="H36">
        <v>7</v>
      </c>
      <c r="I36">
        <v>1.0186900000000001</v>
      </c>
      <c r="J36">
        <v>5835.34</v>
      </c>
      <c r="K36">
        <v>39</v>
      </c>
      <c r="L36">
        <v>1.4673099999999999</v>
      </c>
      <c r="M36">
        <v>8788.92</v>
      </c>
      <c r="N36">
        <v>6</v>
      </c>
      <c r="O36">
        <v>1.3999900000000001</v>
      </c>
      <c r="P36">
        <v>11014.77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309540</v>
      </c>
      <c r="C40" s="1">
        <f t="shared" ref="C40:P40" si="0">MAX(C5:C36)</f>
        <v>1.6025799999999999</v>
      </c>
      <c r="D40" s="1">
        <f t="shared" si="0"/>
        <v>5995.66</v>
      </c>
      <c r="E40" s="1">
        <f t="shared" si="0"/>
        <v>18</v>
      </c>
      <c r="F40" s="1">
        <f t="shared" si="0"/>
        <v>1.99997</v>
      </c>
      <c r="G40" s="1">
        <f t="shared" si="0"/>
        <v>10168.48</v>
      </c>
      <c r="H40" s="1">
        <f t="shared" si="0"/>
        <v>12</v>
      </c>
      <c r="I40" s="1">
        <f t="shared" si="0"/>
        <v>1.42696</v>
      </c>
      <c r="J40" s="1">
        <f t="shared" si="0"/>
        <v>9447.4599999999991</v>
      </c>
      <c r="K40" s="1">
        <f t="shared" si="0"/>
        <v>1208</v>
      </c>
      <c r="L40" s="1">
        <f t="shared" si="0"/>
        <v>1.9999400000000001</v>
      </c>
      <c r="M40" s="1">
        <f t="shared" si="0"/>
        <v>13225.18</v>
      </c>
      <c r="N40" s="1">
        <f t="shared" si="0"/>
        <v>17</v>
      </c>
      <c r="O40" s="1">
        <f t="shared" si="0"/>
        <v>1.66662</v>
      </c>
      <c r="P40" s="1">
        <f t="shared" si="0"/>
        <v>11691.25</v>
      </c>
    </row>
    <row r="41" spans="1:16">
      <c r="A41" t="s">
        <v>12</v>
      </c>
      <c r="B41" s="1">
        <f>MIN(B5:B36)</f>
        <v>266770</v>
      </c>
      <c r="C41" s="1">
        <f t="shared" ref="C41:P41" si="1">MIN(C5:C36)</f>
        <v>1.1597200000000001</v>
      </c>
      <c r="D41" s="1">
        <f t="shared" si="1"/>
        <v>2326.4299999999998</v>
      </c>
      <c r="E41" s="1">
        <f t="shared" si="1"/>
        <v>7</v>
      </c>
      <c r="F41" s="1">
        <f t="shared" si="1"/>
        <v>1.00095</v>
      </c>
      <c r="G41" s="1">
        <f t="shared" si="1"/>
        <v>4463.5200000000004</v>
      </c>
      <c r="H41" s="1">
        <f t="shared" si="1"/>
        <v>6</v>
      </c>
      <c r="I41" s="1">
        <f t="shared" si="1"/>
        <v>1</v>
      </c>
      <c r="J41" s="1">
        <f t="shared" si="1"/>
        <v>5373.21</v>
      </c>
      <c r="K41" s="1">
        <f t="shared" si="1"/>
        <v>12</v>
      </c>
      <c r="L41" s="1">
        <f t="shared" si="1"/>
        <v>1.0005599999999999</v>
      </c>
      <c r="M41" s="1">
        <f t="shared" si="1"/>
        <v>6441.99</v>
      </c>
      <c r="N41" s="1">
        <f t="shared" si="1"/>
        <v>6</v>
      </c>
      <c r="O41" s="1">
        <f t="shared" si="1"/>
        <v>1</v>
      </c>
      <c r="P41" s="1">
        <f t="shared" si="1"/>
        <v>8837.98</v>
      </c>
    </row>
    <row r="42" spans="1:16">
      <c r="A42" t="s">
        <v>13</v>
      </c>
      <c r="B42" s="1">
        <f>MEDIAN(B5:B36)</f>
        <v>271740</v>
      </c>
      <c r="C42" s="1">
        <f t="shared" ref="C42:P42" si="2">MEDIAN(C5:C36)</f>
        <v>1.5623550000000002</v>
      </c>
      <c r="D42" s="1">
        <f t="shared" si="2"/>
        <v>2444.5949999999998</v>
      </c>
      <c r="E42" s="1">
        <f t="shared" si="2"/>
        <v>13</v>
      </c>
      <c r="F42" s="1">
        <f t="shared" si="2"/>
        <v>1.4176600000000001</v>
      </c>
      <c r="G42" s="1">
        <f t="shared" si="2"/>
        <v>5611.0499999999993</v>
      </c>
      <c r="H42" s="1">
        <f t="shared" si="2"/>
        <v>7</v>
      </c>
      <c r="I42" s="1">
        <f t="shared" si="2"/>
        <v>1.0218050000000001</v>
      </c>
      <c r="J42" s="1">
        <f t="shared" si="2"/>
        <v>5806.51</v>
      </c>
      <c r="K42" s="1">
        <f t="shared" si="2"/>
        <v>130.5</v>
      </c>
      <c r="L42" s="1">
        <f t="shared" si="2"/>
        <v>1.4150499999999999</v>
      </c>
      <c r="M42" s="1">
        <f t="shared" si="2"/>
        <v>8172.0050000000001</v>
      </c>
      <c r="N42" s="1">
        <f t="shared" si="2"/>
        <v>10</v>
      </c>
      <c r="O42" s="1">
        <f t="shared" si="2"/>
        <v>1.0000249999999999</v>
      </c>
      <c r="P42" s="1">
        <f t="shared" si="2"/>
        <v>10651.935000000001</v>
      </c>
    </row>
    <row r="43" spans="1:16">
      <c r="A43" t="s">
        <v>14</v>
      </c>
      <c r="B43" s="1">
        <f>AVERAGE(B5:B36)</f>
        <v>282027.875</v>
      </c>
      <c r="C43" s="1">
        <f t="shared" ref="C43:P43" si="3">AVERAGE(C5:C36)</f>
        <v>1.4678300000000002</v>
      </c>
      <c r="D43" s="1">
        <f t="shared" si="3"/>
        <v>2678.7015625000004</v>
      </c>
      <c r="E43" s="1">
        <f t="shared" si="3"/>
        <v>13.1875</v>
      </c>
      <c r="F43" s="1">
        <f t="shared" si="3"/>
        <v>1.3474534375</v>
      </c>
      <c r="G43" s="1">
        <f t="shared" si="3"/>
        <v>5636.1440624999996</v>
      </c>
      <c r="H43" s="1">
        <f t="shared" si="3"/>
        <v>7.4375</v>
      </c>
      <c r="I43" s="1">
        <f t="shared" si="3"/>
        <v>1.1232671875000002</v>
      </c>
      <c r="J43" s="1">
        <f t="shared" si="3"/>
        <v>6185.1637500000006</v>
      </c>
      <c r="K43" s="1">
        <f t="shared" si="3"/>
        <v>267.78125</v>
      </c>
      <c r="L43" s="1">
        <f t="shared" si="3"/>
        <v>1.3467437499999999</v>
      </c>
      <c r="M43" s="1">
        <f t="shared" si="3"/>
        <v>7994.2893749999994</v>
      </c>
      <c r="N43" s="1">
        <f t="shared" si="3"/>
        <v>9.625</v>
      </c>
      <c r="O43" s="1">
        <f t="shared" si="3"/>
        <v>1.1564409375000002</v>
      </c>
      <c r="P43" s="1">
        <f t="shared" si="3"/>
        <v>10487.028125000001</v>
      </c>
    </row>
    <row r="44" spans="1:16">
      <c r="A44" t="s">
        <v>15</v>
      </c>
      <c r="B44" s="1">
        <f>STDEV(B5:B36)</f>
        <v>16567.970451660542</v>
      </c>
      <c r="C44" s="1">
        <f t="shared" ref="C44:P44" si="4">STDEV(C5:C36)</f>
        <v>0.1614210995322288</v>
      </c>
      <c r="D44" s="1">
        <f t="shared" si="4"/>
        <v>691.47112816412766</v>
      </c>
      <c r="E44" s="1">
        <f t="shared" si="4"/>
        <v>2.2351661553306243</v>
      </c>
      <c r="F44" s="1">
        <f t="shared" si="4"/>
        <v>0.33932923068530357</v>
      </c>
      <c r="G44" s="1">
        <f t="shared" si="4"/>
        <v>1005.6399807628826</v>
      </c>
      <c r="H44" s="1">
        <f t="shared" si="4"/>
        <v>1.5849595497026252</v>
      </c>
      <c r="I44" s="1">
        <f t="shared" si="4"/>
        <v>0.17366045786913611</v>
      </c>
      <c r="J44" s="1">
        <f t="shared" si="4"/>
        <v>855.83809812653499</v>
      </c>
      <c r="K44" s="1">
        <f t="shared" si="4"/>
        <v>289.37058886765413</v>
      </c>
      <c r="L44" s="1">
        <f t="shared" si="4"/>
        <v>0.33897207920750388</v>
      </c>
      <c r="M44" s="1">
        <f t="shared" si="4"/>
        <v>1174.8397736326804</v>
      </c>
      <c r="N44" s="1">
        <f t="shared" si="4"/>
        <v>2.9375214481028928</v>
      </c>
      <c r="O44" s="1">
        <f t="shared" si="4"/>
        <v>0.20454479760708824</v>
      </c>
      <c r="P44" s="1">
        <f t="shared" si="4"/>
        <v>777.86077168022268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51BD-CFC4-364D-83F8-DFBEE7EBCCB1}">
  <sheetPr codeName="Sheet13"/>
  <dimension ref="A1:P44"/>
  <sheetViews>
    <sheetView topLeftCell="C24" workbookViewId="0">
      <selection activeCell="C38" sqref="A38:XFD44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2125766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847464</v>
      </c>
      <c r="C5">
        <v>1.29514</v>
      </c>
      <c r="D5">
        <v>20785.88</v>
      </c>
      <c r="E5">
        <v>13</v>
      </c>
      <c r="F5">
        <v>1.4375</v>
      </c>
      <c r="G5">
        <v>30359.17</v>
      </c>
      <c r="H5">
        <v>6</v>
      </c>
      <c r="I5">
        <v>1</v>
      </c>
      <c r="J5">
        <v>30884.37</v>
      </c>
      <c r="K5">
        <v>110</v>
      </c>
      <c r="L5">
        <v>1.4373199999999999</v>
      </c>
      <c r="M5">
        <v>45289.279999999999</v>
      </c>
      <c r="N5">
        <v>11</v>
      </c>
      <c r="O5">
        <v>1.1818200000000001</v>
      </c>
      <c r="P5">
        <v>55083.81</v>
      </c>
    </row>
    <row r="6" spans="1:16">
      <c r="A6">
        <v>1</v>
      </c>
      <c r="B6">
        <v>821400</v>
      </c>
      <c r="C6">
        <v>1.61446</v>
      </c>
      <c r="D6">
        <v>17455.27</v>
      </c>
      <c r="E6">
        <v>14</v>
      </c>
      <c r="F6">
        <v>1.0451600000000001</v>
      </c>
      <c r="G6">
        <v>24061.37</v>
      </c>
      <c r="H6">
        <v>7</v>
      </c>
      <c r="I6">
        <v>1.0186900000000001</v>
      </c>
      <c r="J6">
        <v>29417.22</v>
      </c>
      <c r="K6">
        <v>39</v>
      </c>
      <c r="L6">
        <v>1.04512</v>
      </c>
      <c r="M6">
        <v>32379.89</v>
      </c>
      <c r="N6">
        <v>12</v>
      </c>
      <c r="O6">
        <v>1.66665</v>
      </c>
      <c r="P6">
        <v>54611.38</v>
      </c>
    </row>
    <row r="7" spans="1:16">
      <c r="A7">
        <v>2</v>
      </c>
      <c r="B7">
        <v>909280</v>
      </c>
      <c r="C7">
        <v>1.1106400000000001</v>
      </c>
      <c r="D7">
        <v>12360.16</v>
      </c>
      <c r="E7">
        <v>15</v>
      </c>
      <c r="F7">
        <v>1.0324899999999999</v>
      </c>
      <c r="G7">
        <v>22479.39</v>
      </c>
      <c r="H7">
        <v>8</v>
      </c>
      <c r="I7">
        <v>1.05932</v>
      </c>
      <c r="J7">
        <v>28894.01</v>
      </c>
      <c r="K7">
        <v>486</v>
      </c>
      <c r="L7">
        <v>1.0327</v>
      </c>
      <c r="M7">
        <v>28352.6</v>
      </c>
      <c r="N7">
        <v>10</v>
      </c>
      <c r="O7">
        <v>1</v>
      </c>
      <c r="P7">
        <v>50916.55</v>
      </c>
    </row>
    <row r="8" spans="1:16">
      <c r="A8">
        <v>3</v>
      </c>
      <c r="B8">
        <v>848558</v>
      </c>
      <c r="C8">
        <v>1.5380100000000001</v>
      </c>
      <c r="D8">
        <v>10411.540000000001</v>
      </c>
      <c r="E8">
        <v>18</v>
      </c>
      <c r="F8">
        <v>1.0726100000000001</v>
      </c>
      <c r="G8">
        <v>26912.6</v>
      </c>
      <c r="H8">
        <v>11</v>
      </c>
      <c r="I8">
        <v>1.0059800000000001</v>
      </c>
      <c r="J8">
        <v>24984.89</v>
      </c>
      <c r="K8">
        <v>869</v>
      </c>
      <c r="L8">
        <v>1.0728500000000001</v>
      </c>
      <c r="M8">
        <v>40138.980000000003</v>
      </c>
      <c r="N8">
        <v>6</v>
      </c>
      <c r="O8">
        <v>1</v>
      </c>
      <c r="P8">
        <v>43990.62</v>
      </c>
    </row>
    <row r="9" spans="1:16">
      <c r="A9">
        <v>4</v>
      </c>
      <c r="B9">
        <v>835620</v>
      </c>
      <c r="C9">
        <v>1.30748</v>
      </c>
      <c r="D9">
        <v>22239.61</v>
      </c>
      <c r="E9">
        <v>15</v>
      </c>
      <c r="F9">
        <v>1.4073100000000001</v>
      </c>
      <c r="G9">
        <v>31527.05</v>
      </c>
      <c r="H9">
        <v>8</v>
      </c>
      <c r="I9">
        <v>1.37073</v>
      </c>
      <c r="J9">
        <v>27573.599999999999</v>
      </c>
      <c r="K9">
        <v>1386</v>
      </c>
      <c r="L9">
        <v>1.4052</v>
      </c>
      <c r="M9">
        <v>50986.64</v>
      </c>
      <c r="N9">
        <v>13</v>
      </c>
      <c r="O9">
        <v>1.1818200000000001</v>
      </c>
      <c r="P9">
        <v>58586.68</v>
      </c>
    </row>
    <row r="10" spans="1:16">
      <c r="A10">
        <v>5</v>
      </c>
      <c r="B10">
        <v>920440</v>
      </c>
      <c r="C10">
        <v>1.1017699999999999</v>
      </c>
      <c r="D10">
        <v>11319.24</v>
      </c>
      <c r="E10">
        <v>13</v>
      </c>
      <c r="F10">
        <v>1.0662199999999999</v>
      </c>
      <c r="G10">
        <v>56710.76</v>
      </c>
      <c r="H10">
        <v>6</v>
      </c>
      <c r="I10">
        <v>1</v>
      </c>
      <c r="J10">
        <v>28889.16</v>
      </c>
      <c r="K10">
        <v>36</v>
      </c>
      <c r="L10">
        <v>1.0662</v>
      </c>
      <c r="M10">
        <v>59475.45</v>
      </c>
      <c r="N10">
        <v>8</v>
      </c>
      <c r="O10">
        <v>1</v>
      </c>
      <c r="P10">
        <v>70549.03</v>
      </c>
    </row>
    <row r="11" spans="1:16">
      <c r="A11">
        <v>6</v>
      </c>
      <c r="B11">
        <v>816722</v>
      </c>
      <c r="C11">
        <v>1.40852</v>
      </c>
      <c r="D11">
        <v>14907.05</v>
      </c>
      <c r="E11">
        <v>14</v>
      </c>
      <c r="F11">
        <v>1.4123699999999999</v>
      </c>
      <c r="G11">
        <v>34970.559999999998</v>
      </c>
      <c r="H11">
        <v>7</v>
      </c>
      <c r="I11">
        <v>1.05714</v>
      </c>
      <c r="J11">
        <v>32836.639999999999</v>
      </c>
      <c r="K11">
        <v>111</v>
      </c>
      <c r="L11">
        <v>1.4121999999999999</v>
      </c>
      <c r="M11">
        <v>38381.919999999998</v>
      </c>
      <c r="N11">
        <v>6</v>
      </c>
      <c r="O11">
        <v>1</v>
      </c>
      <c r="P11">
        <v>53766.7</v>
      </c>
    </row>
    <row r="12" spans="1:16">
      <c r="A12">
        <v>7</v>
      </c>
      <c r="B12">
        <v>844980</v>
      </c>
      <c r="C12">
        <v>1.29762</v>
      </c>
      <c r="D12">
        <v>12797.49</v>
      </c>
      <c r="E12">
        <v>13</v>
      </c>
      <c r="F12">
        <v>1.4375</v>
      </c>
      <c r="G12">
        <v>28367.82</v>
      </c>
      <c r="H12">
        <v>6</v>
      </c>
      <c r="I12">
        <v>1</v>
      </c>
      <c r="J12">
        <v>39190.870000000003</v>
      </c>
      <c r="K12">
        <v>398</v>
      </c>
      <c r="L12">
        <v>1.43685</v>
      </c>
      <c r="M12">
        <v>40161.14</v>
      </c>
      <c r="N12">
        <v>11</v>
      </c>
      <c r="O12">
        <v>1.1818200000000001</v>
      </c>
      <c r="P12">
        <v>75851.839999999997</v>
      </c>
    </row>
    <row r="13" spans="1:16">
      <c r="A13">
        <v>8</v>
      </c>
      <c r="B13">
        <v>847500</v>
      </c>
      <c r="C13">
        <v>1.2950999999999999</v>
      </c>
      <c r="D13">
        <v>24904.21</v>
      </c>
      <c r="E13">
        <v>13</v>
      </c>
      <c r="F13">
        <v>1.4375</v>
      </c>
      <c r="G13">
        <v>31993.78</v>
      </c>
      <c r="H13">
        <v>6</v>
      </c>
      <c r="I13">
        <v>1.4</v>
      </c>
      <c r="J13">
        <v>29007.22</v>
      </c>
      <c r="K13">
        <v>15</v>
      </c>
      <c r="L13">
        <v>1.4374899999999999</v>
      </c>
      <c r="M13">
        <v>39980.699999999997</v>
      </c>
      <c r="N13">
        <v>11</v>
      </c>
      <c r="O13">
        <v>1.1818200000000001</v>
      </c>
      <c r="P13">
        <v>67599.34</v>
      </c>
    </row>
    <row r="14" spans="1:16">
      <c r="A14">
        <v>9</v>
      </c>
      <c r="B14">
        <v>917920</v>
      </c>
      <c r="C14">
        <v>1.1036900000000001</v>
      </c>
      <c r="D14">
        <v>10469.64</v>
      </c>
      <c r="E14">
        <v>15</v>
      </c>
      <c r="F14">
        <v>1.0444899999999999</v>
      </c>
      <c r="G14">
        <v>34253</v>
      </c>
      <c r="H14">
        <v>8</v>
      </c>
      <c r="I14">
        <v>1.0207900000000001</v>
      </c>
      <c r="J14">
        <v>37062.83</v>
      </c>
      <c r="K14">
        <v>429</v>
      </c>
      <c r="L14">
        <v>1.0443100000000001</v>
      </c>
      <c r="M14">
        <v>50725.64</v>
      </c>
      <c r="N14">
        <v>10</v>
      </c>
      <c r="O14">
        <v>1</v>
      </c>
      <c r="P14">
        <v>62617.83</v>
      </c>
    </row>
    <row r="15" spans="1:16">
      <c r="A15">
        <v>10</v>
      </c>
      <c r="B15">
        <v>835620</v>
      </c>
      <c r="C15">
        <v>1.30748</v>
      </c>
      <c r="D15">
        <v>10317.26</v>
      </c>
      <c r="E15">
        <v>15</v>
      </c>
      <c r="F15">
        <v>1.4581200000000001</v>
      </c>
      <c r="G15">
        <v>23530.79</v>
      </c>
      <c r="H15">
        <v>8</v>
      </c>
      <c r="I15">
        <v>1.0249999999999999</v>
      </c>
      <c r="J15">
        <v>39423.47</v>
      </c>
      <c r="K15">
        <v>964</v>
      </c>
      <c r="L15">
        <v>1.45716</v>
      </c>
      <c r="M15">
        <v>38188.31</v>
      </c>
      <c r="N15">
        <v>12</v>
      </c>
      <c r="O15">
        <v>1.1818200000000001</v>
      </c>
      <c r="P15">
        <v>70138.509999999995</v>
      </c>
    </row>
    <row r="16" spans="1:16">
      <c r="A16">
        <v>11</v>
      </c>
      <c r="B16">
        <v>847500</v>
      </c>
      <c r="C16">
        <v>1.2950999999999999</v>
      </c>
      <c r="D16">
        <v>11756.69</v>
      </c>
      <c r="E16">
        <v>13</v>
      </c>
      <c r="F16">
        <v>1.4375</v>
      </c>
      <c r="G16">
        <v>36061.22</v>
      </c>
      <c r="H16">
        <v>6</v>
      </c>
      <c r="I16">
        <v>1</v>
      </c>
      <c r="J16">
        <v>30365.48</v>
      </c>
      <c r="K16">
        <v>15</v>
      </c>
      <c r="L16">
        <v>1.4374899999999999</v>
      </c>
      <c r="M16">
        <v>38360.07</v>
      </c>
      <c r="N16">
        <v>11</v>
      </c>
      <c r="O16">
        <v>1.1818200000000001</v>
      </c>
      <c r="P16">
        <v>70355.13</v>
      </c>
    </row>
    <row r="17" spans="1:16">
      <c r="A17">
        <v>12</v>
      </c>
      <c r="B17">
        <v>917920</v>
      </c>
      <c r="C17">
        <v>1.1036900000000001</v>
      </c>
      <c r="D17">
        <v>10806.91</v>
      </c>
      <c r="E17">
        <v>15</v>
      </c>
      <c r="F17">
        <v>1.05748</v>
      </c>
      <c r="G17">
        <v>28856.61</v>
      </c>
      <c r="H17">
        <v>8</v>
      </c>
      <c r="I17">
        <v>1.0082599999999999</v>
      </c>
      <c r="J17">
        <v>34119.72</v>
      </c>
      <c r="K17">
        <v>398</v>
      </c>
      <c r="L17">
        <v>1.0573300000000001</v>
      </c>
      <c r="M17">
        <v>50416.95</v>
      </c>
      <c r="N17">
        <v>10</v>
      </c>
      <c r="O17">
        <v>1</v>
      </c>
      <c r="P17">
        <v>61558.77</v>
      </c>
    </row>
    <row r="18" spans="1:16">
      <c r="A18">
        <v>13</v>
      </c>
      <c r="B18">
        <v>819170</v>
      </c>
      <c r="C18">
        <v>1.4105300000000001</v>
      </c>
      <c r="D18">
        <v>11449.94</v>
      </c>
      <c r="E18">
        <v>14</v>
      </c>
      <c r="F18">
        <v>1.00858</v>
      </c>
      <c r="G18">
        <v>32156.46</v>
      </c>
      <c r="H18">
        <v>7</v>
      </c>
      <c r="I18">
        <v>1.05714</v>
      </c>
      <c r="J18">
        <v>28929.51</v>
      </c>
      <c r="K18">
        <v>25</v>
      </c>
      <c r="L18">
        <v>1.00857</v>
      </c>
      <c r="M18">
        <v>37523.15</v>
      </c>
      <c r="N18">
        <v>6</v>
      </c>
      <c r="O18">
        <v>1</v>
      </c>
      <c r="P18">
        <v>77305.03</v>
      </c>
    </row>
    <row r="19" spans="1:16">
      <c r="A19">
        <v>14</v>
      </c>
      <c r="B19">
        <v>835620</v>
      </c>
      <c r="C19">
        <v>1.30748</v>
      </c>
      <c r="D19">
        <v>13214.4</v>
      </c>
      <c r="E19">
        <v>13</v>
      </c>
      <c r="F19">
        <v>1.4375</v>
      </c>
      <c r="G19">
        <v>27891.3</v>
      </c>
      <c r="H19">
        <v>6</v>
      </c>
      <c r="I19">
        <v>1</v>
      </c>
      <c r="J19">
        <v>29796.03</v>
      </c>
      <c r="K19">
        <v>1020</v>
      </c>
      <c r="L19">
        <v>1.4356899999999999</v>
      </c>
      <c r="M19">
        <v>50990.57</v>
      </c>
      <c r="N19">
        <v>11</v>
      </c>
      <c r="O19">
        <v>1.1818200000000001</v>
      </c>
      <c r="P19">
        <v>65788.53</v>
      </c>
    </row>
    <row r="20" spans="1:16">
      <c r="A20">
        <v>15</v>
      </c>
      <c r="B20">
        <v>821400</v>
      </c>
      <c r="C20">
        <v>1.61446</v>
      </c>
      <c r="D20">
        <v>10564.65</v>
      </c>
      <c r="E20">
        <v>14</v>
      </c>
      <c r="F20">
        <v>1.4674799999999999</v>
      </c>
      <c r="G20">
        <v>37764.93</v>
      </c>
      <c r="H20">
        <v>7</v>
      </c>
      <c r="I20">
        <v>1.0186900000000001</v>
      </c>
      <c r="J20">
        <v>34625.33</v>
      </c>
      <c r="K20">
        <v>72</v>
      </c>
      <c r="L20">
        <v>1.46736</v>
      </c>
      <c r="M20">
        <v>40339.82</v>
      </c>
      <c r="N20">
        <v>6</v>
      </c>
      <c r="O20">
        <v>1.4</v>
      </c>
      <c r="P20">
        <v>72869.929999999993</v>
      </c>
    </row>
    <row r="21" spans="1:16">
      <c r="A21">
        <v>16</v>
      </c>
      <c r="B21">
        <v>835620</v>
      </c>
      <c r="C21">
        <v>1.30748</v>
      </c>
      <c r="D21">
        <v>13785.88</v>
      </c>
      <c r="E21">
        <v>15</v>
      </c>
      <c r="F21">
        <v>1.4013599999999999</v>
      </c>
      <c r="G21">
        <v>28141.200000000001</v>
      </c>
      <c r="H21">
        <v>8</v>
      </c>
      <c r="I21">
        <v>1.0249999999999999</v>
      </c>
      <c r="J21">
        <v>30126.080000000002</v>
      </c>
      <c r="K21">
        <v>791</v>
      </c>
      <c r="L21">
        <v>1.4008100000000001</v>
      </c>
      <c r="M21">
        <v>48984.2</v>
      </c>
      <c r="N21">
        <v>13</v>
      </c>
      <c r="O21">
        <v>1.1818200000000001</v>
      </c>
      <c r="P21">
        <v>58346.58</v>
      </c>
    </row>
    <row r="22" spans="1:16">
      <c r="A22">
        <v>17</v>
      </c>
      <c r="B22">
        <v>920440</v>
      </c>
      <c r="C22">
        <v>1.1017699999999999</v>
      </c>
      <c r="D22">
        <v>13202.15</v>
      </c>
      <c r="E22">
        <v>13</v>
      </c>
      <c r="F22">
        <v>1.02597</v>
      </c>
      <c r="G22">
        <v>38238.86</v>
      </c>
      <c r="H22">
        <v>6</v>
      </c>
      <c r="I22">
        <v>1</v>
      </c>
      <c r="J22">
        <v>28867.45</v>
      </c>
      <c r="K22">
        <v>18</v>
      </c>
      <c r="L22">
        <v>1.02597</v>
      </c>
      <c r="M22">
        <v>44902.89</v>
      </c>
      <c r="N22">
        <v>8</v>
      </c>
      <c r="O22">
        <v>1</v>
      </c>
      <c r="P22">
        <v>75124.479999999996</v>
      </c>
    </row>
    <row r="23" spans="1:16">
      <c r="A23">
        <v>18</v>
      </c>
      <c r="B23">
        <v>920440</v>
      </c>
      <c r="C23">
        <v>1.1017699999999999</v>
      </c>
      <c r="D23">
        <v>12462.6</v>
      </c>
      <c r="E23">
        <v>13</v>
      </c>
      <c r="F23">
        <v>1.0662199999999999</v>
      </c>
      <c r="G23">
        <v>28303.29</v>
      </c>
      <c r="H23">
        <v>6</v>
      </c>
      <c r="I23">
        <v>1</v>
      </c>
      <c r="J23">
        <v>36996.449999999997</v>
      </c>
      <c r="K23">
        <v>18</v>
      </c>
      <c r="L23">
        <v>1.0662199999999999</v>
      </c>
      <c r="M23">
        <v>36310.68</v>
      </c>
      <c r="N23">
        <v>8</v>
      </c>
      <c r="O23">
        <v>1</v>
      </c>
      <c r="P23">
        <v>54588.73</v>
      </c>
    </row>
    <row r="24" spans="1:16">
      <c r="A24">
        <v>19</v>
      </c>
      <c r="B24">
        <v>847500</v>
      </c>
      <c r="C24">
        <v>1.2950999999999999</v>
      </c>
      <c r="D24">
        <v>10481.98</v>
      </c>
      <c r="E24">
        <v>13</v>
      </c>
      <c r="F24">
        <v>1.4375</v>
      </c>
      <c r="G24">
        <v>37586.089999999997</v>
      </c>
      <c r="H24">
        <v>6</v>
      </c>
      <c r="I24">
        <v>1.4</v>
      </c>
      <c r="J24">
        <v>32062.75</v>
      </c>
      <c r="K24">
        <v>38</v>
      </c>
      <c r="L24">
        <v>1.4374400000000001</v>
      </c>
      <c r="M24">
        <v>31316.95</v>
      </c>
      <c r="N24">
        <v>11</v>
      </c>
      <c r="O24">
        <v>1.1818200000000001</v>
      </c>
      <c r="P24">
        <v>86712.44</v>
      </c>
    </row>
    <row r="25" spans="1:16">
      <c r="A25">
        <v>20</v>
      </c>
      <c r="B25">
        <v>825720</v>
      </c>
      <c r="C25">
        <v>1.6083000000000001</v>
      </c>
      <c r="D25">
        <v>11104.59</v>
      </c>
      <c r="E25">
        <v>14</v>
      </c>
      <c r="F25">
        <v>1.4864200000000001</v>
      </c>
      <c r="G25">
        <v>23470.63</v>
      </c>
      <c r="H25">
        <v>7</v>
      </c>
      <c r="I25">
        <v>1.0061899999999999</v>
      </c>
      <c r="J25">
        <v>31125.29</v>
      </c>
      <c r="K25">
        <v>791</v>
      </c>
      <c r="L25">
        <v>1.4858</v>
      </c>
      <c r="M25">
        <v>54295.08</v>
      </c>
      <c r="N25">
        <v>6</v>
      </c>
      <c r="O25">
        <v>1.4</v>
      </c>
      <c r="P25">
        <v>56931.95</v>
      </c>
    </row>
    <row r="26" spans="1:16">
      <c r="A26">
        <v>21</v>
      </c>
      <c r="B26">
        <v>847500</v>
      </c>
      <c r="C26">
        <v>1.2950999999999999</v>
      </c>
      <c r="D26">
        <v>11924.14</v>
      </c>
      <c r="E26">
        <v>7</v>
      </c>
      <c r="F26">
        <v>1.9999899999999999</v>
      </c>
      <c r="G26">
        <v>31009.83</v>
      </c>
      <c r="H26">
        <v>6</v>
      </c>
      <c r="I26">
        <v>1.4</v>
      </c>
      <c r="J26">
        <v>34298.239999999998</v>
      </c>
      <c r="K26">
        <v>34</v>
      </c>
      <c r="L26">
        <v>1.9999499999999999</v>
      </c>
      <c r="M26">
        <v>36673.97</v>
      </c>
      <c r="N26">
        <v>10</v>
      </c>
      <c r="O26">
        <v>1.4</v>
      </c>
      <c r="P26">
        <v>71866.19</v>
      </c>
    </row>
    <row r="27" spans="1:16">
      <c r="A27">
        <v>22</v>
      </c>
      <c r="B27">
        <v>835620</v>
      </c>
      <c r="C27">
        <v>1.30748</v>
      </c>
      <c r="D27">
        <v>21235.05</v>
      </c>
      <c r="E27">
        <v>15</v>
      </c>
      <c r="F27">
        <v>1.4013599999999999</v>
      </c>
      <c r="G27">
        <v>36603.78</v>
      </c>
      <c r="H27">
        <v>8</v>
      </c>
      <c r="I27">
        <v>1.0249999999999999</v>
      </c>
      <c r="J27">
        <v>40904.68</v>
      </c>
      <c r="K27">
        <v>1210</v>
      </c>
      <c r="L27">
        <v>1.40002</v>
      </c>
      <c r="M27">
        <v>31977.06</v>
      </c>
      <c r="N27">
        <v>13</v>
      </c>
      <c r="O27">
        <v>1.1818200000000001</v>
      </c>
      <c r="P27">
        <v>61813.98</v>
      </c>
    </row>
    <row r="28" spans="1:16">
      <c r="A28">
        <v>23</v>
      </c>
      <c r="B28">
        <v>844980</v>
      </c>
      <c r="C28">
        <v>1.29762</v>
      </c>
      <c r="D28">
        <v>27634.52</v>
      </c>
      <c r="E28">
        <v>15</v>
      </c>
      <c r="F28">
        <v>1.0444899999999999</v>
      </c>
      <c r="G28">
        <v>52205.02</v>
      </c>
      <c r="H28">
        <v>8</v>
      </c>
      <c r="I28">
        <v>1.0207900000000001</v>
      </c>
      <c r="J28">
        <v>46690.65</v>
      </c>
      <c r="K28">
        <v>636</v>
      </c>
      <c r="L28">
        <v>1.0440100000000001</v>
      </c>
      <c r="M28">
        <v>36425.33</v>
      </c>
      <c r="N28">
        <v>12</v>
      </c>
      <c r="O28">
        <v>1.0000100000000001</v>
      </c>
      <c r="P28">
        <v>69984.639999999999</v>
      </c>
    </row>
    <row r="29" spans="1:16">
      <c r="A29">
        <v>24</v>
      </c>
      <c r="B29">
        <v>837002</v>
      </c>
      <c r="C29">
        <v>1.5188699999999999</v>
      </c>
      <c r="D29">
        <v>13963.07</v>
      </c>
      <c r="E29">
        <v>16</v>
      </c>
      <c r="F29">
        <v>1.47485</v>
      </c>
      <c r="G29">
        <v>28949.03</v>
      </c>
      <c r="H29">
        <v>9</v>
      </c>
      <c r="I29">
        <v>1.4361999999999999</v>
      </c>
      <c r="J29">
        <v>35480.019999999997</v>
      </c>
      <c r="K29">
        <v>63</v>
      </c>
      <c r="L29">
        <v>1.4748399999999999</v>
      </c>
      <c r="M29">
        <v>33638.93</v>
      </c>
      <c r="N29">
        <v>6</v>
      </c>
      <c r="O29">
        <v>1</v>
      </c>
      <c r="P29">
        <v>46985.54</v>
      </c>
    </row>
    <row r="30" spans="1:16">
      <c r="A30">
        <v>25</v>
      </c>
      <c r="B30">
        <v>818774</v>
      </c>
      <c r="C30">
        <v>1.4101999999999999</v>
      </c>
      <c r="D30">
        <v>15401.06</v>
      </c>
      <c r="E30">
        <v>18</v>
      </c>
      <c r="F30">
        <v>1.0057199999999999</v>
      </c>
      <c r="G30">
        <v>34117.15</v>
      </c>
      <c r="H30">
        <v>11</v>
      </c>
      <c r="I30">
        <v>1.06016</v>
      </c>
      <c r="J30">
        <v>28302.32</v>
      </c>
      <c r="K30">
        <v>300</v>
      </c>
      <c r="L30">
        <v>1.0056</v>
      </c>
      <c r="M30">
        <v>38288.480000000003</v>
      </c>
      <c r="N30">
        <v>6</v>
      </c>
      <c r="O30">
        <v>1</v>
      </c>
      <c r="P30">
        <v>64014.92</v>
      </c>
    </row>
    <row r="31" spans="1:16">
      <c r="A31">
        <v>26</v>
      </c>
      <c r="B31">
        <v>835620</v>
      </c>
      <c r="C31">
        <v>1.30748</v>
      </c>
      <c r="D31">
        <v>13163.58</v>
      </c>
      <c r="E31">
        <v>17</v>
      </c>
      <c r="F31">
        <v>1.4020999999999999</v>
      </c>
      <c r="G31">
        <v>30820.85</v>
      </c>
      <c r="H31">
        <v>10</v>
      </c>
      <c r="I31">
        <v>1.06467</v>
      </c>
      <c r="J31">
        <v>41924.36</v>
      </c>
      <c r="K31">
        <v>1360</v>
      </c>
      <c r="L31">
        <v>1.4009400000000001</v>
      </c>
      <c r="M31">
        <v>37316.400000000001</v>
      </c>
      <c r="N31">
        <v>14</v>
      </c>
      <c r="O31">
        <v>1.1818200000000001</v>
      </c>
      <c r="P31">
        <v>61462.53</v>
      </c>
    </row>
    <row r="32" spans="1:16">
      <c r="A32">
        <v>27</v>
      </c>
      <c r="B32">
        <v>835620</v>
      </c>
      <c r="C32">
        <v>1.30748</v>
      </c>
      <c r="D32">
        <v>21823.46</v>
      </c>
      <c r="E32">
        <v>15</v>
      </c>
      <c r="F32">
        <v>1.4073100000000001</v>
      </c>
      <c r="G32">
        <v>24595.65</v>
      </c>
      <c r="H32">
        <v>8</v>
      </c>
      <c r="I32">
        <v>1.37073</v>
      </c>
      <c r="J32">
        <v>27548.75</v>
      </c>
      <c r="K32">
        <v>1386</v>
      </c>
      <c r="L32">
        <v>1.4052</v>
      </c>
      <c r="M32">
        <v>41352.21</v>
      </c>
      <c r="N32">
        <v>13</v>
      </c>
      <c r="O32">
        <v>1.1818200000000001</v>
      </c>
      <c r="P32">
        <v>75379.759999999995</v>
      </c>
    </row>
    <row r="33" spans="1:16">
      <c r="A33">
        <v>28</v>
      </c>
      <c r="B33">
        <v>819170</v>
      </c>
      <c r="C33">
        <v>1.4105300000000001</v>
      </c>
      <c r="D33">
        <v>10894.04</v>
      </c>
      <c r="E33">
        <v>14</v>
      </c>
      <c r="F33">
        <v>1.00858</v>
      </c>
      <c r="G33">
        <v>36351.72</v>
      </c>
      <c r="H33">
        <v>7</v>
      </c>
      <c r="I33">
        <v>1.05714</v>
      </c>
      <c r="J33">
        <v>52392.6</v>
      </c>
      <c r="K33">
        <v>25</v>
      </c>
      <c r="L33">
        <v>1.00857</v>
      </c>
      <c r="M33">
        <v>42007.38</v>
      </c>
      <c r="N33">
        <v>6</v>
      </c>
      <c r="O33">
        <v>1</v>
      </c>
      <c r="P33">
        <v>50620.86</v>
      </c>
    </row>
    <row r="34" spans="1:16">
      <c r="A34">
        <v>29</v>
      </c>
      <c r="B34">
        <v>821400</v>
      </c>
      <c r="C34">
        <v>1.61446</v>
      </c>
      <c r="D34">
        <v>12128.21</v>
      </c>
      <c r="E34">
        <v>14</v>
      </c>
      <c r="F34">
        <v>1.00715</v>
      </c>
      <c r="G34">
        <v>34811.78</v>
      </c>
      <c r="H34">
        <v>7</v>
      </c>
      <c r="I34">
        <v>1.0186900000000001</v>
      </c>
      <c r="J34">
        <v>28769.29</v>
      </c>
      <c r="K34">
        <v>25</v>
      </c>
      <c r="L34">
        <v>1.0071399999999999</v>
      </c>
      <c r="M34">
        <v>36175.300000000003</v>
      </c>
      <c r="N34">
        <v>12</v>
      </c>
      <c r="O34">
        <v>1.66665</v>
      </c>
      <c r="P34">
        <v>68500.41</v>
      </c>
    </row>
    <row r="35" spans="1:16">
      <c r="A35">
        <v>30</v>
      </c>
      <c r="B35">
        <v>908560</v>
      </c>
      <c r="C35">
        <v>1.1111899999999999</v>
      </c>
      <c r="D35">
        <v>11451.24</v>
      </c>
      <c r="E35">
        <v>15</v>
      </c>
      <c r="F35">
        <v>1.0324899999999999</v>
      </c>
      <c r="G35">
        <v>24054.28</v>
      </c>
      <c r="H35">
        <v>8</v>
      </c>
      <c r="I35">
        <v>1.05932</v>
      </c>
      <c r="J35">
        <v>28601.919999999998</v>
      </c>
      <c r="K35">
        <v>1154</v>
      </c>
      <c r="L35">
        <v>1.0333300000000001</v>
      </c>
      <c r="M35">
        <v>43876.05</v>
      </c>
      <c r="N35">
        <v>10</v>
      </c>
      <c r="O35">
        <v>1</v>
      </c>
      <c r="P35">
        <v>50127.37</v>
      </c>
    </row>
    <row r="36" spans="1:16">
      <c r="A36">
        <v>31</v>
      </c>
      <c r="B36">
        <v>816722</v>
      </c>
      <c r="C36">
        <v>1.40852</v>
      </c>
      <c r="D36">
        <v>10156.42</v>
      </c>
      <c r="E36">
        <v>14</v>
      </c>
      <c r="F36">
        <v>1.0466500000000001</v>
      </c>
      <c r="G36">
        <v>25730.02</v>
      </c>
      <c r="H36">
        <v>7</v>
      </c>
      <c r="I36">
        <v>1.0186900000000001</v>
      </c>
      <c r="J36">
        <v>32507.43</v>
      </c>
      <c r="K36">
        <v>111</v>
      </c>
      <c r="L36">
        <v>1.04654</v>
      </c>
      <c r="M36">
        <v>33201.230000000003</v>
      </c>
      <c r="N36">
        <v>6</v>
      </c>
      <c r="O36">
        <v>1</v>
      </c>
      <c r="P36">
        <v>52056.12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920440</v>
      </c>
      <c r="C40" s="1">
        <f t="shared" ref="C40:P40" si="0">MAX(C5:C36)</f>
        <v>1.61446</v>
      </c>
      <c r="D40" s="1">
        <f t="shared" si="0"/>
        <v>27634.52</v>
      </c>
      <c r="E40" s="1">
        <f t="shared" si="0"/>
        <v>18</v>
      </c>
      <c r="F40" s="1">
        <f t="shared" si="0"/>
        <v>1.9999899999999999</v>
      </c>
      <c r="G40" s="1">
        <f t="shared" si="0"/>
        <v>56710.76</v>
      </c>
      <c r="H40" s="1">
        <f t="shared" si="0"/>
        <v>11</v>
      </c>
      <c r="I40" s="1">
        <f t="shared" si="0"/>
        <v>1.4361999999999999</v>
      </c>
      <c r="J40" s="1">
        <f t="shared" si="0"/>
        <v>52392.6</v>
      </c>
      <c r="K40" s="1">
        <f t="shared" si="0"/>
        <v>1386</v>
      </c>
      <c r="L40" s="1">
        <f t="shared" si="0"/>
        <v>1.9999499999999999</v>
      </c>
      <c r="M40" s="1">
        <f t="shared" si="0"/>
        <v>59475.45</v>
      </c>
      <c r="N40" s="1">
        <f t="shared" si="0"/>
        <v>14</v>
      </c>
      <c r="O40" s="1">
        <f t="shared" si="0"/>
        <v>1.66665</v>
      </c>
      <c r="P40" s="1">
        <f t="shared" si="0"/>
        <v>86712.44</v>
      </c>
    </row>
    <row r="41" spans="1:16">
      <c r="A41" t="s">
        <v>12</v>
      </c>
      <c r="B41" s="1">
        <f>MIN(B5:B36)</f>
        <v>816722</v>
      </c>
      <c r="C41" s="1">
        <f t="shared" ref="C41:P41" si="1">MIN(C5:C36)</f>
        <v>1.1017699999999999</v>
      </c>
      <c r="D41" s="1">
        <f t="shared" si="1"/>
        <v>10156.42</v>
      </c>
      <c r="E41" s="1">
        <f t="shared" si="1"/>
        <v>7</v>
      </c>
      <c r="F41" s="1">
        <f t="shared" si="1"/>
        <v>1.0057199999999999</v>
      </c>
      <c r="G41" s="1">
        <f t="shared" si="1"/>
        <v>22479.39</v>
      </c>
      <c r="H41" s="1">
        <f t="shared" si="1"/>
        <v>6</v>
      </c>
      <c r="I41" s="1">
        <f t="shared" si="1"/>
        <v>1</v>
      </c>
      <c r="J41" s="1">
        <f t="shared" si="1"/>
        <v>24984.89</v>
      </c>
      <c r="K41" s="1">
        <f t="shared" si="1"/>
        <v>15</v>
      </c>
      <c r="L41" s="1">
        <f t="shared" si="1"/>
        <v>1.0056</v>
      </c>
      <c r="M41" s="1">
        <f t="shared" si="1"/>
        <v>28352.6</v>
      </c>
      <c r="N41" s="1">
        <f t="shared" si="1"/>
        <v>6</v>
      </c>
      <c r="O41" s="1">
        <f t="shared" si="1"/>
        <v>1</v>
      </c>
      <c r="P41" s="1">
        <f t="shared" si="1"/>
        <v>43990.62</v>
      </c>
    </row>
    <row r="42" spans="1:16">
      <c r="A42" t="s">
        <v>13</v>
      </c>
      <c r="B42" s="1">
        <f>MEDIAN(B5:B36)</f>
        <v>836311</v>
      </c>
      <c r="C42" s="1">
        <f t="shared" ref="C42:P42" si="2">MEDIAN(C5:C36)</f>
        <v>1.30748</v>
      </c>
      <c r="D42" s="1">
        <f t="shared" si="2"/>
        <v>12411.380000000001</v>
      </c>
      <c r="E42" s="1">
        <f t="shared" si="2"/>
        <v>14</v>
      </c>
      <c r="F42" s="1">
        <f t="shared" si="2"/>
        <v>1.4013599999999999</v>
      </c>
      <c r="G42" s="1">
        <f t="shared" si="2"/>
        <v>30915.34</v>
      </c>
      <c r="H42" s="1">
        <f t="shared" si="2"/>
        <v>7</v>
      </c>
      <c r="I42" s="1">
        <f t="shared" si="2"/>
        <v>1.0228950000000001</v>
      </c>
      <c r="J42" s="1">
        <f t="shared" si="2"/>
        <v>31004.83</v>
      </c>
      <c r="K42" s="1">
        <f t="shared" si="2"/>
        <v>205.5</v>
      </c>
      <c r="L42" s="1">
        <f t="shared" si="2"/>
        <v>1.4004150000000002</v>
      </c>
      <c r="M42" s="1">
        <f t="shared" si="2"/>
        <v>39181.31</v>
      </c>
      <c r="N42" s="1">
        <f t="shared" si="2"/>
        <v>10</v>
      </c>
      <c r="O42" s="1">
        <f t="shared" si="2"/>
        <v>1.1818200000000001</v>
      </c>
      <c r="P42" s="1">
        <f t="shared" si="2"/>
        <v>62215.904999999999</v>
      </c>
    </row>
    <row r="43" spans="1:16">
      <c r="A43" t="s">
        <v>14</v>
      </c>
      <c r="B43" s="1">
        <f>AVERAGE(B5:B36)</f>
        <v>851806.3125</v>
      </c>
      <c r="C43" s="1">
        <f t="shared" ref="C43:P43" si="3">AVERAGE(C5:C36)</f>
        <v>1.3285787500000001</v>
      </c>
      <c r="D43" s="1">
        <f t="shared" si="3"/>
        <v>14267.872812500002</v>
      </c>
      <c r="E43" s="1">
        <f t="shared" si="3"/>
        <v>14.21875</v>
      </c>
      <c r="F43" s="1">
        <f t="shared" si="3"/>
        <v>1.2658740625</v>
      </c>
      <c r="G43" s="1">
        <f t="shared" si="3"/>
        <v>31965.187187500003</v>
      </c>
      <c r="H43" s="1">
        <f t="shared" si="3"/>
        <v>7.40625</v>
      </c>
      <c r="I43" s="1">
        <f t="shared" si="3"/>
        <v>1.093885</v>
      </c>
      <c r="J43" s="1">
        <f t="shared" si="3"/>
        <v>33206.207187500004</v>
      </c>
      <c r="K43" s="1">
        <f t="shared" si="3"/>
        <v>447.90625</v>
      </c>
      <c r="L43" s="1">
        <f t="shared" si="3"/>
        <v>1.2655068749999998</v>
      </c>
      <c r="M43" s="1">
        <f t="shared" si="3"/>
        <v>40888.539062499993</v>
      </c>
      <c r="N43" s="1">
        <f t="shared" si="3"/>
        <v>9.625</v>
      </c>
      <c r="O43" s="1">
        <f t="shared" si="3"/>
        <v>1.1473484375</v>
      </c>
      <c r="P43" s="1">
        <f t="shared" si="3"/>
        <v>63003.318124999998</v>
      </c>
    </row>
    <row r="44" spans="1:16">
      <c r="A44" t="s">
        <v>15</v>
      </c>
      <c r="B44" s="1">
        <f>STDEV(B5:B36)</f>
        <v>36271.937625732098</v>
      </c>
      <c r="C44" s="1">
        <f t="shared" ref="C44:P44" si="4">STDEV(C5:C36)</f>
        <v>0.16036670112789783</v>
      </c>
      <c r="D44" s="1">
        <f t="shared" si="4"/>
        <v>4725.81301339522</v>
      </c>
      <c r="E44" s="1">
        <f t="shared" si="4"/>
        <v>1.8962505448996601</v>
      </c>
      <c r="F44" s="1">
        <f t="shared" si="4"/>
        <v>0.24037073495935277</v>
      </c>
      <c r="G44" s="1">
        <f t="shared" si="4"/>
        <v>7555.2328457588592</v>
      </c>
      <c r="H44" s="1">
        <f t="shared" si="4"/>
        <v>1.3879521930969312</v>
      </c>
      <c r="I44" s="1">
        <f t="shared" si="4"/>
        <v>0.1494079107246219</v>
      </c>
      <c r="J44" s="1">
        <f t="shared" si="4"/>
        <v>6068.3558618396773</v>
      </c>
      <c r="K44" s="1">
        <f t="shared" si="4"/>
        <v>486.25005908449759</v>
      </c>
      <c r="L44" s="1">
        <f t="shared" si="4"/>
        <v>0.24011418304547821</v>
      </c>
      <c r="M44" s="1">
        <f t="shared" si="4"/>
        <v>7349.1633030440598</v>
      </c>
      <c r="N44" s="1">
        <f t="shared" si="4"/>
        <v>2.6970712909352428</v>
      </c>
      <c r="O44" s="1">
        <f t="shared" si="4"/>
        <v>0.1858525784855784</v>
      </c>
      <c r="P44" s="1">
        <f t="shared" si="4"/>
        <v>10246.86183549319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2018-05-07T03:05:50Z</dcterms:modified>
</cp:coreProperties>
</file>