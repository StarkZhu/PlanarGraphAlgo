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qixinzhu/UIUC Courses/CS 597/PlanarGraphAlgo/output/separator/sphere/"/>
    </mc:Choice>
  </mc:AlternateContent>
  <xr:revisionPtr revIDLastSave="0" documentId="13_ncr:1_{E0292CDD-AF91-A342-B333-E8E63EF32DB4}" xr6:coauthVersionLast="32" xr6:coauthVersionMax="32" xr10:uidLastSave="{00000000-0000-0000-0000-000000000000}"/>
  <bookViews>
    <workbookView xWindow="2040" yWindow="460" windowWidth="21800" windowHeight="13940" tabRatio="500" xr2:uid="{00000000-000D-0000-FFFF-FFFF00000000}"/>
  </bookViews>
  <sheets>
    <sheet name="Summary" sheetId="6" r:id="rId1"/>
    <sheet name="1" sheetId="1" r:id="rId2"/>
    <sheet name="2" sheetId="5" r:id="rId3"/>
    <sheet name="3" sheetId="4" r:id="rId4"/>
    <sheet name="4" sheetId="3" r:id="rId5"/>
    <sheet name="5" sheetId="2" r:id="rId6"/>
    <sheet name="6" sheetId="7" r:id="rId7"/>
    <sheet name="7" sheetId="8" r:id="rId8"/>
    <sheet name="8" sheetId="9" r:id="rId9"/>
    <sheet name="9" sheetId="10" r:id="rId10"/>
    <sheet name="10" sheetId="11" r:id="rId11"/>
    <sheet name="11" sheetId="12" r:id="rId12"/>
    <sheet name="12" sheetId="13" r:id="rId13"/>
  </sheets>
  <calcPr calcId="17901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40" i="9" l="1"/>
  <c r="C40" i="9"/>
  <c r="D40" i="9"/>
  <c r="E40" i="9"/>
  <c r="F40" i="9"/>
  <c r="G40" i="9"/>
  <c r="H40" i="9"/>
  <c r="I40" i="9"/>
  <c r="J40" i="9"/>
  <c r="K40" i="9"/>
  <c r="L40" i="9"/>
  <c r="M40" i="9"/>
  <c r="N40" i="9"/>
  <c r="O40" i="9"/>
  <c r="P40" i="9"/>
  <c r="B41" i="9"/>
  <c r="C41" i="9"/>
  <c r="D41" i="9"/>
  <c r="E41" i="9"/>
  <c r="F41" i="9"/>
  <c r="G41" i="9"/>
  <c r="H41" i="9"/>
  <c r="I41" i="9"/>
  <c r="J41" i="9"/>
  <c r="K41" i="9"/>
  <c r="L41" i="9"/>
  <c r="M41" i="9"/>
  <c r="N41" i="9"/>
  <c r="O41" i="9"/>
  <c r="P41" i="9"/>
  <c r="B42" i="9"/>
  <c r="C42" i="9"/>
  <c r="D42" i="9"/>
  <c r="E42" i="9"/>
  <c r="F42" i="9"/>
  <c r="G42" i="9"/>
  <c r="H42" i="9"/>
  <c r="I42" i="9"/>
  <c r="J42" i="9"/>
  <c r="K42" i="9"/>
  <c r="L42" i="9"/>
  <c r="M42" i="9"/>
  <c r="N42" i="9"/>
  <c r="O42" i="9"/>
  <c r="P42" i="9"/>
  <c r="B43" i="9"/>
  <c r="C43" i="9"/>
  <c r="D43" i="9"/>
  <c r="E43" i="9"/>
  <c r="F43" i="9"/>
  <c r="G43" i="9"/>
  <c r="H43" i="9"/>
  <c r="I43" i="9"/>
  <c r="J43" i="9"/>
  <c r="K43" i="9"/>
  <c r="L43" i="9"/>
  <c r="M43" i="9"/>
  <c r="N43" i="9"/>
  <c r="O43" i="9"/>
  <c r="P43" i="9"/>
  <c r="B44" i="9"/>
  <c r="C44" i="9"/>
  <c r="D44" i="9"/>
  <c r="E44" i="9"/>
  <c r="F44" i="9"/>
  <c r="G44" i="9"/>
  <c r="H44" i="9"/>
  <c r="I44" i="9"/>
  <c r="J44" i="9"/>
  <c r="K44" i="9"/>
  <c r="L44" i="9"/>
  <c r="M44" i="9"/>
  <c r="N44" i="9"/>
  <c r="O44" i="9"/>
  <c r="P44" i="9"/>
  <c r="B9" i="6" l="1"/>
  <c r="B10" i="6"/>
  <c r="B11" i="6"/>
  <c r="B12" i="6"/>
  <c r="B13" i="6"/>
  <c r="B14" i="6"/>
  <c r="B15" i="6"/>
  <c r="AH9" i="6"/>
  <c r="AH10" i="6"/>
  <c r="AH11" i="6"/>
  <c r="AH12" i="6"/>
  <c r="AH13" i="6"/>
  <c r="AH14" i="6"/>
  <c r="AH15" i="6"/>
  <c r="P44" i="13"/>
  <c r="O44" i="13"/>
  <c r="N44" i="13"/>
  <c r="M44" i="13"/>
  <c r="L44" i="13"/>
  <c r="K44" i="13"/>
  <c r="J44" i="13"/>
  <c r="I44" i="13"/>
  <c r="H44" i="13"/>
  <c r="G44" i="13"/>
  <c r="F44" i="13"/>
  <c r="E44" i="13"/>
  <c r="D44" i="13"/>
  <c r="C44" i="13"/>
  <c r="B44" i="13"/>
  <c r="P43" i="13"/>
  <c r="O43" i="13"/>
  <c r="N43" i="13"/>
  <c r="M43" i="13"/>
  <c r="L43" i="13"/>
  <c r="K43" i="13"/>
  <c r="J43" i="13"/>
  <c r="I43" i="13"/>
  <c r="H43" i="13"/>
  <c r="G43" i="13"/>
  <c r="F43" i="13"/>
  <c r="E43" i="13"/>
  <c r="D43" i="13"/>
  <c r="C43" i="13"/>
  <c r="B43" i="13"/>
  <c r="P42" i="13"/>
  <c r="O42" i="13"/>
  <c r="N42" i="13"/>
  <c r="M42" i="13"/>
  <c r="L42" i="13"/>
  <c r="K42" i="13"/>
  <c r="J42" i="13"/>
  <c r="I42" i="13"/>
  <c r="H42" i="13"/>
  <c r="G42" i="13"/>
  <c r="F42" i="13"/>
  <c r="E42" i="13"/>
  <c r="D42" i="13"/>
  <c r="C42" i="13"/>
  <c r="B42" i="13"/>
  <c r="P41" i="13"/>
  <c r="O41" i="13"/>
  <c r="N41" i="13"/>
  <c r="M41" i="13"/>
  <c r="L41" i="13"/>
  <c r="K41" i="13"/>
  <c r="J41" i="13"/>
  <c r="I41" i="13"/>
  <c r="H41" i="13"/>
  <c r="G41" i="13"/>
  <c r="F41" i="13"/>
  <c r="E41" i="13"/>
  <c r="D41" i="13"/>
  <c r="C41" i="13"/>
  <c r="B41" i="13"/>
  <c r="P40" i="13"/>
  <c r="O40" i="13"/>
  <c r="N40" i="13"/>
  <c r="M40" i="13"/>
  <c r="L40" i="13"/>
  <c r="K40" i="13"/>
  <c r="J40" i="13"/>
  <c r="I40" i="13"/>
  <c r="H40" i="13"/>
  <c r="G40" i="13"/>
  <c r="F40" i="13"/>
  <c r="E40" i="13"/>
  <c r="D40" i="13"/>
  <c r="C40" i="13"/>
  <c r="B40" i="13"/>
  <c r="P44" i="12"/>
  <c r="O44" i="12"/>
  <c r="N44" i="12"/>
  <c r="M44" i="12"/>
  <c r="L44" i="12"/>
  <c r="K44" i="12"/>
  <c r="J44" i="12"/>
  <c r="I44" i="12"/>
  <c r="H44" i="12"/>
  <c r="G44" i="12"/>
  <c r="F44" i="12"/>
  <c r="E44" i="12"/>
  <c r="D44" i="12"/>
  <c r="C44" i="12"/>
  <c r="B44" i="12"/>
  <c r="P43" i="12"/>
  <c r="O43" i="12"/>
  <c r="N43" i="12"/>
  <c r="M43" i="12"/>
  <c r="L43" i="12"/>
  <c r="K43" i="12"/>
  <c r="J43" i="12"/>
  <c r="I43" i="12"/>
  <c r="H43" i="12"/>
  <c r="G43" i="12"/>
  <c r="F43" i="12"/>
  <c r="E43" i="12"/>
  <c r="D43" i="12"/>
  <c r="C43" i="12"/>
  <c r="B43" i="12"/>
  <c r="P42" i="12"/>
  <c r="O42" i="12"/>
  <c r="N42" i="12"/>
  <c r="M42" i="12"/>
  <c r="L42" i="12"/>
  <c r="K42" i="12"/>
  <c r="J42" i="12"/>
  <c r="I42" i="12"/>
  <c r="H42" i="12"/>
  <c r="G42" i="12"/>
  <c r="F42" i="12"/>
  <c r="E42" i="12"/>
  <c r="D42" i="12"/>
  <c r="C42" i="12"/>
  <c r="B42" i="12"/>
  <c r="P41" i="12"/>
  <c r="O41" i="12"/>
  <c r="N41" i="12"/>
  <c r="M41" i="12"/>
  <c r="L41" i="12"/>
  <c r="K41" i="12"/>
  <c r="J41" i="12"/>
  <c r="I41" i="12"/>
  <c r="H41" i="12"/>
  <c r="G41" i="12"/>
  <c r="F41" i="12"/>
  <c r="E41" i="12"/>
  <c r="D41" i="12"/>
  <c r="C41" i="12"/>
  <c r="B41" i="12"/>
  <c r="P40" i="12"/>
  <c r="O40" i="12"/>
  <c r="N40" i="12"/>
  <c r="M40" i="12"/>
  <c r="L40" i="12"/>
  <c r="K40" i="12"/>
  <c r="J40" i="12"/>
  <c r="I40" i="12"/>
  <c r="H40" i="12"/>
  <c r="G40" i="12"/>
  <c r="F40" i="12"/>
  <c r="E40" i="12"/>
  <c r="D40" i="12"/>
  <c r="C40" i="12"/>
  <c r="B40" i="12"/>
  <c r="P44" i="11"/>
  <c r="O44" i="11"/>
  <c r="N44" i="11"/>
  <c r="M44" i="11"/>
  <c r="L44" i="11"/>
  <c r="K44" i="11"/>
  <c r="J44" i="11"/>
  <c r="I44" i="11"/>
  <c r="H44" i="11"/>
  <c r="G44" i="11"/>
  <c r="F44" i="11"/>
  <c r="E44" i="11"/>
  <c r="D44" i="11"/>
  <c r="C44" i="11"/>
  <c r="B44" i="11"/>
  <c r="P43" i="11"/>
  <c r="O43" i="11"/>
  <c r="N43" i="11"/>
  <c r="M43" i="11"/>
  <c r="L43" i="11"/>
  <c r="K43" i="11"/>
  <c r="J43" i="11"/>
  <c r="I43" i="11"/>
  <c r="H43" i="11"/>
  <c r="G43" i="11"/>
  <c r="F43" i="11"/>
  <c r="E43" i="11"/>
  <c r="D43" i="11"/>
  <c r="C43" i="11"/>
  <c r="B43" i="11"/>
  <c r="P42" i="11"/>
  <c r="O42" i="11"/>
  <c r="N42" i="11"/>
  <c r="M42" i="11"/>
  <c r="L42" i="11"/>
  <c r="K42" i="11"/>
  <c r="J42" i="11"/>
  <c r="I42" i="11"/>
  <c r="H42" i="11"/>
  <c r="G42" i="11"/>
  <c r="F42" i="11"/>
  <c r="E42" i="11"/>
  <c r="D42" i="11"/>
  <c r="C42" i="11"/>
  <c r="B42" i="11"/>
  <c r="P41" i="11"/>
  <c r="O41" i="11"/>
  <c r="N41" i="11"/>
  <c r="M41" i="11"/>
  <c r="L41" i="11"/>
  <c r="K41" i="11"/>
  <c r="J41" i="11"/>
  <c r="I41" i="11"/>
  <c r="H41" i="11"/>
  <c r="G41" i="11"/>
  <c r="F41" i="11"/>
  <c r="E41" i="11"/>
  <c r="D41" i="11"/>
  <c r="C41" i="11"/>
  <c r="B41" i="11"/>
  <c r="P40" i="11"/>
  <c r="O40" i="11"/>
  <c r="N40" i="11"/>
  <c r="M40" i="11"/>
  <c r="L40" i="11"/>
  <c r="K40" i="11"/>
  <c r="J40" i="11"/>
  <c r="I40" i="11"/>
  <c r="H40" i="11"/>
  <c r="G40" i="11"/>
  <c r="F40" i="11"/>
  <c r="E40" i="11"/>
  <c r="D40" i="11"/>
  <c r="C40" i="11"/>
  <c r="B40" i="11"/>
  <c r="P44" i="10"/>
  <c r="O44" i="10"/>
  <c r="N44" i="10"/>
  <c r="M44" i="10"/>
  <c r="L44" i="10"/>
  <c r="K44" i="10"/>
  <c r="J44" i="10"/>
  <c r="I44" i="10"/>
  <c r="H44" i="10"/>
  <c r="G44" i="10"/>
  <c r="F44" i="10"/>
  <c r="E44" i="10"/>
  <c r="D44" i="10"/>
  <c r="C44" i="10"/>
  <c r="B44" i="10"/>
  <c r="P43" i="10"/>
  <c r="O43" i="10"/>
  <c r="N43" i="10"/>
  <c r="M43" i="10"/>
  <c r="L43" i="10"/>
  <c r="K43" i="10"/>
  <c r="J43" i="10"/>
  <c r="I43" i="10"/>
  <c r="H43" i="10"/>
  <c r="G43" i="10"/>
  <c r="F43" i="10"/>
  <c r="E43" i="10"/>
  <c r="D43" i="10"/>
  <c r="C43" i="10"/>
  <c r="B43" i="10"/>
  <c r="P42" i="10"/>
  <c r="O42" i="10"/>
  <c r="N42" i="10"/>
  <c r="M42" i="10"/>
  <c r="L42" i="10"/>
  <c r="K42" i="10"/>
  <c r="J42" i="10"/>
  <c r="I42" i="10"/>
  <c r="H42" i="10"/>
  <c r="G42" i="10"/>
  <c r="F42" i="10"/>
  <c r="E42" i="10"/>
  <c r="D42" i="10"/>
  <c r="C42" i="10"/>
  <c r="B42" i="10"/>
  <c r="P41" i="10"/>
  <c r="O41" i="10"/>
  <c r="N41" i="10"/>
  <c r="M41" i="10"/>
  <c r="L41" i="10"/>
  <c r="K41" i="10"/>
  <c r="J41" i="10"/>
  <c r="I41" i="10"/>
  <c r="H41" i="10"/>
  <c r="G41" i="10"/>
  <c r="F41" i="10"/>
  <c r="E41" i="10"/>
  <c r="D41" i="10"/>
  <c r="C41" i="10"/>
  <c r="B41" i="10"/>
  <c r="P40" i="10"/>
  <c r="O40" i="10"/>
  <c r="N40" i="10"/>
  <c r="M40" i="10"/>
  <c r="L40" i="10"/>
  <c r="K40" i="10"/>
  <c r="J40" i="10"/>
  <c r="I40" i="10"/>
  <c r="H40" i="10"/>
  <c r="G40" i="10"/>
  <c r="F40" i="10"/>
  <c r="E40" i="10"/>
  <c r="D40" i="10"/>
  <c r="C40" i="10"/>
  <c r="B40" i="10"/>
  <c r="P44" i="8"/>
  <c r="O44" i="8"/>
  <c r="N44" i="8"/>
  <c r="M44" i="8"/>
  <c r="L44" i="8"/>
  <c r="K44" i="8"/>
  <c r="J44" i="8"/>
  <c r="I44" i="8"/>
  <c r="H44" i="8"/>
  <c r="G44" i="8"/>
  <c r="F44" i="8"/>
  <c r="E44" i="8"/>
  <c r="D44" i="8"/>
  <c r="C44" i="8"/>
  <c r="B44" i="8"/>
  <c r="P43" i="8"/>
  <c r="O43" i="8"/>
  <c r="N43" i="8"/>
  <c r="M43" i="8"/>
  <c r="L43" i="8"/>
  <c r="K43" i="8"/>
  <c r="J43" i="8"/>
  <c r="I43" i="8"/>
  <c r="H43" i="8"/>
  <c r="G43" i="8"/>
  <c r="F43" i="8"/>
  <c r="E43" i="8"/>
  <c r="D43" i="8"/>
  <c r="C43" i="8"/>
  <c r="B43" i="8"/>
  <c r="P42" i="8"/>
  <c r="O42" i="8"/>
  <c r="N42" i="8"/>
  <c r="M42" i="8"/>
  <c r="L42" i="8"/>
  <c r="K42" i="8"/>
  <c r="J42" i="8"/>
  <c r="I42" i="8"/>
  <c r="H42" i="8"/>
  <c r="G42" i="8"/>
  <c r="F42" i="8"/>
  <c r="E42" i="8"/>
  <c r="D42" i="8"/>
  <c r="C42" i="8"/>
  <c r="B42" i="8"/>
  <c r="P41" i="8"/>
  <c r="O41" i="8"/>
  <c r="N41" i="8"/>
  <c r="M41" i="8"/>
  <c r="L41" i="8"/>
  <c r="K41" i="8"/>
  <c r="J41" i="8"/>
  <c r="I41" i="8"/>
  <c r="H41" i="8"/>
  <c r="G41" i="8"/>
  <c r="F41" i="8"/>
  <c r="E41" i="8"/>
  <c r="D41" i="8"/>
  <c r="C41" i="8"/>
  <c r="B41" i="8"/>
  <c r="P40" i="8"/>
  <c r="O40" i="8"/>
  <c r="N40" i="8"/>
  <c r="M40" i="8"/>
  <c r="L40" i="8"/>
  <c r="K40" i="8"/>
  <c r="J40" i="8"/>
  <c r="I40" i="8"/>
  <c r="H40" i="8"/>
  <c r="G40" i="8"/>
  <c r="F40" i="8"/>
  <c r="E40" i="8"/>
  <c r="D40" i="8"/>
  <c r="C40" i="8"/>
  <c r="B40" i="8"/>
  <c r="P44" i="7"/>
  <c r="O44" i="7"/>
  <c r="N44" i="7"/>
  <c r="M44" i="7"/>
  <c r="L44" i="7"/>
  <c r="K44" i="7"/>
  <c r="J44" i="7"/>
  <c r="I44" i="7"/>
  <c r="H44" i="7"/>
  <c r="G44" i="7"/>
  <c r="F44" i="7"/>
  <c r="E44" i="7"/>
  <c r="D44" i="7"/>
  <c r="C44" i="7"/>
  <c r="B44" i="7"/>
  <c r="P43" i="7"/>
  <c r="O43" i="7"/>
  <c r="N43" i="7"/>
  <c r="M43" i="7"/>
  <c r="L43" i="7"/>
  <c r="K43" i="7"/>
  <c r="J43" i="7"/>
  <c r="I43" i="7"/>
  <c r="H43" i="7"/>
  <c r="G43" i="7"/>
  <c r="F43" i="7"/>
  <c r="E43" i="7"/>
  <c r="D43" i="7"/>
  <c r="C43" i="7"/>
  <c r="B43" i="7"/>
  <c r="P42" i="7"/>
  <c r="O42" i="7"/>
  <c r="N42" i="7"/>
  <c r="M42" i="7"/>
  <c r="L42" i="7"/>
  <c r="K42" i="7"/>
  <c r="J42" i="7"/>
  <c r="I42" i="7"/>
  <c r="H42" i="7"/>
  <c r="G42" i="7"/>
  <c r="F42" i="7"/>
  <c r="E42" i="7"/>
  <c r="D42" i="7"/>
  <c r="C42" i="7"/>
  <c r="B42" i="7"/>
  <c r="P41" i="7"/>
  <c r="O41" i="7"/>
  <c r="N41" i="7"/>
  <c r="M41" i="7"/>
  <c r="L41" i="7"/>
  <c r="K41" i="7"/>
  <c r="J41" i="7"/>
  <c r="I41" i="7"/>
  <c r="H41" i="7"/>
  <c r="G41" i="7"/>
  <c r="F41" i="7"/>
  <c r="E41" i="7"/>
  <c r="D41" i="7"/>
  <c r="C41" i="7"/>
  <c r="B41" i="7"/>
  <c r="P40" i="7"/>
  <c r="O40" i="7"/>
  <c r="N40" i="7"/>
  <c r="M40" i="7"/>
  <c r="L40" i="7"/>
  <c r="K40" i="7"/>
  <c r="J40" i="7"/>
  <c r="I40" i="7"/>
  <c r="H40" i="7"/>
  <c r="G40" i="7"/>
  <c r="F40" i="7"/>
  <c r="E40" i="7"/>
  <c r="D40" i="7"/>
  <c r="C40" i="7"/>
  <c r="B40" i="7"/>
  <c r="AH5" i="6" l="1"/>
  <c r="AH6" i="6"/>
  <c r="AH7" i="6"/>
  <c r="AH8" i="6"/>
  <c r="AH4" i="6"/>
  <c r="J40" i="3"/>
  <c r="K40" i="3"/>
  <c r="L40" i="3"/>
  <c r="M40" i="3"/>
  <c r="N40" i="3"/>
  <c r="O40" i="3"/>
  <c r="P40" i="3"/>
  <c r="J41" i="3"/>
  <c r="K41" i="3"/>
  <c r="L41" i="3"/>
  <c r="M41" i="3"/>
  <c r="N41" i="3"/>
  <c r="O41" i="3"/>
  <c r="P41" i="3"/>
  <c r="J42" i="3"/>
  <c r="K42" i="3"/>
  <c r="L42" i="3"/>
  <c r="M42" i="3"/>
  <c r="N42" i="3"/>
  <c r="O42" i="3"/>
  <c r="P42" i="3"/>
  <c r="J43" i="3"/>
  <c r="K43" i="3"/>
  <c r="L43" i="3"/>
  <c r="M43" i="3"/>
  <c r="N43" i="3"/>
  <c r="O43" i="3"/>
  <c r="P43" i="3"/>
  <c r="J44" i="3"/>
  <c r="K44" i="3"/>
  <c r="L44" i="3"/>
  <c r="M44" i="3"/>
  <c r="N44" i="3"/>
  <c r="O44" i="3"/>
  <c r="P44" i="3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B44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B43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B42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B41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B40" i="2"/>
  <c r="I44" i="3"/>
  <c r="H44" i="3"/>
  <c r="G44" i="3"/>
  <c r="F44" i="3"/>
  <c r="E44" i="3"/>
  <c r="D44" i="3"/>
  <c r="C44" i="3"/>
  <c r="B44" i="3"/>
  <c r="I43" i="3"/>
  <c r="H43" i="3"/>
  <c r="G43" i="3"/>
  <c r="F43" i="3"/>
  <c r="E43" i="3"/>
  <c r="D43" i="3"/>
  <c r="C43" i="3"/>
  <c r="B43" i="3"/>
  <c r="I42" i="3"/>
  <c r="H42" i="3"/>
  <c r="G42" i="3"/>
  <c r="F42" i="3"/>
  <c r="E42" i="3"/>
  <c r="D42" i="3"/>
  <c r="C42" i="3"/>
  <c r="B42" i="3"/>
  <c r="I41" i="3"/>
  <c r="H41" i="3"/>
  <c r="G41" i="3"/>
  <c r="F41" i="3"/>
  <c r="E41" i="3"/>
  <c r="D41" i="3"/>
  <c r="C41" i="3"/>
  <c r="B41" i="3"/>
  <c r="I40" i="3"/>
  <c r="H40" i="3"/>
  <c r="G40" i="3"/>
  <c r="F40" i="3"/>
  <c r="E40" i="3"/>
  <c r="D40" i="3"/>
  <c r="C40" i="3"/>
  <c r="B40" i="3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B44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B43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B42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B41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B40" i="4"/>
  <c r="P44" i="5"/>
  <c r="O44" i="5"/>
  <c r="N44" i="5"/>
  <c r="M44" i="5"/>
  <c r="L44" i="5"/>
  <c r="K44" i="5"/>
  <c r="J44" i="5"/>
  <c r="I44" i="5"/>
  <c r="H44" i="5"/>
  <c r="G44" i="5"/>
  <c r="F44" i="5"/>
  <c r="E44" i="5"/>
  <c r="D44" i="5"/>
  <c r="C44" i="5"/>
  <c r="B44" i="5"/>
  <c r="P43" i="5"/>
  <c r="O43" i="5"/>
  <c r="N43" i="5"/>
  <c r="M43" i="5"/>
  <c r="L43" i="5"/>
  <c r="K43" i="5"/>
  <c r="J43" i="5"/>
  <c r="I43" i="5"/>
  <c r="H43" i="5"/>
  <c r="G43" i="5"/>
  <c r="F43" i="5"/>
  <c r="E43" i="5"/>
  <c r="D43" i="5"/>
  <c r="C43" i="5"/>
  <c r="B43" i="5"/>
  <c r="P42" i="5"/>
  <c r="O42" i="5"/>
  <c r="N42" i="5"/>
  <c r="M42" i="5"/>
  <c r="L42" i="5"/>
  <c r="K42" i="5"/>
  <c r="J42" i="5"/>
  <c r="I42" i="5"/>
  <c r="H42" i="5"/>
  <c r="G42" i="5"/>
  <c r="F42" i="5"/>
  <c r="E42" i="5"/>
  <c r="D42" i="5"/>
  <c r="C42" i="5"/>
  <c r="B42" i="5"/>
  <c r="P41" i="5"/>
  <c r="O41" i="5"/>
  <c r="N41" i="5"/>
  <c r="M41" i="5"/>
  <c r="L41" i="5"/>
  <c r="K41" i="5"/>
  <c r="J41" i="5"/>
  <c r="I41" i="5"/>
  <c r="H41" i="5"/>
  <c r="G41" i="5"/>
  <c r="F41" i="5"/>
  <c r="E41" i="5"/>
  <c r="D41" i="5"/>
  <c r="C41" i="5"/>
  <c r="B41" i="5"/>
  <c r="P40" i="5"/>
  <c r="O40" i="5"/>
  <c r="N40" i="5"/>
  <c r="M40" i="5"/>
  <c r="L40" i="5"/>
  <c r="K40" i="5"/>
  <c r="J40" i="5"/>
  <c r="I40" i="5"/>
  <c r="H40" i="5"/>
  <c r="G40" i="5"/>
  <c r="F40" i="5"/>
  <c r="E40" i="5"/>
  <c r="D40" i="5"/>
  <c r="C40" i="5"/>
  <c r="B40" i="5"/>
  <c r="K40" i="1"/>
  <c r="L40" i="1"/>
  <c r="M40" i="1"/>
  <c r="N40" i="1"/>
  <c r="O40" i="1"/>
  <c r="P40" i="1"/>
  <c r="K41" i="1"/>
  <c r="L41" i="1"/>
  <c r="M41" i="1"/>
  <c r="N41" i="1"/>
  <c r="O41" i="1"/>
  <c r="P41" i="1"/>
  <c r="K42" i="1"/>
  <c r="L42" i="1"/>
  <c r="M42" i="1"/>
  <c r="N42" i="1"/>
  <c r="O42" i="1"/>
  <c r="P42" i="1"/>
  <c r="K43" i="1"/>
  <c r="L43" i="1"/>
  <c r="M43" i="1"/>
  <c r="N43" i="1"/>
  <c r="O43" i="1"/>
  <c r="P43" i="1"/>
  <c r="K44" i="1"/>
  <c r="L44" i="1"/>
  <c r="M44" i="1"/>
  <c r="N44" i="1"/>
  <c r="O44" i="1"/>
  <c r="P44" i="1"/>
  <c r="B4" i="6"/>
  <c r="B5" i="6"/>
  <c r="B6" i="6"/>
  <c r="B7" i="6"/>
  <c r="B8" i="6"/>
  <c r="J44" i="1"/>
  <c r="I44" i="1"/>
  <c r="H44" i="1"/>
  <c r="G44" i="1"/>
  <c r="F44" i="1"/>
  <c r="E44" i="1"/>
  <c r="D44" i="1"/>
  <c r="C44" i="1"/>
  <c r="B44" i="1"/>
  <c r="J43" i="1"/>
  <c r="I43" i="1"/>
  <c r="H43" i="1"/>
  <c r="G43" i="1"/>
  <c r="F43" i="1"/>
  <c r="E43" i="1"/>
  <c r="D43" i="1"/>
  <c r="C43" i="1"/>
  <c r="B43" i="1"/>
  <c r="J42" i="1"/>
  <c r="I42" i="1"/>
  <c r="H42" i="1"/>
  <c r="G42" i="1"/>
  <c r="F42" i="1"/>
  <c r="E42" i="1"/>
  <c r="D42" i="1"/>
  <c r="C42" i="1"/>
  <c r="B42" i="1"/>
  <c r="J41" i="1"/>
  <c r="I41" i="1"/>
  <c r="H41" i="1"/>
  <c r="G41" i="1"/>
  <c r="F41" i="1"/>
  <c r="E41" i="1"/>
  <c r="D41" i="1"/>
  <c r="C41" i="1"/>
  <c r="B41" i="1"/>
  <c r="J40" i="1"/>
  <c r="I40" i="1"/>
  <c r="H40" i="1"/>
  <c r="G40" i="1"/>
  <c r="F40" i="1"/>
  <c r="E40" i="1"/>
  <c r="D40" i="1"/>
  <c r="C40" i="1"/>
  <c r="B40" i="1"/>
</calcChain>
</file>

<file path=xl/sharedStrings.xml><?xml version="1.0" encoding="utf-8"?>
<sst xmlns="http://schemas.openxmlformats.org/spreadsheetml/2006/main" count="651" uniqueCount="22">
  <si>
    <t>Graph Info:</t>
  </si>
  <si>
    <t>Number of Vertices</t>
  </si>
  <si>
    <t>Current run parameter:</t>
  </si>
  <si>
    <t>use_max_degree_root = false</t>
  </si>
  <si>
    <t>Level Separator</t>
  </si>
  <si>
    <t>Fundamental Cycle Separator</t>
  </si>
  <si>
    <t>Lipton-Tarjan Separator</t>
  </si>
  <si>
    <t>Separator Size</t>
  </si>
  <si>
    <t>Balance Ratio</t>
  </si>
  <si>
    <t>Runtime (ms)</t>
  </si>
  <si>
    <t>Runtime (s)</t>
  </si>
  <si>
    <t>Max</t>
  </si>
  <si>
    <t>Min</t>
  </si>
  <si>
    <t>Median</t>
  </si>
  <si>
    <t>Average</t>
  </si>
  <si>
    <t>Std.Dev</t>
  </si>
  <si>
    <t>StdDev</t>
  </si>
  <si>
    <t>Num of tabs</t>
  </si>
  <si>
    <t>sqrtN</t>
  </si>
  <si>
    <t>ModifiedFCS</t>
  </si>
  <si>
    <t>Simple Cycle Separator</t>
  </si>
  <si>
    <t>sphere_Tetrahedron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</si>
</sst>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24"/>
      <color rgb="FF000000"/>
      <name val="System Font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5">
    <xf numFmtId="0" fontId="0" fillId="0" borderId="0" xfId="0"/>
    <xf numFmtId="2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</cellXfs>
  <cellStyles count="5">
    <cellStyle name="Followed Hyperlink" xfId="2" builtinId="9" hidden="1"/>
    <cellStyle name="Followed Hyperlink" xfId="4" builtinId="9" hidden="1"/>
    <cellStyle name="Hyperlink" xfId="1" builtinId="8" hidden="1"/>
    <cellStyle name="Hyperlink" xfId="3" builtinId="8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/>
              <a:t>Tetrahedron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6116214639837"/>
          <c:y val="0.147275985663082"/>
          <c:w val="0.75788258238553496"/>
          <c:h val="0.68461180255693799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Summary!$C$2</c:f>
              <c:strCache>
                <c:ptCount val="1"/>
                <c:pt idx="0">
                  <c:v>Level Separator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Summary!$A$4:$A$15</c:f>
              <c:numCache>
                <c:formatCode>General</c:formatCode>
                <c:ptCount val="12"/>
                <c:pt idx="0">
                  <c:v>8</c:v>
                </c:pt>
                <c:pt idx="1">
                  <c:v>20</c:v>
                </c:pt>
                <c:pt idx="2">
                  <c:v>56</c:v>
                </c:pt>
                <c:pt idx="3">
                  <c:v>164</c:v>
                </c:pt>
                <c:pt idx="4">
                  <c:v>488</c:v>
                </c:pt>
                <c:pt idx="5">
                  <c:v>1460</c:v>
                </c:pt>
                <c:pt idx="6">
                  <c:v>4376</c:v>
                </c:pt>
                <c:pt idx="7">
                  <c:v>13124</c:v>
                </c:pt>
                <c:pt idx="8">
                  <c:v>39368</c:v>
                </c:pt>
                <c:pt idx="9">
                  <c:v>118100</c:v>
                </c:pt>
                <c:pt idx="10">
                  <c:v>354296</c:v>
                </c:pt>
                <c:pt idx="11">
                  <c:v>1062884</c:v>
                </c:pt>
              </c:numCache>
            </c:numRef>
          </c:xVal>
          <c:yVal>
            <c:numRef>
              <c:f>Summary!$C$4:$C$15</c:f>
              <c:numCache>
                <c:formatCode>0.00</c:formatCode>
                <c:ptCount val="12"/>
                <c:pt idx="0">
                  <c:v>5.0625</c:v>
                </c:pt>
                <c:pt idx="1">
                  <c:v>13.40625</c:v>
                </c:pt>
                <c:pt idx="2">
                  <c:v>32.53125</c:v>
                </c:pt>
                <c:pt idx="3">
                  <c:v>92.9375</c:v>
                </c:pt>
                <c:pt idx="4">
                  <c:v>279.5</c:v>
                </c:pt>
                <c:pt idx="5">
                  <c:v>837</c:v>
                </c:pt>
                <c:pt idx="6">
                  <c:v>2410.6875</c:v>
                </c:pt>
                <c:pt idx="7">
                  <c:v>6248.5</c:v>
                </c:pt>
                <c:pt idx="8">
                  <c:v>19513.9375</c:v>
                </c:pt>
                <c:pt idx="9">
                  <c:v>56130.375</c:v>
                </c:pt>
                <c:pt idx="10">
                  <c:v>171062.4375</c:v>
                </c:pt>
                <c:pt idx="11">
                  <c:v>496057.6875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F1-EF49-8002-C54D657629B1}"/>
            </c:ext>
          </c:extLst>
        </c:ser>
        <c:ser>
          <c:idx val="1"/>
          <c:order val="1"/>
          <c:tx>
            <c:strRef>
              <c:f>Summary!$E$2</c:f>
              <c:strCache>
                <c:ptCount val="1"/>
                <c:pt idx="0">
                  <c:v>Fundamental Cycle Separator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Summary!$A$4:$A$15</c:f>
              <c:numCache>
                <c:formatCode>General</c:formatCode>
                <c:ptCount val="12"/>
                <c:pt idx="0">
                  <c:v>8</c:v>
                </c:pt>
                <c:pt idx="1">
                  <c:v>20</c:v>
                </c:pt>
                <c:pt idx="2">
                  <c:v>56</c:v>
                </c:pt>
                <c:pt idx="3">
                  <c:v>164</c:v>
                </c:pt>
                <c:pt idx="4">
                  <c:v>488</c:v>
                </c:pt>
                <c:pt idx="5">
                  <c:v>1460</c:v>
                </c:pt>
                <c:pt idx="6">
                  <c:v>4376</c:v>
                </c:pt>
                <c:pt idx="7">
                  <c:v>13124</c:v>
                </c:pt>
                <c:pt idx="8">
                  <c:v>39368</c:v>
                </c:pt>
                <c:pt idx="9">
                  <c:v>118100</c:v>
                </c:pt>
                <c:pt idx="10">
                  <c:v>354296</c:v>
                </c:pt>
                <c:pt idx="11">
                  <c:v>1062884</c:v>
                </c:pt>
              </c:numCache>
            </c:numRef>
          </c:xVal>
          <c:yVal>
            <c:numRef>
              <c:f>Summary!$E$4:$E$15</c:f>
              <c:numCache>
                <c:formatCode>General</c:formatCode>
                <c:ptCount val="12"/>
                <c:pt idx="0">
                  <c:v>4.46875</c:v>
                </c:pt>
                <c:pt idx="1">
                  <c:v>5.15625</c:v>
                </c:pt>
                <c:pt idx="2">
                  <c:v>5.6875</c:v>
                </c:pt>
                <c:pt idx="3">
                  <c:v>6.0625</c:v>
                </c:pt>
                <c:pt idx="4">
                  <c:v>6.375</c:v>
                </c:pt>
                <c:pt idx="5" formatCode="0.00">
                  <c:v>6.1875</c:v>
                </c:pt>
                <c:pt idx="6" formatCode="0.00">
                  <c:v>7.875</c:v>
                </c:pt>
                <c:pt idx="7" formatCode="0.00">
                  <c:v>6.6875</c:v>
                </c:pt>
                <c:pt idx="8" formatCode="0.00">
                  <c:v>6.9375</c:v>
                </c:pt>
                <c:pt idx="9" formatCode="0.00">
                  <c:v>7.90625</c:v>
                </c:pt>
                <c:pt idx="10" formatCode="0.00">
                  <c:v>7.53125</c:v>
                </c:pt>
                <c:pt idx="11" formatCode="0.00">
                  <c:v>7.75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F1-EF49-8002-C54D657629B1}"/>
            </c:ext>
          </c:extLst>
        </c:ser>
        <c:ser>
          <c:idx val="4"/>
          <c:order val="2"/>
          <c:tx>
            <c:strRef>
              <c:f>Summary!$G$2</c:f>
              <c:strCache>
                <c:ptCount val="1"/>
                <c:pt idx="0">
                  <c:v>ModifiedFCS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Summary!$A$4:$A$15</c:f>
              <c:numCache>
                <c:formatCode>General</c:formatCode>
                <c:ptCount val="12"/>
                <c:pt idx="0">
                  <c:v>8</c:v>
                </c:pt>
                <c:pt idx="1">
                  <c:v>20</c:v>
                </c:pt>
                <c:pt idx="2">
                  <c:v>56</c:v>
                </c:pt>
                <c:pt idx="3">
                  <c:v>164</c:v>
                </c:pt>
                <c:pt idx="4">
                  <c:v>488</c:v>
                </c:pt>
                <c:pt idx="5">
                  <c:v>1460</c:v>
                </c:pt>
                <c:pt idx="6">
                  <c:v>4376</c:v>
                </c:pt>
                <c:pt idx="7">
                  <c:v>13124</c:v>
                </c:pt>
                <c:pt idx="8">
                  <c:v>39368</c:v>
                </c:pt>
                <c:pt idx="9">
                  <c:v>118100</c:v>
                </c:pt>
                <c:pt idx="10">
                  <c:v>354296</c:v>
                </c:pt>
                <c:pt idx="11">
                  <c:v>1062884</c:v>
                </c:pt>
              </c:numCache>
            </c:numRef>
          </c:xVal>
          <c:yVal>
            <c:numRef>
              <c:f>Summary!$G$4:$G$15</c:f>
              <c:numCache>
                <c:formatCode>General</c:formatCode>
                <c:ptCount val="12"/>
                <c:pt idx="0">
                  <c:v>4.46875</c:v>
                </c:pt>
                <c:pt idx="1">
                  <c:v>4.625</c:v>
                </c:pt>
                <c:pt idx="2">
                  <c:v>4.96875</c:v>
                </c:pt>
                <c:pt idx="3">
                  <c:v>5.09375</c:v>
                </c:pt>
                <c:pt idx="4">
                  <c:v>5.21875</c:v>
                </c:pt>
                <c:pt idx="5" formatCode="0.00">
                  <c:v>4.96875</c:v>
                </c:pt>
                <c:pt idx="6" formatCode="0.00">
                  <c:v>5.84375</c:v>
                </c:pt>
                <c:pt idx="7" formatCode="0.00">
                  <c:v>5.09375</c:v>
                </c:pt>
                <c:pt idx="8" formatCode="0.00">
                  <c:v>4.96875</c:v>
                </c:pt>
                <c:pt idx="9" formatCode="0.00">
                  <c:v>5.3125</c:v>
                </c:pt>
                <c:pt idx="10" formatCode="0.00">
                  <c:v>5.4375</c:v>
                </c:pt>
                <c:pt idx="11" formatCode="0.00">
                  <c:v>5.3125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FF1-EF49-8002-C54D657629B1}"/>
            </c:ext>
          </c:extLst>
        </c:ser>
        <c:ser>
          <c:idx val="2"/>
          <c:order val="3"/>
          <c:tx>
            <c:strRef>
              <c:f>Summary!$I$2</c:f>
              <c:strCache>
                <c:ptCount val="1"/>
                <c:pt idx="0">
                  <c:v>Lipton-Tarjan Separator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Summary!$A$4:$A$15</c:f>
              <c:numCache>
                <c:formatCode>General</c:formatCode>
                <c:ptCount val="12"/>
                <c:pt idx="0">
                  <c:v>8</c:v>
                </c:pt>
                <c:pt idx="1">
                  <c:v>20</c:v>
                </c:pt>
                <c:pt idx="2">
                  <c:v>56</c:v>
                </c:pt>
                <c:pt idx="3">
                  <c:v>164</c:v>
                </c:pt>
                <c:pt idx="4">
                  <c:v>488</c:v>
                </c:pt>
                <c:pt idx="5">
                  <c:v>1460</c:v>
                </c:pt>
                <c:pt idx="6">
                  <c:v>4376</c:v>
                </c:pt>
                <c:pt idx="7">
                  <c:v>13124</c:v>
                </c:pt>
                <c:pt idx="8">
                  <c:v>39368</c:v>
                </c:pt>
                <c:pt idx="9">
                  <c:v>118100</c:v>
                </c:pt>
                <c:pt idx="10">
                  <c:v>354296</c:v>
                </c:pt>
                <c:pt idx="11">
                  <c:v>1062884</c:v>
                </c:pt>
              </c:numCache>
            </c:numRef>
          </c:xVal>
          <c:yVal>
            <c:numRef>
              <c:f>Summary!$I$4:$I$15</c:f>
              <c:numCache>
                <c:formatCode>General</c:formatCode>
                <c:ptCount val="12"/>
                <c:pt idx="0">
                  <c:v>4.46875</c:v>
                </c:pt>
                <c:pt idx="1">
                  <c:v>6.25</c:v>
                </c:pt>
                <c:pt idx="2">
                  <c:v>7.5625</c:v>
                </c:pt>
                <c:pt idx="3">
                  <c:v>11.34375</c:v>
                </c:pt>
                <c:pt idx="4">
                  <c:v>12.03125</c:v>
                </c:pt>
                <c:pt idx="5">
                  <c:v>21.75</c:v>
                </c:pt>
                <c:pt idx="6">
                  <c:v>52.0625</c:v>
                </c:pt>
                <c:pt idx="7">
                  <c:v>42.71875</c:v>
                </c:pt>
                <c:pt idx="8">
                  <c:v>48.625</c:v>
                </c:pt>
                <c:pt idx="9">
                  <c:v>198.53125</c:v>
                </c:pt>
                <c:pt idx="10">
                  <c:v>206.9375</c:v>
                </c:pt>
                <c:pt idx="11">
                  <c:v>250.4375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FF1-EF49-8002-C54D657629B1}"/>
            </c:ext>
          </c:extLst>
        </c:ser>
        <c:ser>
          <c:idx val="5"/>
          <c:order val="4"/>
          <c:tx>
            <c:strRef>
              <c:f>Summary!$K$2</c:f>
              <c:strCache>
                <c:ptCount val="1"/>
                <c:pt idx="0">
                  <c:v>Simple Cycle Separator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Summary!$A$4:$A$15</c:f>
              <c:numCache>
                <c:formatCode>General</c:formatCode>
                <c:ptCount val="12"/>
                <c:pt idx="0">
                  <c:v>8</c:v>
                </c:pt>
                <c:pt idx="1">
                  <c:v>20</c:v>
                </c:pt>
                <c:pt idx="2">
                  <c:v>56</c:v>
                </c:pt>
                <c:pt idx="3">
                  <c:v>164</c:v>
                </c:pt>
                <c:pt idx="4">
                  <c:v>488</c:v>
                </c:pt>
                <c:pt idx="5">
                  <c:v>1460</c:v>
                </c:pt>
                <c:pt idx="6">
                  <c:v>4376</c:v>
                </c:pt>
                <c:pt idx="7">
                  <c:v>13124</c:v>
                </c:pt>
                <c:pt idx="8">
                  <c:v>39368</c:v>
                </c:pt>
                <c:pt idx="9">
                  <c:v>118100</c:v>
                </c:pt>
                <c:pt idx="10">
                  <c:v>354296</c:v>
                </c:pt>
                <c:pt idx="11">
                  <c:v>1062884</c:v>
                </c:pt>
              </c:numCache>
            </c:numRef>
          </c:xVal>
          <c:yVal>
            <c:numRef>
              <c:f>Summary!$K$4:$K$15</c:f>
              <c:numCache>
                <c:formatCode>General</c:formatCode>
                <c:ptCount val="12"/>
                <c:pt idx="0">
                  <c:v>3.53125</c:v>
                </c:pt>
                <c:pt idx="1">
                  <c:v>4.9375</c:v>
                </c:pt>
                <c:pt idx="2">
                  <c:v>5.21875</c:v>
                </c:pt>
                <c:pt idx="3">
                  <c:v>4.78125</c:v>
                </c:pt>
                <c:pt idx="4">
                  <c:v>4.875</c:v>
                </c:pt>
                <c:pt idx="5">
                  <c:v>4.59375</c:v>
                </c:pt>
                <c:pt idx="6">
                  <c:v>4.90625</c:v>
                </c:pt>
                <c:pt idx="7">
                  <c:v>4.6875</c:v>
                </c:pt>
                <c:pt idx="8">
                  <c:v>4.71875</c:v>
                </c:pt>
                <c:pt idx="9">
                  <c:v>4.90625</c:v>
                </c:pt>
                <c:pt idx="10">
                  <c:v>4.625</c:v>
                </c:pt>
                <c:pt idx="11">
                  <c:v>4.78125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FF1-EF49-8002-C54D657629B1}"/>
            </c:ext>
          </c:extLst>
        </c:ser>
        <c:ser>
          <c:idx val="3"/>
          <c:order val="5"/>
          <c:tx>
            <c:strRef>
              <c:f>Summary!$B$3</c:f>
              <c:strCache>
                <c:ptCount val="1"/>
                <c:pt idx="0">
                  <c:v>sqrtN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  <a:prstDash val="sysDot"/>
              </a:ln>
              <a:effectLst/>
            </c:spPr>
          </c:marker>
          <c:xVal>
            <c:numRef>
              <c:f>Summary!$A$4:$A$15</c:f>
              <c:numCache>
                <c:formatCode>General</c:formatCode>
                <c:ptCount val="12"/>
                <c:pt idx="0">
                  <c:v>8</c:v>
                </c:pt>
                <c:pt idx="1">
                  <c:v>20</c:v>
                </c:pt>
                <c:pt idx="2">
                  <c:v>56</c:v>
                </c:pt>
                <c:pt idx="3">
                  <c:v>164</c:v>
                </c:pt>
                <c:pt idx="4">
                  <c:v>488</c:v>
                </c:pt>
                <c:pt idx="5">
                  <c:v>1460</c:v>
                </c:pt>
                <c:pt idx="6">
                  <c:v>4376</c:v>
                </c:pt>
                <c:pt idx="7">
                  <c:v>13124</c:v>
                </c:pt>
                <c:pt idx="8">
                  <c:v>39368</c:v>
                </c:pt>
                <c:pt idx="9">
                  <c:v>118100</c:v>
                </c:pt>
                <c:pt idx="10">
                  <c:v>354296</c:v>
                </c:pt>
                <c:pt idx="11">
                  <c:v>1062884</c:v>
                </c:pt>
              </c:numCache>
            </c:numRef>
          </c:xVal>
          <c:yVal>
            <c:numRef>
              <c:f>Summary!$B$4:$B$15</c:f>
              <c:numCache>
                <c:formatCode>0.000</c:formatCode>
                <c:ptCount val="12"/>
                <c:pt idx="0">
                  <c:v>2.8284271247461903</c:v>
                </c:pt>
                <c:pt idx="1">
                  <c:v>4.4721359549995796</c:v>
                </c:pt>
                <c:pt idx="2">
                  <c:v>7.4833147735478827</c:v>
                </c:pt>
                <c:pt idx="3">
                  <c:v>12.806248474865697</c:v>
                </c:pt>
                <c:pt idx="4">
                  <c:v>22.090722034374522</c:v>
                </c:pt>
                <c:pt idx="5">
                  <c:v>38.209946349085598</c:v>
                </c:pt>
                <c:pt idx="6">
                  <c:v>66.151341634164908</c:v>
                </c:pt>
                <c:pt idx="7">
                  <c:v>114.56002793295748</c:v>
                </c:pt>
                <c:pt idx="8">
                  <c:v>198.41370920377452</c:v>
                </c:pt>
                <c:pt idx="9">
                  <c:v>343.65680554879168</c:v>
                </c:pt>
                <c:pt idx="10">
                  <c:v>595.22768752805848</c:v>
                </c:pt>
                <c:pt idx="11">
                  <c:v>1030.9626569376799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FF1-EF49-8002-C54D657629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44187312"/>
        <c:axId val="-1344184608"/>
      </c:scatterChart>
      <c:valAx>
        <c:axId val="-1344187312"/>
        <c:scaling>
          <c:logBase val="10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Number of Vertices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4184608"/>
        <c:crosses val="autoZero"/>
        <c:crossBetween val="midCat"/>
      </c:valAx>
      <c:valAx>
        <c:axId val="-1344184608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Separator Size (# 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4187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6166028725576001"/>
          <c:y val="0.15125847550306201"/>
          <c:w val="0.40350612423447063"/>
          <c:h val="0.341743657042869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 orientation="portrait" horizontalDpi="0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u="none" strike="noStrike" baseline="0">
                <a:effectLst/>
              </a:rPr>
              <a:t>Tetrahedron</a:t>
            </a:r>
            <a:r>
              <a:rPr lang="en-US" sz="1800" b="0" i="0" u="none" strike="noStrike" baseline="0"/>
              <a:t> </a:t>
            </a:r>
            <a:endParaRPr lang="en-US" sz="18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6116214639837"/>
          <c:y val="0.147275985663082"/>
          <c:w val="0.75788258238553496"/>
          <c:h val="0.68461180255693799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Summary!$M$2</c:f>
              <c:strCache>
                <c:ptCount val="1"/>
                <c:pt idx="0">
                  <c:v>Level Separator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Summary!$A$4:$A$15</c:f>
              <c:numCache>
                <c:formatCode>General</c:formatCode>
                <c:ptCount val="12"/>
                <c:pt idx="0">
                  <c:v>8</c:v>
                </c:pt>
                <c:pt idx="1">
                  <c:v>20</c:v>
                </c:pt>
                <c:pt idx="2">
                  <c:v>56</c:v>
                </c:pt>
                <c:pt idx="3">
                  <c:v>164</c:v>
                </c:pt>
                <c:pt idx="4">
                  <c:v>488</c:v>
                </c:pt>
                <c:pt idx="5">
                  <c:v>1460</c:v>
                </c:pt>
                <c:pt idx="6">
                  <c:v>4376</c:v>
                </c:pt>
                <c:pt idx="7">
                  <c:v>13124</c:v>
                </c:pt>
                <c:pt idx="8">
                  <c:v>39368</c:v>
                </c:pt>
                <c:pt idx="9">
                  <c:v>118100</c:v>
                </c:pt>
                <c:pt idx="10">
                  <c:v>354296</c:v>
                </c:pt>
                <c:pt idx="11">
                  <c:v>1062884</c:v>
                </c:pt>
              </c:numCache>
            </c:numRef>
          </c:xVal>
          <c:yVal>
            <c:numRef>
              <c:f>Summary!$M$4:$M$15</c:f>
              <c:numCache>
                <c:formatCode>General</c:formatCode>
                <c:ptCount val="12"/>
                <c:pt idx="0">
                  <c:v>1.46875</c:v>
                </c:pt>
                <c:pt idx="1">
                  <c:v>1.26322125</c:v>
                </c:pt>
                <c:pt idx="2">
                  <c:v>1.3924253125000003</c:v>
                </c:pt>
                <c:pt idx="3">
                  <c:v>1.4744218749999998</c:v>
                </c:pt>
                <c:pt idx="4">
                  <c:v>1.3648315625</c:v>
                </c:pt>
                <c:pt idx="5">
                  <c:v>1.3444425000000002</c:v>
                </c:pt>
                <c:pt idx="6">
                  <c:v>1.2599634374999999</c:v>
                </c:pt>
                <c:pt idx="7">
                  <c:v>1.5774281250000002</c:v>
                </c:pt>
                <c:pt idx="8">
                  <c:v>1.4204871874999996</c:v>
                </c:pt>
                <c:pt idx="9">
                  <c:v>1.419054375</c:v>
                </c:pt>
                <c:pt idx="10">
                  <c:v>1.2245593750000003</c:v>
                </c:pt>
                <c:pt idx="11">
                  <c:v>1.3145549999999999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A9-B64B-924F-B6B72EAF0BF2}"/>
            </c:ext>
          </c:extLst>
        </c:ser>
        <c:ser>
          <c:idx val="1"/>
          <c:order val="1"/>
          <c:tx>
            <c:strRef>
              <c:f>Summary!$O$2</c:f>
              <c:strCache>
                <c:ptCount val="1"/>
                <c:pt idx="0">
                  <c:v>Fundamental Cycle Separator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Summary!$A$4:$A$15</c:f>
              <c:numCache>
                <c:formatCode>General</c:formatCode>
                <c:ptCount val="12"/>
                <c:pt idx="0">
                  <c:v>8</c:v>
                </c:pt>
                <c:pt idx="1">
                  <c:v>20</c:v>
                </c:pt>
                <c:pt idx="2">
                  <c:v>56</c:v>
                </c:pt>
                <c:pt idx="3">
                  <c:v>164</c:v>
                </c:pt>
                <c:pt idx="4">
                  <c:v>488</c:v>
                </c:pt>
                <c:pt idx="5">
                  <c:v>1460</c:v>
                </c:pt>
                <c:pt idx="6">
                  <c:v>4376</c:v>
                </c:pt>
                <c:pt idx="7">
                  <c:v>13124</c:v>
                </c:pt>
                <c:pt idx="8">
                  <c:v>39368</c:v>
                </c:pt>
                <c:pt idx="9">
                  <c:v>118100</c:v>
                </c:pt>
                <c:pt idx="10">
                  <c:v>354296</c:v>
                </c:pt>
                <c:pt idx="11">
                  <c:v>1062884</c:v>
                </c:pt>
              </c:numCache>
            </c:numRef>
          </c:xVal>
          <c:yVal>
            <c:numRef>
              <c:f>Summary!$O$4:$O$15</c:f>
              <c:numCache>
                <c:formatCode>General</c:formatCode>
                <c:ptCount val="12"/>
                <c:pt idx="0">
                  <c:v>1.2906265624999995</c:v>
                </c:pt>
                <c:pt idx="1">
                  <c:v>1.4786937499999997</c:v>
                </c:pt>
                <c:pt idx="2">
                  <c:v>1.6935050000000007</c:v>
                </c:pt>
                <c:pt idx="3">
                  <c:v>1.8606340625</c:v>
                </c:pt>
                <c:pt idx="4">
                  <c:v>1.9439165625000006</c:v>
                </c:pt>
                <c:pt idx="5">
                  <c:v>1.9685693750000008</c:v>
                </c:pt>
                <c:pt idx="6">
                  <c:v>1.8974821875000003</c:v>
                </c:pt>
                <c:pt idx="7">
                  <c:v>1.9657509375</c:v>
                </c:pt>
                <c:pt idx="8">
                  <c:v>1.9515671875000002</c:v>
                </c:pt>
                <c:pt idx="9">
                  <c:v>1.9528071875000004</c:v>
                </c:pt>
                <c:pt idx="10">
                  <c:v>1.9920859375000006</c:v>
                </c:pt>
                <c:pt idx="11">
                  <c:v>1.9498043749999994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A9-B64B-924F-B6B72EAF0BF2}"/>
            </c:ext>
          </c:extLst>
        </c:ser>
        <c:ser>
          <c:idx val="4"/>
          <c:order val="2"/>
          <c:tx>
            <c:strRef>
              <c:f>Summary!$Q$2</c:f>
              <c:strCache>
                <c:ptCount val="1"/>
                <c:pt idx="0">
                  <c:v>ModifiedFCS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Summary!$A$4:$A$15</c:f>
              <c:numCache>
                <c:formatCode>General</c:formatCode>
                <c:ptCount val="12"/>
                <c:pt idx="0">
                  <c:v>8</c:v>
                </c:pt>
                <c:pt idx="1">
                  <c:v>20</c:v>
                </c:pt>
                <c:pt idx="2">
                  <c:v>56</c:v>
                </c:pt>
                <c:pt idx="3">
                  <c:v>164</c:v>
                </c:pt>
                <c:pt idx="4">
                  <c:v>488</c:v>
                </c:pt>
                <c:pt idx="5">
                  <c:v>1460</c:v>
                </c:pt>
                <c:pt idx="6">
                  <c:v>4376</c:v>
                </c:pt>
                <c:pt idx="7">
                  <c:v>13124</c:v>
                </c:pt>
                <c:pt idx="8">
                  <c:v>39368</c:v>
                </c:pt>
                <c:pt idx="9">
                  <c:v>118100</c:v>
                </c:pt>
                <c:pt idx="10">
                  <c:v>354296</c:v>
                </c:pt>
                <c:pt idx="11">
                  <c:v>1062884</c:v>
                </c:pt>
              </c:numCache>
            </c:numRef>
          </c:xVal>
          <c:yVal>
            <c:numRef>
              <c:f>Summary!$Q$4:$Q$15</c:f>
              <c:numCache>
                <c:formatCode>General</c:formatCode>
                <c:ptCount val="12"/>
                <c:pt idx="0">
                  <c:v>1.2906265624999995</c:v>
                </c:pt>
                <c:pt idx="1">
                  <c:v>1.5625012500000004</c:v>
                </c:pt>
                <c:pt idx="2">
                  <c:v>1.7175206250000001</c:v>
                </c:pt>
                <c:pt idx="3">
                  <c:v>1.8404240624999995</c:v>
                </c:pt>
                <c:pt idx="4">
                  <c:v>1.8728556250000001</c:v>
                </c:pt>
                <c:pt idx="5">
                  <c:v>1.8848306250000002</c:v>
                </c:pt>
                <c:pt idx="6">
                  <c:v>1.8622987500000003</c:v>
                </c:pt>
                <c:pt idx="7">
                  <c:v>1.8673562500000001</c:v>
                </c:pt>
                <c:pt idx="8">
                  <c:v>1.8284153124999991</c:v>
                </c:pt>
                <c:pt idx="9">
                  <c:v>1.8524512500000001</c:v>
                </c:pt>
                <c:pt idx="10">
                  <c:v>1.9039131250000001</c:v>
                </c:pt>
                <c:pt idx="11">
                  <c:v>1.8522390624999996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8A9-B64B-924F-B6B72EAF0BF2}"/>
            </c:ext>
          </c:extLst>
        </c:ser>
        <c:ser>
          <c:idx val="2"/>
          <c:order val="3"/>
          <c:tx>
            <c:strRef>
              <c:f>Summary!$S$2</c:f>
              <c:strCache>
                <c:ptCount val="1"/>
                <c:pt idx="0">
                  <c:v>Lipton-Tarjan Separator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Summary!$A$4:$A$15</c:f>
              <c:numCache>
                <c:formatCode>General</c:formatCode>
                <c:ptCount val="12"/>
                <c:pt idx="0">
                  <c:v>8</c:v>
                </c:pt>
                <c:pt idx="1">
                  <c:v>20</c:v>
                </c:pt>
                <c:pt idx="2">
                  <c:v>56</c:v>
                </c:pt>
                <c:pt idx="3">
                  <c:v>164</c:v>
                </c:pt>
                <c:pt idx="4">
                  <c:v>488</c:v>
                </c:pt>
                <c:pt idx="5">
                  <c:v>1460</c:v>
                </c:pt>
                <c:pt idx="6">
                  <c:v>4376</c:v>
                </c:pt>
                <c:pt idx="7">
                  <c:v>13124</c:v>
                </c:pt>
                <c:pt idx="8">
                  <c:v>39368</c:v>
                </c:pt>
                <c:pt idx="9">
                  <c:v>118100</c:v>
                </c:pt>
                <c:pt idx="10">
                  <c:v>354296</c:v>
                </c:pt>
                <c:pt idx="11">
                  <c:v>1062884</c:v>
                </c:pt>
              </c:numCache>
            </c:numRef>
          </c:xVal>
          <c:yVal>
            <c:numRef>
              <c:f>Summary!$S$4:$S$15</c:f>
              <c:numCache>
                <c:formatCode>General</c:formatCode>
                <c:ptCount val="12"/>
                <c:pt idx="0">
                  <c:v>1.2906265624999995</c:v>
                </c:pt>
                <c:pt idx="1">
                  <c:v>1.2842537500000002</c:v>
                </c:pt>
                <c:pt idx="2">
                  <c:v>1.5524024999999999</c:v>
                </c:pt>
                <c:pt idx="3">
                  <c:v>1.73611</c:v>
                </c:pt>
                <c:pt idx="4">
                  <c:v>1.8901109374999994</c:v>
                </c:pt>
                <c:pt idx="5">
                  <c:v>1.9328262500000002</c:v>
                </c:pt>
                <c:pt idx="6">
                  <c:v>1.8518203124999999</c:v>
                </c:pt>
                <c:pt idx="7">
                  <c:v>1.9556656250000006</c:v>
                </c:pt>
                <c:pt idx="8">
                  <c:v>1.9482265625000008</c:v>
                </c:pt>
                <c:pt idx="9">
                  <c:v>1.9445962500000002</c:v>
                </c:pt>
                <c:pt idx="10">
                  <c:v>1.9890228124999996</c:v>
                </c:pt>
                <c:pt idx="11">
                  <c:v>1.9491546875000001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8A9-B64B-924F-B6B72EAF0BF2}"/>
            </c:ext>
          </c:extLst>
        </c:ser>
        <c:ser>
          <c:idx val="5"/>
          <c:order val="4"/>
          <c:tx>
            <c:strRef>
              <c:f>Summary!$U$2</c:f>
              <c:strCache>
                <c:ptCount val="1"/>
                <c:pt idx="0">
                  <c:v>Simple Cycle Separator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Summary!$A$4:$A$15</c:f>
              <c:numCache>
                <c:formatCode>General</c:formatCode>
                <c:ptCount val="12"/>
                <c:pt idx="0">
                  <c:v>8</c:v>
                </c:pt>
                <c:pt idx="1">
                  <c:v>20</c:v>
                </c:pt>
                <c:pt idx="2">
                  <c:v>56</c:v>
                </c:pt>
                <c:pt idx="3">
                  <c:v>164</c:v>
                </c:pt>
                <c:pt idx="4">
                  <c:v>488</c:v>
                </c:pt>
                <c:pt idx="5">
                  <c:v>1460</c:v>
                </c:pt>
                <c:pt idx="6">
                  <c:v>4376</c:v>
                </c:pt>
                <c:pt idx="7">
                  <c:v>13124</c:v>
                </c:pt>
                <c:pt idx="8">
                  <c:v>39368</c:v>
                </c:pt>
                <c:pt idx="9">
                  <c:v>118100</c:v>
                </c:pt>
                <c:pt idx="10">
                  <c:v>354296</c:v>
                </c:pt>
                <c:pt idx="11">
                  <c:v>1062884</c:v>
                </c:pt>
              </c:numCache>
            </c:numRef>
          </c:xVal>
          <c:yVal>
            <c:numRef>
              <c:f>Summary!$U$4:$U$15</c:f>
              <c:numCache>
                <c:formatCode>General</c:formatCode>
                <c:ptCount val="12"/>
                <c:pt idx="0">
                  <c:v>1.5640624999999995</c:v>
                </c:pt>
                <c:pt idx="1">
                  <c:v>1.1408624999999999</c:v>
                </c:pt>
                <c:pt idx="2">
                  <c:v>1.2851768749999999</c:v>
                </c:pt>
                <c:pt idx="3">
                  <c:v>1.3117415624999997</c:v>
                </c:pt>
                <c:pt idx="4">
                  <c:v>1.1863849999999998</c:v>
                </c:pt>
                <c:pt idx="5">
                  <c:v>1.166759375</c:v>
                </c:pt>
                <c:pt idx="6">
                  <c:v>1.2257028125000002</c:v>
                </c:pt>
                <c:pt idx="7">
                  <c:v>1.1706715625000002</c:v>
                </c:pt>
                <c:pt idx="8">
                  <c:v>1.1658040624999997</c:v>
                </c:pt>
                <c:pt idx="9">
                  <c:v>1.2324134375000002</c:v>
                </c:pt>
                <c:pt idx="10">
                  <c:v>1.178690625</c:v>
                </c:pt>
                <c:pt idx="11">
                  <c:v>1.1599615625000004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8A9-B64B-924F-B6B72EAF0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44187312"/>
        <c:axId val="-1344184608"/>
      </c:scatterChart>
      <c:valAx>
        <c:axId val="-1344187312"/>
        <c:scaling>
          <c:logBase val="10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Number of Vertices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4184608"/>
        <c:crosses val="autoZero"/>
        <c:crossBetween val="midCat"/>
      </c:valAx>
      <c:valAx>
        <c:axId val="-1344184608"/>
        <c:scaling>
          <c:orientation val="minMax"/>
          <c:max val="2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Balance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4187312"/>
        <c:crosses val="autoZero"/>
        <c:crossBetween val="midCat"/>
        <c:majorUnit val="0.2"/>
        <c:minorUnit val="0.2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6166028725576001"/>
          <c:y val="0.15125847550306201"/>
          <c:w val="0.40350612423447063"/>
          <c:h val="0.341743657042869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 orientation="portrait" horizontalDpi="0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u="none" strike="noStrike" baseline="0">
                <a:effectLst/>
              </a:rPr>
              <a:t>Tetrahedron</a:t>
            </a:r>
            <a:r>
              <a:rPr lang="en-US" sz="1800" b="0" i="0" u="none" strike="noStrike" baseline="0"/>
              <a:t> </a:t>
            </a:r>
            <a:endParaRPr lang="en-US" sz="18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6116214639837"/>
          <c:y val="0.147275985663082"/>
          <c:w val="0.75788258238553496"/>
          <c:h val="0.68461180255693799"/>
        </c:manualLayout>
      </c:layout>
      <c:scatterChart>
        <c:scatterStyle val="lineMarker"/>
        <c:varyColors val="0"/>
        <c:ser>
          <c:idx val="0"/>
          <c:order val="0"/>
          <c:tx>
            <c:strRef>
              <c:f>Summary!$W$2</c:f>
              <c:strCache>
                <c:ptCount val="1"/>
                <c:pt idx="0">
                  <c:v>Level Separator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Summary!$A$4:$A$15</c:f>
              <c:numCache>
                <c:formatCode>General</c:formatCode>
                <c:ptCount val="12"/>
                <c:pt idx="0">
                  <c:v>8</c:v>
                </c:pt>
                <c:pt idx="1">
                  <c:v>20</c:v>
                </c:pt>
                <c:pt idx="2">
                  <c:v>56</c:v>
                </c:pt>
                <c:pt idx="3">
                  <c:v>164</c:v>
                </c:pt>
                <c:pt idx="4">
                  <c:v>488</c:v>
                </c:pt>
                <c:pt idx="5">
                  <c:v>1460</c:v>
                </c:pt>
                <c:pt idx="6">
                  <c:v>4376</c:v>
                </c:pt>
                <c:pt idx="7">
                  <c:v>13124</c:v>
                </c:pt>
                <c:pt idx="8">
                  <c:v>39368</c:v>
                </c:pt>
                <c:pt idx="9">
                  <c:v>118100</c:v>
                </c:pt>
                <c:pt idx="10">
                  <c:v>354296</c:v>
                </c:pt>
                <c:pt idx="11">
                  <c:v>1062884</c:v>
                </c:pt>
              </c:numCache>
            </c:numRef>
          </c:xVal>
          <c:yVal>
            <c:numRef>
              <c:f>Summary!$W$4:$W$15</c:f>
              <c:numCache>
                <c:formatCode>General</c:formatCode>
                <c:ptCount val="12"/>
                <c:pt idx="0">
                  <c:v>0.21218749999999989</c:v>
                </c:pt>
                <c:pt idx="1">
                  <c:v>0.13593750000000002</c:v>
                </c:pt>
                <c:pt idx="2">
                  <c:v>0.17687499999999992</c:v>
                </c:pt>
                <c:pt idx="3">
                  <c:v>0.42812499999999981</c:v>
                </c:pt>
                <c:pt idx="4">
                  <c:v>0.97781249999999986</c:v>
                </c:pt>
                <c:pt idx="5">
                  <c:v>2.5806250000000004</c:v>
                </c:pt>
                <c:pt idx="6">
                  <c:v>9.6006249999999991</c:v>
                </c:pt>
                <c:pt idx="7">
                  <c:v>28.1365625</c:v>
                </c:pt>
                <c:pt idx="8">
                  <c:v>102.67343749999999</c:v>
                </c:pt>
                <c:pt idx="9">
                  <c:v>350.82937500000003</c:v>
                </c:pt>
                <c:pt idx="10">
                  <c:v>1060.7262499999999</c:v>
                </c:pt>
                <c:pt idx="11">
                  <c:v>4709.5209375000004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F5-F94F-81F8-52B22D25E98A}"/>
            </c:ext>
          </c:extLst>
        </c:ser>
        <c:ser>
          <c:idx val="1"/>
          <c:order val="1"/>
          <c:tx>
            <c:strRef>
              <c:f>Summary!$Y$2</c:f>
              <c:strCache>
                <c:ptCount val="1"/>
                <c:pt idx="0">
                  <c:v>Fundamental Cycle Separator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Summary!$A$4:$A$15</c:f>
              <c:numCache>
                <c:formatCode>General</c:formatCode>
                <c:ptCount val="12"/>
                <c:pt idx="0">
                  <c:v>8</c:v>
                </c:pt>
                <c:pt idx="1">
                  <c:v>20</c:v>
                </c:pt>
                <c:pt idx="2">
                  <c:v>56</c:v>
                </c:pt>
                <c:pt idx="3">
                  <c:v>164</c:v>
                </c:pt>
                <c:pt idx="4">
                  <c:v>488</c:v>
                </c:pt>
                <c:pt idx="5">
                  <c:v>1460</c:v>
                </c:pt>
                <c:pt idx="6">
                  <c:v>4376</c:v>
                </c:pt>
                <c:pt idx="7">
                  <c:v>13124</c:v>
                </c:pt>
                <c:pt idx="8">
                  <c:v>39368</c:v>
                </c:pt>
                <c:pt idx="9">
                  <c:v>118100</c:v>
                </c:pt>
                <c:pt idx="10">
                  <c:v>354296</c:v>
                </c:pt>
                <c:pt idx="11">
                  <c:v>1062884</c:v>
                </c:pt>
              </c:numCache>
            </c:numRef>
          </c:xVal>
          <c:yVal>
            <c:numRef>
              <c:f>Summary!$Y$4:$Y$15</c:f>
              <c:numCache>
                <c:formatCode>General</c:formatCode>
                <c:ptCount val="12"/>
                <c:pt idx="0">
                  <c:v>0.41906249999999984</c:v>
                </c:pt>
                <c:pt idx="1">
                  <c:v>0.22031249999999997</c:v>
                </c:pt>
                <c:pt idx="2">
                  <c:v>0.74749999999999972</c:v>
                </c:pt>
                <c:pt idx="3">
                  <c:v>1.4137499999999998</c:v>
                </c:pt>
                <c:pt idx="4">
                  <c:v>2.2246875000000004</c:v>
                </c:pt>
                <c:pt idx="5">
                  <c:v>4.3621874999999992</c:v>
                </c:pt>
                <c:pt idx="6">
                  <c:v>19.635937500000004</c:v>
                </c:pt>
                <c:pt idx="7">
                  <c:v>56.441250000000004</c:v>
                </c:pt>
                <c:pt idx="8">
                  <c:v>204.04531249999997</c:v>
                </c:pt>
                <c:pt idx="9">
                  <c:v>582.25093750000019</c:v>
                </c:pt>
                <c:pt idx="10">
                  <c:v>1973.2915625000005</c:v>
                </c:pt>
                <c:pt idx="11">
                  <c:v>7914.4115624999986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F5-F94F-81F8-52B22D25E98A}"/>
            </c:ext>
          </c:extLst>
        </c:ser>
        <c:ser>
          <c:idx val="4"/>
          <c:order val="2"/>
          <c:tx>
            <c:strRef>
              <c:f>Summary!$AA$2</c:f>
              <c:strCache>
                <c:ptCount val="1"/>
                <c:pt idx="0">
                  <c:v>ModifiedFCS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Summary!$A$4:$A$15</c:f>
              <c:numCache>
                <c:formatCode>General</c:formatCode>
                <c:ptCount val="12"/>
                <c:pt idx="0">
                  <c:v>8</c:v>
                </c:pt>
                <c:pt idx="1">
                  <c:v>20</c:v>
                </c:pt>
                <c:pt idx="2">
                  <c:v>56</c:v>
                </c:pt>
                <c:pt idx="3">
                  <c:v>164</c:v>
                </c:pt>
                <c:pt idx="4">
                  <c:v>488</c:v>
                </c:pt>
                <c:pt idx="5">
                  <c:v>1460</c:v>
                </c:pt>
                <c:pt idx="6">
                  <c:v>4376</c:v>
                </c:pt>
                <c:pt idx="7">
                  <c:v>13124</c:v>
                </c:pt>
                <c:pt idx="8">
                  <c:v>39368</c:v>
                </c:pt>
                <c:pt idx="9">
                  <c:v>118100</c:v>
                </c:pt>
                <c:pt idx="10">
                  <c:v>354296</c:v>
                </c:pt>
                <c:pt idx="11">
                  <c:v>1062884</c:v>
                </c:pt>
              </c:numCache>
            </c:numRef>
          </c:xVal>
          <c:yVal>
            <c:numRef>
              <c:f>Summary!$AA$4:$AA$15</c:f>
              <c:numCache>
                <c:formatCode>General</c:formatCode>
                <c:ptCount val="12"/>
                <c:pt idx="0">
                  <c:v>0.28781250000000008</c:v>
                </c:pt>
                <c:pt idx="1">
                  <c:v>0.21000000000000002</c:v>
                </c:pt>
                <c:pt idx="2">
                  <c:v>0.77</c:v>
                </c:pt>
                <c:pt idx="3">
                  <c:v>2.2840625000000006</c:v>
                </c:pt>
                <c:pt idx="4">
                  <c:v>2.7312500000000006</c:v>
                </c:pt>
                <c:pt idx="5">
                  <c:v>5.8715624999999996</c:v>
                </c:pt>
                <c:pt idx="6">
                  <c:v>23.344374999999996</c:v>
                </c:pt>
                <c:pt idx="7">
                  <c:v>74.174375000000012</c:v>
                </c:pt>
                <c:pt idx="8">
                  <c:v>239.68499999999997</c:v>
                </c:pt>
                <c:pt idx="9">
                  <c:v>745.4631250000001</c:v>
                </c:pt>
                <c:pt idx="10">
                  <c:v>2772.8940625000005</c:v>
                </c:pt>
                <c:pt idx="11">
                  <c:v>10222.271249999998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F5-F94F-81F8-52B22D25E98A}"/>
            </c:ext>
          </c:extLst>
        </c:ser>
        <c:ser>
          <c:idx val="2"/>
          <c:order val="3"/>
          <c:tx>
            <c:strRef>
              <c:f>Summary!$AC$2</c:f>
              <c:strCache>
                <c:ptCount val="1"/>
                <c:pt idx="0">
                  <c:v>Lipton-Tarjan Separator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B050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Summary!$A$4:$A$15</c:f>
              <c:numCache>
                <c:formatCode>General</c:formatCode>
                <c:ptCount val="12"/>
                <c:pt idx="0">
                  <c:v>8</c:v>
                </c:pt>
                <c:pt idx="1">
                  <c:v>20</c:v>
                </c:pt>
                <c:pt idx="2">
                  <c:v>56</c:v>
                </c:pt>
                <c:pt idx="3">
                  <c:v>164</c:v>
                </c:pt>
                <c:pt idx="4">
                  <c:v>488</c:v>
                </c:pt>
                <c:pt idx="5">
                  <c:v>1460</c:v>
                </c:pt>
                <c:pt idx="6">
                  <c:v>4376</c:v>
                </c:pt>
                <c:pt idx="7">
                  <c:v>13124</c:v>
                </c:pt>
                <c:pt idx="8">
                  <c:v>39368</c:v>
                </c:pt>
                <c:pt idx="9">
                  <c:v>118100</c:v>
                </c:pt>
                <c:pt idx="10">
                  <c:v>354296</c:v>
                </c:pt>
                <c:pt idx="11">
                  <c:v>1062884</c:v>
                </c:pt>
              </c:numCache>
            </c:numRef>
          </c:xVal>
          <c:yVal>
            <c:numRef>
              <c:f>Summary!$AC$4:$AC$15</c:f>
              <c:numCache>
                <c:formatCode>General</c:formatCode>
                <c:ptCount val="12"/>
                <c:pt idx="0">
                  <c:v>0.875</c:v>
                </c:pt>
                <c:pt idx="1">
                  <c:v>0.21968750000000009</c:v>
                </c:pt>
                <c:pt idx="2">
                  <c:v>1.1840625000000005</c:v>
                </c:pt>
                <c:pt idx="3">
                  <c:v>1.525625</c:v>
                </c:pt>
                <c:pt idx="4">
                  <c:v>2.8109374999999996</c:v>
                </c:pt>
                <c:pt idx="5">
                  <c:v>6.1662499999999989</c:v>
                </c:pt>
                <c:pt idx="6">
                  <c:v>24.045937500000001</c:v>
                </c:pt>
                <c:pt idx="7">
                  <c:v>77.5234375</c:v>
                </c:pt>
                <c:pt idx="8">
                  <c:v>255.856875</c:v>
                </c:pt>
                <c:pt idx="9">
                  <c:v>863.69468749999987</c:v>
                </c:pt>
                <c:pt idx="10">
                  <c:v>3046.498437499999</c:v>
                </c:pt>
                <c:pt idx="11">
                  <c:v>11889.873437499999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1F5-F94F-81F8-52B22D25E98A}"/>
            </c:ext>
          </c:extLst>
        </c:ser>
        <c:ser>
          <c:idx val="5"/>
          <c:order val="4"/>
          <c:tx>
            <c:strRef>
              <c:f>Summary!$AE$2</c:f>
              <c:strCache>
                <c:ptCount val="1"/>
                <c:pt idx="0">
                  <c:v>Simple Cycle Separator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Summary!$A$4:$A$15</c:f>
              <c:numCache>
                <c:formatCode>General</c:formatCode>
                <c:ptCount val="12"/>
                <c:pt idx="0">
                  <c:v>8</c:v>
                </c:pt>
                <c:pt idx="1">
                  <c:v>20</c:v>
                </c:pt>
                <c:pt idx="2">
                  <c:v>56</c:v>
                </c:pt>
                <c:pt idx="3">
                  <c:v>164</c:v>
                </c:pt>
                <c:pt idx="4">
                  <c:v>488</c:v>
                </c:pt>
                <c:pt idx="5">
                  <c:v>1460</c:v>
                </c:pt>
                <c:pt idx="6">
                  <c:v>4376</c:v>
                </c:pt>
                <c:pt idx="7">
                  <c:v>13124</c:v>
                </c:pt>
                <c:pt idx="8">
                  <c:v>39368</c:v>
                </c:pt>
                <c:pt idx="9">
                  <c:v>118100</c:v>
                </c:pt>
                <c:pt idx="10">
                  <c:v>354296</c:v>
                </c:pt>
                <c:pt idx="11">
                  <c:v>1062884</c:v>
                </c:pt>
              </c:numCache>
            </c:numRef>
          </c:xVal>
          <c:yVal>
            <c:numRef>
              <c:f>Summary!$AE$4:$AE$15</c:f>
              <c:numCache>
                <c:formatCode>General</c:formatCode>
                <c:ptCount val="12"/>
                <c:pt idx="0">
                  <c:v>0.85187500000000027</c:v>
                </c:pt>
                <c:pt idx="1">
                  <c:v>0.45531250000000001</c:v>
                </c:pt>
                <c:pt idx="2">
                  <c:v>0.83874999999999977</c:v>
                </c:pt>
                <c:pt idx="3">
                  <c:v>2.4806250000000007</c:v>
                </c:pt>
                <c:pt idx="4">
                  <c:v>3.6578125000000008</c:v>
                </c:pt>
                <c:pt idx="5">
                  <c:v>8.4540625000000009</c:v>
                </c:pt>
                <c:pt idx="6">
                  <c:v>34.980312499999997</c:v>
                </c:pt>
                <c:pt idx="7">
                  <c:v>113.07656250000001</c:v>
                </c:pt>
                <c:pt idx="8">
                  <c:v>397.70000000000005</c:v>
                </c:pt>
                <c:pt idx="9">
                  <c:v>1184.8284374999998</c:v>
                </c:pt>
                <c:pt idx="10">
                  <c:v>4053.7275000000004</c:v>
                </c:pt>
                <c:pt idx="11">
                  <c:v>16992.232812500002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1F5-F94F-81F8-52B22D25E98A}"/>
            </c:ext>
          </c:extLst>
        </c:ser>
        <c:ser>
          <c:idx val="3"/>
          <c:order val="5"/>
          <c:tx>
            <c:v>Linear</c:v>
          </c:tx>
          <c:spPr>
            <a:ln w="19050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  <a:prstDash val="sysDot"/>
              </a:ln>
              <a:effectLst/>
            </c:spPr>
          </c:marker>
          <c:xVal>
            <c:numRef>
              <c:f>Summary!$A$4:$A$15</c:f>
              <c:numCache>
                <c:formatCode>General</c:formatCode>
                <c:ptCount val="12"/>
                <c:pt idx="0">
                  <c:v>8</c:v>
                </c:pt>
                <c:pt idx="1">
                  <c:v>20</c:v>
                </c:pt>
                <c:pt idx="2">
                  <c:v>56</c:v>
                </c:pt>
                <c:pt idx="3">
                  <c:v>164</c:v>
                </c:pt>
                <c:pt idx="4">
                  <c:v>488</c:v>
                </c:pt>
                <c:pt idx="5">
                  <c:v>1460</c:v>
                </c:pt>
                <c:pt idx="6">
                  <c:v>4376</c:v>
                </c:pt>
                <c:pt idx="7">
                  <c:v>13124</c:v>
                </c:pt>
                <c:pt idx="8">
                  <c:v>39368</c:v>
                </c:pt>
                <c:pt idx="9">
                  <c:v>118100</c:v>
                </c:pt>
                <c:pt idx="10">
                  <c:v>354296</c:v>
                </c:pt>
                <c:pt idx="11">
                  <c:v>1062884</c:v>
                </c:pt>
              </c:numCache>
            </c:numRef>
          </c:xVal>
          <c:yVal>
            <c:numRef>
              <c:f>Summary!$AH$4:$AH$15</c:f>
              <c:numCache>
                <c:formatCode>General</c:formatCode>
                <c:ptCount val="12"/>
                <c:pt idx="0">
                  <c:v>0.26666666666666666</c:v>
                </c:pt>
                <c:pt idx="1">
                  <c:v>0.66666666666666663</c:v>
                </c:pt>
                <c:pt idx="2">
                  <c:v>1.8666666666666667</c:v>
                </c:pt>
                <c:pt idx="3">
                  <c:v>5.4666666666666668</c:v>
                </c:pt>
                <c:pt idx="4">
                  <c:v>16.266666666666666</c:v>
                </c:pt>
                <c:pt idx="5">
                  <c:v>48.666666666666664</c:v>
                </c:pt>
                <c:pt idx="6">
                  <c:v>145.86666666666667</c:v>
                </c:pt>
                <c:pt idx="7">
                  <c:v>437.46666666666664</c:v>
                </c:pt>
                <c:pt idx="8">
                  <c:v>1312.2666666666667</c:v>
                </c:pt>
                <c:pt idx="9">
                  <c:v>3936.6666666666665</c:v>
                </c:pt>
                <c:pt idx="10">
                  <c:v>11809.866666666667</c:v>
                </c:pt>
                <c:pt idx="11">
                  <c:v>35429.466666666667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1F5-F94F-81F8-52B22D25E9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344187312"/>
        <c:axId val="-1344184608"/>
      </c:scatterChart>
      <c:valAx>
        <c:axId val="-1344187312"/>
        <c:scaling>
          <c:logBase val="10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Number of Vertices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4184608"/>
        <c:crosses val="autoZero"/>
        <c:crossBetween val="midCat"/>
      </c:valAx>
      <c:valAx>
        <c:axId val="-1344184608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Runtime (ms)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3441873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6166028725576001"/>
          <c:y val="0.15125847550306201"/>
          <c:w val="0.40350612423447063"/>
          <c:h val="0.341743657042869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 orientation="portrait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38100</xdr:colOff>
          <xdr:row>2</xdr:row>
          <xdr:rowOff>12700</xdr:rowOff>
        </xdr:from>
        <xdr:to>
          <xdr:col>36</xdr:col>
          <xdr:colOff>457200</xdr:colOff>
          <xdr:row>6</xdr:row>
          <xdr:rowOff>25400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2400" b="1" i="1" u="none" strike="noStrike" baseline="0">
                  <a:solidFill>
                    <a:srgbClr val="000000"/>
                  </a:solidFill>
                  <a:latin typeface="System Font"/>
                </a:rPr>
                <a:t>CopyData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63500</xdr:colOff>
      <xdr:row>17</xdr:row>
      <xdr:rowOff>114300</xdr:rowOff>
    </xdr:from>
    <xdr:to>
      <xdr:col>10</xdr:col>
      <xdr:colOff>482600</xdr:colOff>
      <xdr:row>40</xdr:row>
      <xdr:rowOff>12700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1270000</xdr:colOff>
      <xdr:row>17</xdr:row>
      <xdr:rowOff>88900</xdr:rowOff>
    </xdr:from>
    <xdr:to>
      <xdr:col>19</xdr:col>
      <xdr:colOff>419100</xdr:colOff>
      <xdr:row>39</xdr:row>
      <xdr:rowOff>190500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38100</xdr:colOff>
      <xdr:row>17</xdr:row>
      <xdr:rowOff>114300</xdr:rowOff>
    </xdr:from>
    <xdr:to>
      <xdr:col>31</xdr:col>
      <xdr:colOff>203200</xdr:colOff>
      <xdr:row>40</xdr:row>
      <xdr:rowOff>12700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H37"/>
  <sheetViews>
    <sheetView tabSelected="1" topLeftCell="A16" workbookViewId="0">
      <selection activeCell="V17" sqref="V17"/>
    </sheetView>
  </sheetViews>
  <sheetFormatPr baseColWidth="10" defaultRowHeight="16"/>
  <cols>
    <col min="1" max="1" width="17.33203125" bestFit="1" customWidth="1"/>
    <col min="2" max="2" width="7.6640625" bestFit="1" customWidth="1"/>
    <col min="3" max="3" width="13" bestFit="1" customWidth="1"/>
    <col min="4" max="4" width="8.6640625" bestFit="1" customWidth="1"/>
    <col min="5" max="5" width="9.1640625" bestFit="1" customWidth="1"/>
    <col min="6" max="6" width="12.1640625" bestFit="1" customWidth="1"/>
    <col min="7" max="7" width="11.5" bestFit="1" customWidth="1"/>
    <col min="8" max="8" width="6.83203125" customWidth="1"/>
    <col min="9" max="9" width="11.1640625" bestFit="1" customWidth="1"/>
    <col min="10" max="10" width="12.1640625" bestFit="1" customWidth="1"/>
    <col min="11" max="11" width="20.1640625" bestFit="1" customWidth="1"/>
    <col min="12" max="12" width="6.83203125" bestFit="1" customWidth="1"/>
    <col min="13" max="13" width="12.5" bestFit="1" customWidth="1"/>
    <col min="14" max="18" width="12.1640625" bestFit="1" customWidth="1"/>
    <col min="19" max="22" width="6.83203125" customWidth="1"/>
    <col min="23" max="23" width="12.5" bestFit="1" customWidth="1"/>
    <col min="24" max="28" width="12.1640625" bestFit="1" customWidth="1"/>
    <col min="29" max="32" width="6.83203125" customWidth="1"/>
    <col min="34" max="34" width="9.1640625" bestFit="1" customWidth="1"/>
  </cols>
  <sheetData>
    <row r="1" spans="1:34">
      <c r="A1" t="s">
        <v>17</v>
      </c>
      <c r="C1" t="s">
        <v>7</v>
      </c>
      <c r="M1" t="s">
        <v>8</v>
      </c>
      <c r="W1" t="s">
        <v>9</v>
      </c>
    </row>
    <row r="2" spans="1:34">
      <c r="A2">
        <v>12</v>
      </c>
      <c r="C2" s="4" t="s">
        <v>4</v>
      </c>
      <c r="D2" s="4"/>
      <c r="E2" s="4" t="s">
        <v>5</v>
      </c>
      <c r="F2" s="4"/>
      <c r="G2" t="s">
        <v>19</v>
      </c>
      <c r="I2" s="4" t="s">
        <v>6</v>
      </c>
      <c r="J2" s="4"/>
      <c r="K2" t="s">
        <v>20</v>
      </c>
      <c r="M2" s="4" t="s">
        <v>4</v>
      </c>
      <c r="N2" s="4"/>
      <c r="O2" s="4" t="s">
        <v>5</v>
      </c>
      <c r="P2" s="4"/>
      <c r="Q2" t="s">
        <v>19</v>
      </c>
      <c r="S2" s="4" t="s">
        <v>6</v>
      </c>
      <c r="T2" s="4"/>
      <c r="U2" t="s">
        <v>20</v>
      </c>
      <c r="W2" s="4" t="s">
        <v>4</v>
      </c>
      <c r="X2" s="4"/>
      <c r="Y2" s="4" t="s">
        <v>5</v>
      </c>
      <c r="Z2" s="4"/>
      <c r="AA2" t="s">
        <v>19</v>
      </c>
      <c r="AC2" s="4" t="s">
        <v>6</v>
      </c>
      <c r="AD2" s="4"/>
      <c r="AE2" t="s">
        <v>20</v>
      </c>
    </row>
    <row r="3" spans="1:34">
      <c r="A3" t="s">
        <v>1</v>
      </c>
      <c r="B3" t="s">
        <v>18</v>
      </c>
      <c r="C3" t="s">
        <v>14</v>
      </c>
      <c r="D3" t="s">
        <v>16</v>
      </c>
      <c r="E3" t="s">
        <v>14</v>
      </c>
      <c r="F3" t="s">
        <v>16</v>
      </c>
      <c r="G3" t="s">
        <v>14</v>
      </c>
      <c r="H3" t="s">
        <v>16</v>
      </c>
      <c r="I3" t="s">
        <v>14</v>
      </c>
      <c r="J3" t="s">
        <v>16</v>
      </c>
      <c r="K3" t="s">
        <v>14</v>
      </c>
      <c r="L3" t="s">
        <v>16</v>
      </c>
      <c r="M3" t="s">
        <v>14</v>
      </c>
      <c r="N3" t="s">
        <v>16</v>
      </c>
      <c r="O3" t="s">
        <v>14</v>
      </c>
      <c r="P3" t="s">
        <v>16</v>
      </c>
      <c r="Q3" t="s">
        <v>14</v>
      </c>
      <c r="R3" t="s">
        <v>16</v>
      </c>
      <c r="S3" t="s">
        <v>14</v>
      </c>
      <c r="T3" t="s">
        <v>16</v>
      </c>
      <c r="U3" t="s">
        <v>14</v>
      </c>
      <c r="V3" t="s">
        <v>16</v>
      </c>
      <c r="W3" t="s">
        <v>14</v>
      </c>
      <c r="X3" t="s">
        <v>16</v>
      </c>
      <c r="Y3" t="s">
        <v>14</v>
      </c>
      <c r="Z3" t="s">
        <v>16</v>
      </c>
      <c r="AA3" t="s">
        <v>14</v>
      </c>
      <c r="AB3" t="s">
        <v>16</v>
      </c>
      <c r="AC3" t="s">
        <v>14</v>
      </c>
      <c r="AD3" t="s">
        <v>16</v>
      </c>
      <c r="AE3" t="s">
        <v>14</v>
      </c>
      <c r="AF3" t="s">
        <v>16</v>
      </c>
    </row>
    <row r="4" spans="1:34">
      <c r="A4">
        <v>8</v>
      </c>
      <c r="B4" s="2">
        <f>SQRT(A4)</f>
        <v>2.8284271247461903</v>
      </c>
      <c r="C4" s="1">
        <v>5.0625</v>
      </c>
      <c r="D4" s="1">
        <v>1.0140146973548327</v>
      </c>
      <c r="E4">
        <v>4.46875</v>
      </c>
      <c r="F4">
        <v>0.50700734867741637</v>
      </c>
      <c r="G4">
        <v>4.46875</v>
      </c>
      <c r="H4">
        <v>0.50700734867741637</v>
      </c>
      <c r="I4">
        <v>4.46875</v>
      </c>
      <c r="J4">
        <v>0.50700734867741637</v>
      </c>
      <c r="K4">
        <v>3.53125</v>
      </c>
      <c r="L4">
        <v>0.50700734867741637</v>
      </c>
      <c r="M4">
        <v>1.46875</v>
      </c>
      <c r="N4">
        <v>0.50700734867741637</v>
      </c>
      <c r="O4">
        <v>1.2906265624999995</v>
      </c>
      <c r="P4">
        <v>0.11830002466690145</v>
      </c>
      <c r="Q4">
        <v>1.2906265624999995</v>
      </c>
      <c r="R4">
        <v>0.11830002466690145</v>
      </c>
      <c r="S4">
        <v>1.2906265624999995</v>
      </c>
      <c r="T4">
        <v>0.11830002466690145</v>
      </c>
      <c r="U4">
        <v>1.5640624999999995</v>
      </c>
      <c r="V4">
        <v>0.17745257203709752</v>
      </c>
      <c r="W4">
        <v>0.21218749999999989</v>
      </c>
      <c r="X4">
        <v>0.56785240230754663</v>
      </c>
      <c r="Y4">
        <v>0.41906249999999984</v>
      </c>
      <c r="Z4">
        <v>0.79135392096444834</v>
      </c>
      <c r="AA4">
        <v>0.28781250000000008</v>
      </c>
      <c r="AB4">
        <v>0.38886712528707312</v>
      </c>
      <c r="AC4">
        <v>0.875</v>
      </c>
      <c r="AD4">
        <v>1.7336871020290647</v>
      </c>
      <c r="AE4">
        <v>0.85187500000000027</v>
      </c>
      <c r="AF4">
        <v>0.93815342819749314</v>
      </c>
      <c r="AH4">
        <f>A4/30</f>
        <v>0.26666666666666666</v>
      </c>
    </row>
    <row r="5" spans="1:34">
      <c r="A5">
        <v>20</v>
      </c>
      <c r="B5" s="2">
        <f t="shared" ref="B5:B15" si="0">SQRT(A5)</f>
        <v>4.4721359549995796</v>
      </c>
      <c r="C5" s="1">
        <v>13.40625</v>
      </c>
      <c r="D5" s="1">
        <v>0.83702140875229547</v>
      </c>
      <c r="E5">
        <v>5.15625</v>
      </c>
      <c r="F5">
        <v>0.36890203262847354</v>
      </c>
      <c r="G5">
        <v>4.625</v>
      </c>
      <c r="H5">
        <v>0.49186937683796472</v>
      </c>
      <c r="I5">
        <v>6.25</v>
      </c>
      <c r="J5">
        <v>0.98373875367592944</v>
      </c>
      <c r="K5">
        <v>4.9375</v>
      </c>
      <c r="L5">
        <v>0.61892205981773851</v>
      </c>
      <c r="M5">
        <v>1.26322125</v>
      </c>
      <c r="N5">
        <v>0.18282694203500485</v>
      </c>
      <c r="O5">
        <v>1.4786937499999997</v>
      </c>
      <c r="P5">
        <v>5.0303481169218664E-2</v>
      </c>
      <c r="Q5">
        <v>1.5625012500000004</v>
      </c>
      <c r="R5">
        <v>8.1979869037583641E-2</v>
      </c>
      <c r="S5">
        <v>1.2842537500000002</v>
      </c>
      <c r="T5">
        <v>0.18333622646348638</v>
      </c>
      <c r="U5">
        <v>1.1408624999999999</v>
      </c>
      <c r="V5">
        <v>0.12895265860497218</v>
      </c>
      <c r="W5">
        <v>0.13593750000000002</v>
      </c>
      <c r="X5">
        <v>0.33669991784587566</v>
      </c>
      <c r="Y5">
        <v>0.22031249999999997</v>
      </c>
      <c r="Z5">
        <v>0.44051644453212613</v>
      </c>
      <c r="AA5">
        <v>0.21000000000000002</v>
      </c>
      <c r="AB5">
        <v>4.7924672075543483E-2</v>
      </c>
      <c r="AC5">
        <v>0.21968750000000009</v>
      </c>
      <c r="AD5">
        <v>1.4697898686766471E-2</v>
      </c>
      <c r="AE5">
        <v>0.45531250000000001</v>
      </c>
      <c r="AF5">
        <v>0.37446722906705898</v>
      </c>
      <c r="AH5">
        <f t="shared" ref="AH5:AH15" si="1">A5/30</f>
        <v>0.66666666666666663</v>
      </c>
    </row>
    <row r="6" spans="1:34">
      <c r="A6">
        <v>56</v>
      </c>
      <c r="B6" s="2">
        <f t="shared" si="0"/>
        <v>7.4833147735478827</v>
      </c>
      <c r="C6" s="1">
        <v>32.53125</v>
      </c>
      <c r="D6" s="1">
        <v>4.5930127508022727</v>
      </c>
      <c r="E6">
        <v>5.6875</v>
      </c>
      <c r="F6">
        <v>0.73780406525694708</v>
      </c>
      <c r="G6">
        <v>4.96875</v>
      </c>
      <c r="H6">
        <v>0.59483665418439902</v>
      </c>
      <c r="I6">
        <v>7.5625</v>
      </c>
      <c r="J6">
        <v>2.046830752415123</v>
      </c>
      <c r="K6">
        <v>5.21875</v>
      </c>
      <c r="L6">
        <v>0.60824310716962082</v>
      </c>
      <c r="M6">
        <v>1.3924253125000003</v>
      </c>
      <c r="N6">
        <v>0.26113633124609914</v>
      </c>
      <c r="O6">
        <v>1.6935050000000007</v>
      </c>
      <c r="P6">
        <v>9.4813247339007103E-2</v>
      </c>
      <c r="Q6">
        <v>1.7175206250000001</v>
      </c>
      <c r="R6">
        <v>9.5791361888742377E-2</v>
      </c>
      <c r="S6">
        <v>1.5524024999999999</v>
      </c>
      <c r="T6">
        <v>0.10965178262234522</v>
      </c>
      <c r="U6">
        <v>1.2851768749999999</v>
      </c>
      <c r="V6">
        <v>0.24830560372559654</v>
      </c>
      <c r="W6">
        <v>0.17687499999999992</v>
      </c>
      <c r="X6">
        <v>0.29731527200556307</v>
      </c>
      <c r="Y6">
        <v>0.74749999999999972</v>
      </c>
      <c r="Z6">
        <v>1.774669437642747</v>
      </c>
      <c r="AA6">
        <v>0.77</v>
      </c>
      <c r="AB6">
        <v>0.93812097713564413</v>
      </c>
      <c r="AC6">
        <v>1.1840625000000005</v>
      </c>
      <c r="AD6">
        <v>2.6271889298996176</v>
      </c>
      <c r="AE6">
        <v>0.83874999999999977</v>
      </c>
      <c r="AF6">
        <v>0.88559711949876885</v>
      </c>
      <c r="AH6">
        <f t="shared" si="1"/>
        <v>1.8666666666666667</v>
      </c>
    </row>
    <row r="7" spans="1:34">
      <c r="A7">
        <v>164</v>
      </c>
      <c r="B7" s="2">
        <f t="shared" si="0"/>
        <v>12.806248474865697</v>
      </c>
      <c r="C7" s="1">
        <v>92.9375</v>
      </c>
      <c r="D7" s="1">
        <v>8.2615998606846421</v>
      </c>
      <c r="E7">
        <v>6.0625</v>
      </c>
      <c r="F7">
        <v>1.1622419935679933</v>
      </c>
      <c r="G7">
        <v>5.09375</v>
      </c>
      <c r="H7">
        <v>0.73438036202572321</v>
      </c>
      <c r="I7">
        <v>11.34375</v>
      </c>
      <c r="J7">
        <v>3.1480600785347974</v>
      </c>
      <c r="K7">
        <v>4.78125</v>
      </c>
      <c r="L7">
        <v>0.6591477880199651</v>
      </c>
      <c r="M7">
        <v>1.4744218749999998</v>
      </c>
      <c r="N7">
        <v>0.2344263107334893</v>
      </c>
      <c r="O7">
        <v>1.8606340625</v>
      </c>
      <c r="P7">
        <v>7.6157384064054104E-2</v>
      </c>
      <c r="Q7">
        <v>1.8404240624999995</v>
      </c>
      <c r="R7">
        <v>8.933927247042231E-2</v>
      </c>
      <c r="S7">
        <v>1.73611</v>
      </c>
      <c r="T7">
        <v>7.9884935719062258E-2</v>
      </c>
      <c r="U7">
        <v>1.3117415624999997</v>
      </c>
      <c r="V7">
        <v>0.3347186434576449</v>
      </c>
      <c r="W7">
        <v>0.42812499999999981</v>
      </c>
      <c r="X7">
        <v>0.36330416919550867</v>
      </c>
      <c r="Y7">
        <v>1.4137499999999998</v>
      </c>
      <c r="Z7">
        <v>3.0235140311852691</v>
      </c>
      <c r="AA7">
        <v>2.2840625000000006</v>
      </c>
      <c r="AB7">
        <v>2.9792517564357999</v>
      </c>
      <c r="AC7">
        <v>1.525625</v>
      </c>
      <c r="AD7">
        <v>1.5501195323316623</v>
      </c>
      <c r="AE7">
        <v>2.4806250000000007</v>
      </c>
      <c r="AF7">
        <v>2.6114881896183499</v>
      </c>
      <c r="AH7">
        <f t="shared" si="1"/>
        <v>5.4666666666666668</v>
      </c>
    </row>
    <row r="8" spans="1:34">
      <c r="A8">
        <v>488</v>
      </c>
      <c r="B8" s="2">
        <f t="shared" si="0"/>
        <v>22.090722034374522</v>
      </c>
      <c r="C8" s="1">
        <v>279.5</v>
      </c>
      <c r="D8" s="1">
        <v>34.134458986815375</v>
      </c>
      <c r="E8">
        <v>6.375</v>
      </c>
      <c r="F8">
        <v>1.3854078239672525</v>
      </c>
      <c r="G8">
        <v>5.21875</v>
      </c>
      <c r="H8">
        <v>1.0075321174741456</v>
      </c>
      <c r="I8">
        <v>12.03125</v>
      </c>
      <c r="J8">
        <v>6.7129358751976866</v>
      </c>
      <c r="K8">
        <v>4.875</v>
      </c>
      <c r="L8">
        <v>0.75134288379691072</v>
      </c>
      <c r="M8">
        <v>1.3648315625</v>
      </c>
      <c r="N8">
        <v>0.20369687249739915</v>
      </c>
      <c r="O8">
        <v>1.9439165625000006</v>
      </c>
      <c r="P8">
        <v>5.7110803147824137E-2</v>
      </c>
      <c r="Q8">
        <v>1.8728556250000001</v>
      </c>
      <c r="R8">
        <v>0.10946043730535999</v>
      </c>
      <c r="S8">
        <v>1.8901109374999994</v>
      </c>
      <c r="T8">
        <v>7.8002530743037798E-2</v>
      </c>
      <c r="U8">
        <v>1.1863849999999998</v>
      </c>
      <c r="V8">
        <v>0.29545799397960487</v>
      </c>
      <c r="W8">
        <v>0.97781249999999986</v>
      </c>
      <c r="X8">
        <v>0.86169276155865526</v>
      </c>
      <c r="Y8">
        <v>2.2246875000000004</v>
      </c>
      <c r="Z8">
        <v>1.8474044291924809</v>
      </c>
      <c r="AA8">
        <v>2.7312500000000006</v>
      </c>
      <c r="AB8">
        <v>2.3484610609585803</v>
      </c>
      <c r="AC8">
        <v>2.8109374999999996</v>
      </c>
      <c r="AD8">
        <v>2.0515019822229079</v>
      </c>
      <c r="AE8">
        <v>3.6578125000000008</v>
      </c>
      <c r="AF8">
        <v>1.9705226658460184</v>
      </c>
      <c r="AH8">
        <f t="shared" si="1"/>
        <v>16.266666666666666</v>
      </c>
    </row>
    <row r="9" spans="1:34">
      <c r="A9">
        <v>1460</v>
      </c>
      <c r="B9" s="2">
        <f t="shared" si="0"/>
        <v>38.209946349085598</v>
      </c>
      <c r="C9" s="1">
        <v>837</v>
      </c>
      <c r="D9" s="1">
        <v>81.160931329017828</v>
      </c>
      <c r="E9" s="1">
        <v>6.1875</v>
      </c>
      <c r="F9" s="1">
        <v>1.6151999776318522</v>
      </c>
      <c r="G9" s="1">
        <v>4.96875</v>
      </c>
      <c r="H9" s="1">
        <v>0.99949584065361219</v>
      </c>
      <c r="I9">
        <v>21.75</v>
      </c>
      <c r="J9">
        <v>15.485685377564121</v>
      </c>
      <c r="K9">
        <v>4.59375</v>
      </c>
      <c r="L9">
        <v>0.6148367210474559</v>
      </c>
      <c r="M9">
        <v>1.3444425000000002</v>
      </c>
      <c r="N9">
        <v>0.36264414033061138</v>
      </c>
      <c r="O9">
        <v>1.9685693750000008</v>
      </c>
      <c r="P9">
        <v>8.5831213659754643E-2</v>
      </c>
      <c r="Q9">
        <v>1.8848306250000002</v>
      </c>
      <c r="R9">
        <v>0.15740164759021077</v>
      </c>
      <c r="S9">
        <v>1.9328262500000002</v>
      </c>
      <c r="T9">
        <v>8.6359751032452026E-2</v>
      </c>
      <c r="U9">
        <v>1.166759375</v>
      </c>
      <c r="V9">
        <v>0.3101679409603722</v>
      </c>
      <c r="W9">
        <v>2.5806250000000004</v>
      </c>
      <c r="X9">
        <v>1.5708389734931973</v>
      </c>
      <c r="Y9">
        <v>4.3621874999999992</v>
      </c>
      <c r="Z9">
        <v>2.2061391386749754</v>
      </c>
      <c r="AA9">
        <v>5.8715624999999996</v>
      </c>
      <c r="AB9">
        <v>3.1804332321799875</v>
      </c>
      <c r="AC9">
        <v>6.1662499999999989</v>
      </c>
      <c r="AD9">
        <v>3.2475198973787669</v>
      </c>
      <c r="AE9">
        <v>8.4540625000000009</v>
      </c>
      <c r="AF9">
        <v>3.5917754252799767</v>
      </c>
      <c r="AH9">
        <f t="shared" si="1"/>
        <v>48.666666666666664</v>
      </c>
    </row>
    <row r="10" spans="1:34">
      <c r="A10">
        <v>4376</v>
      </c>
      <c r="B10" s="2">
        <f t="shared" si="0"/>
        <v>66.151341634164908</v>
      </c>
      <c r="C10" s="1">
        <v>2410.6875</v>
      </c>
      <c r="D10" s="1">
        <v>132.52545403710917</v>
      </c>
      <c r="E10" s="1">
        <v>7.875</v>
      </c>
      <c r="F10" s="1">
        <v>2.4329724286784833</v>
      </c>
      <c r="G10" s="1">
        <v>5.84375</v>
      </c>
      <c r="H10" s="1">
        <v>1.3466655355046884</v>
      </c>
      <c r="I10">
        <v>52.0625</v>
      </c>
      <c r="J10">
        <v>31.25745072469045</v>
      </c>
      <c r="K10">
        <v>4.90625</v>
      </c>
      <c r="L10">
        <v>0.77706540597384099</v>
      </c>
      <c r="M10">
        <v>1.2599634374999999</v>
      </c>
      <c r="N10">
        <v>0.15194217390304435</v>
      </c>
      <c r="O10">
        <v>1.8974821875000003</v>
      </c>
      <c r="P10">
        <v>0.16784929147869285</v>
      </c>
      <c r="Q10">
        <v>1.8622987500000003</v>
      </c>
      <c r="R10">
        <v>0.11270734082483909</v>
      </c>
      <c r="S10">
        <v>1.8518203124999999</v>
      </c>
      <c r="T10">
        <v>0.15117834147839185</v>
      </c>
      <c r="U10">
        <v>1.2257028125000002</v>
      </c>
      <c r="V10">
        <v>0.29260268531427464</v>
      </c>
      <c r="W10">
        <v>9.6006249999999991</v>
      </c>
      <c r="X10">
        <v>4.5348776968961841</v>
      </c>
      <c r="Y10">
        <v>19.635937500000004</v>
      </c>
      <c r="Z10">
        <v>7.7108009120742436</v>
      </c>
      <c r="AA10">
        <v>23.344374999999996</v>
      </c>
      <c r="AB10">
        <v>8.7746948986569464</v>
      </c>
      <c r="AC10">
        <v>24.045937500000001</v>
      </c>
      <c r="AD10">
        <v>9.4719599291378671</v>
      </c>
      <c r="AE10">
        <v>34.980312499999997</v>
      </c>
      <c r="AF10">
        <v>12.483404850976642</v>
      </c>
      <c r="AH10">
        <f t="shared" si="1"/>
        <v>145.86666666666667</v>
      </c>
    </row>
    <row r="11" spans="1:34">
      <c r="A11">
        <v>13124</v>
      </c>
      <c r="B11" s="2">
        <f t="shared" si="0"/>
        <v>114.56002793295748</v>
      </c>
      <c r="C11" s="1">
        <v>6248.5</v>
      </c>
      <c r="D11" s="1">
        <v>575.84742602925314</v>
      </c>
      <c r="E11" s="1">
        <v>6.6875</v>
      </c>
      <c r="F11" s="1">
        <v>2.4943484507077969</v>
      </c>
      <c r="G11" s="1">
        <v>5.09375</v>
      </c>
      <c r="H11" s="1">
        <v>1.2790968335811872</v>
      </c>
      <c r="I11">
        <v>42.71875</v>
      </c>
      <c r="J11">
        <v>33.837595406636474</v>
      </c>
      <c r="K11">
        <v>4.6875</v>
      </c>
      <c r="L11">
        <v>0.69270391198362624</v>
      </c>
      <c r="M11">
        <v>1.5774281250000002</v>
      </c>
      <c r="N11">
        <v>0.31230027637223884</v>
      </c>
      <c r="O11">
        <v>1.9657509375</v>
      </c>
      <c r="P11">
        <v>9.3020977632671142E-2</v>
      </c>
      <c r="Q11">
        <v>1.8673562500000001</v>
      </c>
      <c r="R11">
        <v>0.14113948689037173</v>
      </c>
      <c r="S11">
        <v>1.9556656250000006</v>
      </c>
      <c r="T11">
        <v>9.5608447525866933E-2</v>
      </c>
      <c r="U11">
        <v>1.1706715625000002</v>
      </c>
      <c r="V11">
        <v>0.30396867126462657</v>
      </c>
      <c r="W11">
        <v>28.1365625</v>
      </c>
      <c r="X11">
        <v>5.3029052350057508</v>
      </c>
      <c r="Y11">
        <v>56.441250000000004</v>
      </c>
      <c r="Z11">
        <v>9.4919744538350823</v>
      </c>
      <c r="AA11">
        <v>74.174375000000012</v>
      </c>
      <c r="AB11">
        <v>16.012075269479634</v>
      </c>
      <c r="AC11">
        <v>77.5234375</v>
      </c>
      <c r="AD11">
        <v>16.218142690164903</v>
      </c>
      <c r="AE11">
        <v>113.07656250000001</v>
      </c>
      <c r="AF11">
        <v>11.321693310425017</v>
      </c>
      <c r="AH11">
        <f t="shared" si="1"/>
        <v>437.46666666666664</v>
      </c>
    </row>
    <row r="12" spans="1:34">
      <c r="A12">
        <v>39368</v>
      </c>
      <c r="B12" s="2">
        <f t="shared" si="0"/>
        <v>198.41370920377452</v>
      </c>
      <c r="C12" s="1">
        <v>19513.9375</v>
      </c>
      <c r="D12" s="1">
        <v>898.1478410344472</v>
      </c>
      <c r="E12" s="1">
        <v>6.9375</v>
      </c>
      <c r="F12" s="1">
        <v>2.7231089916940823</v>
      </c>
      <c r="G12" s="1">
        <v>4.96875</v>
      </c>
      <c r="H12" s="1">
        <v>1.0620848334989004</v>
      </c>
      <c r="I12">
        <v>48.625</v>
      </c>
      <c r="J12">
        <v>52.715150543028841</v>
      </c>
      <c r="K12">
        <v>4.71875</v>
      </c>
      <c r="L12">
        <v>0.68317923780494227</v>
      </c>
      <c r="M12">
        <v>1.4204871874999996</v>
      </c>
      <c r="N12">
        <v>0.22580152564178727</v>
      </c>
      <c r="O12">
        <v>1.9515671875000002</v>
      </c>
      <c r="P12">
        <v>0.10191122462583747</v>
      </c>
      <c r="Q12">
        <v>1.8284153124999991</v>
      </c>
      <c r="R12">
        <v>0.18159706998105898</v>
      </c>
      <c r="S12">
        <v>1.9482265625000008</v>
      </c>
      <c r="T12">
        <v>0.10201860679779795</v>
      </c>
      <c r="U12">
        <v>1.1658040624999997</v>
      </c>
      <c r="V12">
        <v>0.25892618977989101</v>
      </c>
      <c r="W12">
        <v>102.67343749999999</v>
      </c>
      <c r="X12">
        <v>35.333788873959115</v>
      </c>
      <c r="Y12">
        <v>204.04531249999997</v>
      </c>
      <c r="Z12">
        <v>92.634297904643901</v>
      </c>
      <c r="AA12">
        <v>239.68499999999997</v>
      </c>
      <c r="AB12">
        <v>44.161767437748757</v>
      </c>
      <c r="AC12">
        <v>255.856875</v>
      </c>
      <c r="AD12">
        <v>22.950098381614978</v>
      </c>
      <c r="AE12">
        <v>397.70000000000005</v>
      </c>
      <c r="AF12">
        <v>71.336320523323678</v>
      </c>
      <c r="AH12">
        <f t="shared" si="1"/>
        <v>1312.2666666666667</v>
      </c>
    </row>
    <row r="13" spans="1:34">
      <c r="A13">
        <v>118100</v>
      </c>
      <c r="B13" s="2">
        <f t="shared" si="0"/>
        <v>343.65680554879168</v>
      </c>
      <c r="C13" s="1">
        <v>56130.375</v>
      </c>
      <c r="D13" s="1">
        <v>5163.023781130214</v>
      </c>
      <c r="E13" s="1">
        <v>7.90625</v>
      </c>
      <c r="F13" s="1">
        <v>2.7399008105427654</v>
      </c>
      <c r="G13" s="1">
        <v>5.3125</v>
      </c>
      <c r="H13" s="1">
        <v>1.1198358174592007</v>
      </c>
      <c r="I13">
        <v>198.53125</v>
      </c>
      <c r="J13">
        <v>127.91705588186382</v>
      </c>
      <c r="K13">
        <v>4.90625</v>
      </c>
      <c r="L13">
        <v>0.68905615670769116</v>
      </c>
      <c r="M13">
        <v>1.419054375</v>
      </c>
      <c r="N13">
        <v>0.22091614158431189</v>
      </c>
      <c r="O13">
        <v>1.9528071875000004</v>
      </c>
      <c r="P13">
        <v>0.10265068072411893</v>
      </c>
      <c r="Q13">
        <v>1.8524512500000001</v>
      </c>
      <c r="R13">
        <v>0.15498076666830884</v>
      </c>
      <c r="S13">
        <v>1.9445962500000002</v>
      </c>
      <c r="T13">
        <v>0.10119655096602533</v>
      </c>
      <c r="U13">
        <v>1.2324134375000002</v>
      </c>
      <c r="V13">
        <v>0.30359534651124925</v>
      </c>
      <c r="W13">
        <v>350.82937500000003</v>
      </c>
      <c r="X13">
        <v>19.228395322895469</v>
      </c>
      <c r="Y13">
        <v>582.25093750000019</v>
      </c>
      <c r="Z13">
        <v>32.355047804748807</v>
      </c>
      <c r="AA13">
        <v>745.4631250000001</v>
      </c>
      <c r="AB13">
        <v>80.665724880921559</v>
      </c>
      <c r="AC13">
        <v>863.69468749999987</v>
      </c>
      <c r="AD13">
        <v>38.266101648627135</v>
      </c>
      <c r="AE13">
        <v>1184.8284374999998</v>
      </c>
      <c r="AF13">
        <v>146.58410652105937</v>
      </c>
      <c r="AH13">
        <f t="shared" si="1"/>
        <v>3936.6666666666665</v>
      </c>
    </row>
    <row r="14" spans="1:34">
      <c r="A14">
        <v>354296</v>
      </c>
      <c r="B14" s="2">
        <f t="shared" si="0"/>
        <v>595.22768752805848</v>
      </c>
      <c r="C14" s="1">
        <v>171062.4375</v>
      </c>
      <c r="D14" s="1">
        <v>16677.434650212148</v>
      </c>
      <c r="E14" s="1">
        <v>7.53125</v>
      </c>
      <c r="F14" s="1">
        <v>3.2526354079075932</v>
      </c>
      <c r="G14" s="1">
        <v>5.4375</v>
      </c>
      <c r="H14" s="1">
        <v>1.5644745588092157</v>
      </c>
      <c r="I14">
        <v>206.9375</v>
      </c>
      <c r="J14">
        <v>235.95925529906711</v>
      </c>
      <c r="K14">
        <v>4.625</v>
      </c>
      <c r="L14">
        <v>0.6090712125322324</v>
      </c>
      <c r="M14">
        <v>1.2245593750000003</v>
      </c>
      <c r="N14">
        <v>0.24051838132341313</v>
      </c>
      <c r="O14">
        <v>1.9920859375000006</v>
      </c>
      <c r="P14">
        <v>2.9128090738331676E-2</v>
      </c>
      <c r="Q14">
        <v>1.9039131250000001</v>
      </c>
      <c r="R14">
        <v>9.6889971398805244E-2</v>
      </c>
      <c r="S14">
        <v>1.9890228124999996</v>
      </c>
      <c r="T14">
        <v>2.9801223749973207E-2</v>
      </c>
      <c r="U14">
        <v>1.178690625</v>
      </c>
      <c r="V14">
        <v>0.28083038252294568</v>
      </c>
      <c r="W14">
        <v>1060.7262499999999</v>
      </c>
      <c r="X14">
        <v>110.51530560325457</v>
      </c>
      <c r="Y14">
        <v>1973.2915625000005</v>
      </c>
      <c r="Z14">
        <v>129.4529206266516</v>
      </c>
      <c r="AA14">
        <v>2772.8940625000005</v>
      </c>
      <c r="AB14">
        <v>458.75424098142651</v>
      </c>
      <c r="AC14">
        <v>3046.498437499999</v>
      </c>
      <c r="AD14">
        <v>393.05870917558116</v>
      </c>
      <c r="AE14">
        <v>4053.7275000000004</v>
      </c>
      <c r="AF14">
        <v>243.48616590495814</v>
      </c>
      <c r="AH14">
        <f t="shared" si="1"/>
        <v>11809.866666666667</v>
      </c>
    </row>
    <row r="15" spans="1:34">
      <c r="A15">
        <v>1062884</v>
      </c>
      <c r="B15" s="2">
        <f t="shared" si="0"/>
        <v>1030.9626569376799</v>
      </c>
      <c r="C15" s="1">
        <v>496057.6875</v>
      </c>
      <c r="D15" s="1">
        <v>20192.045857198165</v>
      </c>
      <c r="E15" s="1">
        <v>7.75</v>
      </c>
      <c r="F15" s="1">
        <v>3.2229019181777079</v>
      </c>
      <c r="G15" s="1">
        <v>5.3125</v>
      </c>
      <c r="H15" s="1">
        <v>1.1760376338064324</v>
      </c>
      <c r="I15">
        <v>250.4375</v>
      </c>
      <c r="J15">
        <v>251.99051921489735</v>
      </c>
      <c r="K15">
        <v>4.78125</v>
      </c>
      <c r="L15">
        <v>0.70639361228982733</v>
      </c>
      <c r="M15">
        <v>1.3145549999999999</v>
      </c>
      <c r="N15">
        <v>0.17845188526557662</v>
      </c>
      <c r="O15">
        <v>1.9498043749999994</v>
      </c>
      <c r="P15">
        <v>0.12970814237971637</v>
      </c>
      <c r="Q15">
        <v>1.8522390624999996</v>
      </c>
      <c r="R15">
        <v>0.1804410551123565</v>
      </c>
      <c r="S15">
        <v>1.9491546875000001</v>
      </c>
      <c r="T15">
        <v>0.12947402908054886</v>
      </c>
      <c r="U15">
        <v>1.1599615625000004</v>
      </c>
      <c r="V15">
        <v>0.29560879971961729</v>
      </c>
      <c r="W15">
        <v>4709.5209375000004</v>
      </c>
      <c r="X15">
        <v>901.49784645175259</v>
      </c>
      <c r="Y15">
        <v>7914.4115624999986</v>
      </c>
      <c r="Z15">
        <v>2421.1330457241538</v>
      </c>
      <c r="AA15">
        <v>10222.271249999998</v>
      </c>
      <c r="AB15">
        <v>1357.9815994448179</v>
      </c>
      <c r="AC15">
        <v>11889.873437499999</v>
      </c>
      <c r="AD15">
        <v>1638.3684401328351</v>
      </c>
      <c r="AE15">
        <v>16992.232812500002</v>
      </c>
      <c r="AF15">
        <v>2693.6487058026692</v>
      </c>
      <c r="AH15">
        <f t="shared" si="1"/>
        <v>35429.466666666667</v>
      </c>
    </row>
    <row r="16" spans="1:34">
      <c r="B16" s="2"/>
      <c r="C16" s="1"/>
      <c r="D16" s="1"/>
      <c r="E16" s="1"/>
      <c r="F16" s="1"/>
      <c r="G16" s="1"/>
      <c r="H16" s="1"/>
    </row>
    <row r="17" spans="2:8">
      <c r="B17" s="2"/>
      <c r="C17" s="1"/>
      <c r="D17" s="1"/>
      <c r="E17" s="1"/>
      <c r="F17" s="1"/>
      <c r="G17" s="1"/>
      <c r="H17" s="1"/>
    </row>
    <row r="18" spans="2:8">
      <c r="B18" s="2"/>
      <c r="C18" s="1"/>
      <c r="D18" s="1"/>
      <c r="E18" s="1"/>
      <c r="F18" s="1"/>
      <c r="G18" s="1"/>
      <c r="H18" s="1"/>
    </row>
    <row r="32" spans="2:8">
      <c r="C32" s="4"/>
      <c r="D32" s="4"/>
      <c r="E32" s="3"/>
      <c r="F32" s="3"/>
      <c r="G32" s="3"/>
      <c r="H32" s="3"/>
    </row>
    <row r="33" spans="1:32">
      <c r="A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</row>
    <row r="34" spans="1:32">
      <c r="A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</row>
    <row r="35" spans="1:32">
      <c r="A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</row>
    <row r="36" spans="1:32">
      <c r="A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</row>
    <row r="37" spans="1:32">
      <c r="A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</row>
  </sheetData>
  <mergeCells count="10">
    <mergeCell ref="W2:X2"/>
    <mergeCell ref="Y2:Z2"/>
    <mergeCell ref="AC2:AD2"/>
    <mergeCell ref="C32:D32"/>
    <mergeCell ref="C2:D2"/>
    <mergeCell ref="E2:F2"/>
    <mergeCell ref="I2:J2"/>
    <mergeCell ref="M2:N2"/>
    <mergeCell ref="O2:P2"/>
    <mergeCell ref="S2:T2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autoFill="0" autoPict="0" macro="[0]!SummarizeData">
                <anchor moveWithCells="1" sizeWithCells="1">
                  <from>
                    <xdr:col>34</xdr:col>
                    <xdr:colOff>38100</xdr:colOff>
                    <xdr:row>2</xdr:row>
                    <xdr:rowOff>12700</xdr:rowOff>
                  </from>
                  <to>
                    <xdr:col>36</xdr:col>
                    <xdr:colOff>457200</xdr:colOff>
                    <xdr:row>6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44"/>
  <sheetViews>
    <sheetView workbookViewId="0">
      <selection sqref="A1:P36"/>
    </sheetView>
  </sheetViews>
  <sheetFormatPr baseColWidth="10" defaultRowHeight="16"/>
  <sheetData>
    <row r="1" spans="1:16">
      <c r="A1" t="s">
        <v>0</v>
      </c>
      <c r="B1" t="s">
        <v>21</v>
      </c>
      <c r="C1" t="s">
        <v>1</v>
      </c>
      <c r="D1">
        <v>8</v>
      </c>
    </row>
    <row r="2" spans="1:16">
      <c r="A2" t="s">
        <v>2</v>
      </c>
      <c r="B2" t="s">
        <v>3</v>
      </c>
    </row>
    <row r="3" spans="1:16">
      <c r="C3" t="s">
        <v>4</v>
      </c>
      <c r="F3" t="s">
        <v>5</v>
      </c>
      <c r="I3" t="s">
        <v>19</v>
      </c>
      <c r="L3" t="s">
        <v>6</v>
      </c>
      <c r="O3" t="s">
        <v>20</v>
      </c>
    </row>
    <row r="4" spans="1:16">
      <c r="B4" t="s">
        <v>7</v>
      </c>
      <c r="C4" t="s">
        <v>8</v>
      </c>
      <c r="D4" t="s">
        <v>9</v>
      </c>
      <c r="E4" t="s">
        <v>7</v>
      </c>
      <c r="F4" t="s">
        <v>8</v>
      </c>
      <c r="G4" t="s">
        <v>9</v>
      </c>
      <c r="H4" t="s">
        <v>7</v>
      </c>
      <c r="I4" t="s">
        <v>8</v>
      </c>
      <c r="J4" t="s">
        <v>9</v>
      </c>
      <c r="K4" t="s">
        <v>7</v>
      </c>
      <c r="L4" t="s">
        <v>8</v>
      </c>
      <c r="M4" t="s">
        <v>10</v>
      </c>
      <c r="N4" t="s">
        <v>7</v>
      </c>
      <c r="O4" t="s">
        <v>8</v>
      </c>
      <c r="P4" t="s">
        <v>10</v>
      </c>
    </row>
    <row r="5" spans="1:16">
      <c r="A5">
        <v>0</v>
      </c>
      <c r="B5">
        <v>4</v>
      </c>
      <c r="C5">
        <v>2</v>
      </c>
      <c r="D5">
        <v>0.08</v>
      </c>
      <c r="E5">
        <v>5</v>
      </c>
      <c r="F5">
        <v>1.1666700000000001</v>
      </c>
      <c r="G5">
        <v>0.18</v>
      </c>
      <c r="H5">
        <v>5</v>
      </c>
      <c r="I5">
        <v>1.1666700000000001</v>
      </c>
      <c r="J5">
        <v>0.17</v>
      </c>
      <c r="K5">
        <v>5</v>
      </c>
      <c r="L5">
        <v>1.1666700000000001</v>
      </c>
      <c r="M5">
        <v>0.25</v>
      </c>
      <c r="N5">
        <v>3</v>
      </c>
      <c r="O5">
        <v>1.75</v>
      </c>
      <c r="P5">
        <v>0.28000000000000003</v>
      </c>
    </row>
    <row r="6" spans="1:16">
      <c r="A6">
        <v>1</v>
      </c>
      <c r="B6">
        <v>4</v>
      </c>
      <c r="C6">
        <v>2</v>
      </c>
      <c r="D6">
        <v>0.09</v>
      </c>
      <c r="E6">
        <v>5</v>
      </c>
      <c r="F6">
        <v>1.1666700000000001</v>
      </c>
      <c r="G6">
        <v>0.13</v>
      </c>
      <c r="H6">
        <v>5</v>
      </c>
      <c r="I6">
        <v>1.1666700000000001</v>
      </c>
      <c r="J6">
        <v>0.2</v>
      </c>
      <c r="K6">
        <v>5</v>
      </c>
      <c r="L6">
        <v>1.1666700000000001</v>
      </c>
      <c r="M6">
        <v>0.28999999999999998</v>
      </c>
      <c r="N6">
        <v>3</v>
      </c>
      <c r="O6">
        <v>1.75</v>
      </c>
      <c r="P6">
        <v>0.28000000000000003</v>
      </c>
    </row>
    <row r="7" spans="1:16">
      <c r="A7">
        <v>2</v>
      </c>
      <c r="B7">
        <v>6</v>
      </c>
      <c r="C7">
        <v>1</v>
      </c>
      <c r="D7">
        <v>0.06</v>
      </c>
      <c r="E7">
        <v>4</v>
      </c>
      <c r="F7">
        <v>1.4</v>
      </c>
      <c r="G7">
        <v>0.12</v>
      </c>
      <c r="H7">
        <v>4</v>
      </c>
      <c r="I7">
        <v>1.4</v>
      </c>
      <c r="J7">
        <v>0.16</v>
      </c>
      <c r="K7">
        <v>4</v>
      </c>
      <c r="L7">
        <v>1.4</v>
      </c>
      <c r="M7">
        <v>0.31</v>
      </c>
      <c r="N7">
        <v>4</v>
      </c>
      <c r="O7">
        <v>1.4</v>
      </c>
      <c r="P7">
        <v>0.28999999999999998</v>
      </c>
    </row>
    <row r="8" spans="1:16">
      <c r="A8">
        <v>3</v>
      </c>
      <c r="B8">
        <v>4</v>
      </c>
      <c r="C8">
        <v>2</v>
      </c>
      <c r="D8">
        <v>0.21</v>
      </c>
      <c r="E8">
        <v>5</v>
      </c>
      <c r="F8">
        <v>1.1666700000000001</v>
      </c>
      <c r="G8">
        <v>0.83</v>
      </c>
      <c r="H8">
        <v>5</v>
      </c>
      <c r="I8">
        <v>1.1666700000000001</v>
      </c>
      <c r="J8">
        <v>0.2</v>
      </c>
      <c r="K8">
        <v>5</v>
      </c>
      <c r="L8">
        <v>1.1666700000000001</v>
      </c>
      <c r="M8">
        <v>0.28999999999999998</v>
      </c>
      <c r="N8">
        <v>3</v>
      </c>
      <c r="O8">
        <v>1.75</v>
      </c>
      <c r="P8">
        <v>0.3</v>
      </c>
    </row>
    <row r="9" spans="1:16">
      <c r="A9">
        <v>4</v>
      </c>
      <c r="B9">
        <v>6</v>
      </c>
      <c r="C9">
        <v>1</v>
      </c>
      <c r="D9">
        <v>0.06</v>
      </c>
      <c r="E9">
        <v>4</v>
      </c>
      <c r="F9">
        <v>1.4</v>
      </c>
      <c r="G9">
        <v>0.13</v>
      </c>
      <c r="H9">
        <v>4</v>
      </c>
      <c r="I9">
        <v>1.4</v>
      </c>
      <c r="J9">
        <v>0.17</v>
      </c>
      <c r="K9">
        <v>4</v>
      </c>
      <c r="L9">
        <v>1.4</v>
      </c>
      <c r="M9">
        <v>0.39</v>
      </c>
      <c r="N9">
        <v>4</v>
      </c>
      <c r="O9">
        <v>1.4</v>
      </c>
      <c r="P9">
        <v>2.21</v>
      </c>
    </row>
    <row r="10" spans="1:16">
      <c r="A10">
        <v>5</v>
      </c>
      <c r="B10">
        <v>4</v>
      </c>
      <c r="C10">
        <v>2</v>
      </c>
      <c r="D10">
        <v>0.16</v>
      </c>
      <c r="E10">
        <v>5</v>
      </c>
      <c r="F10">
        <v>1.1666700000000001</v>
      </c>
      <c r="G10">
        <v>4.45</v>
      </c>
      <c r="H10">
        <v>5</v>
      </c>
      <c r="I10">
        <v>1.1666700000000001</v>
      </c>
      <c r="J10">
        <v>0.34</v>
      </c>
      <c r="K10">
        <v>5</v>
      </c>
      <c r="L10">
        <v>1.1666700000000001</v>
      </c>
      <c r="M10">
        <v>0.82</v>
      </c>
      <c r="N10">
        <v>3</v>
      </c>
      <c r="O10">
        <v>1.75</v>
      </c>
      <c r="P10">
        <v>1.79</v>
      </c>
    </row>
    <row r="11" spans="1:16">
      <c r="A11">
        <v>6</v>
      </c>
      <c r="B11">
        <v>4</v>
      </c>
      <c r="C11">
        <v>2</v>
      </c>
      <c r="D11">
        <v>0.12</v>
      </c>
      <c r="E11">
        <v>5</v>
      </c>
      <c r="F11">
        <v>1.1666700000000001</v>
      </c>
      <c r="G11">
        <v>0.37</v>
      </c>
      <c r="H11">
        <v>5</v>
      </c>
      <c r="I11">
        <v>1.1666700000000001</v>
      </c>
      <c r="J11">
        <v>2.29</v>
      </c>
      <c r="K11">
        <v>5</v>
      </c>
      <c r="L11">
        <v>1.1666700000000001</v>
      </c>
      <c r="M11">
        <v>1.6</v>
      </c>
      <c r="N11">
        <v>3</v>
      </c>
      <c r="O11">
        <v>1.75</v>
      </c>
      <c r="P11">
        <v>3.13</v>
      </c>
    </row>
    <row r="12" spans="1:16">
      <c r="A12">
        <v>7</v>
      </c>
      <c r="B12">
        <v>4</v>
      </c>
      <c r="C12">
        <v>2</v>
      </c>
      <c r="D12">
        <v>0.08</v>
      </c>
      <c r="E12">
        <v>5</v>
      </c>
      <c r="F12">
        <v>1.1666700000000001</v>
      </c>
      <c r="G12">
        <v>0.17</v>
      </c>
      <c r="H12">
        <v>5</v>
      </c>
      <c r="I12">
        <v>1.1666700000000001</v>
      </c>
      <c r="J12">
        <v>0.19</v>
      </c>
      <c r="K12">
        <v>5</v>
      </c>
      <c r="L12">
        <v>1.1666700000000001</v>
      </c>
      <c r="M12">
        <v>0.26</v>
      </c>
      <c r="N12">
        <v>3</v>
      </c>
      <c r="O12">
        <v>1.75</v>
      </c>
      <c r="P12">
        <v>0.3</v>
      </c>
    </row>
    <row r="13" spans="1:16">
      <c r="A13">
        <v>8</v>
      </c>
      <c r="B13">
        <v>6</v>
      </c>
      <c r="C13">
        <v>1</v>
      </c>
      <c r="D13">
        <v>0.36</v>
      </c>
      <c r="E13">
        <v>4</v>
      </c>
      <c r="F13">
        <v>1.4</v>
      </c>
      <c r="G13">
        <v>0.41</v>
      </c>
      <c r="H13">
        <v>4</v>
      </c>
      <c r="I13">
        <v>1.4</v>
      </c>
      <c r="J13">
        <v>0.24</v>
      </c>
      <c r="K13">
        <v>4</v>
      </c>
      <c r="L13">
        <v>1.4</v>
      </c>
      <c r="M13">
        <v>0.27</v>
      </c>
      <c r="N13">
        <v>4</v>
      </c>
      <c r="O13">
        <v>1.4</v>
      </c>
      <c r="P13">
        <v>0.33</v>
      </c>
    </row>
    <row r="14" spans="1:16">
      <c r="A14">
        <v>9</v>
      </c>
      <c r="B14">
        <v>6</v>
      </c>
      <c r="C14">
        <v>1</v>
      </c>
      <c r="D14">
        <v>0.09</v>
      </c>
      <c r="E14">
        <v>4</v>
      </c>
      <c r="F14">
        <v>1.4</v>
      </c>
      <c r="G14">
        <v>0.34</v>
      </c>
      <c r="H14">
        <v>4</v>
      </c>
      <c r="I14">
        <v>1.4</v>
      </c>
      <c r="J14">
        <v>0.49</v>
      </c>
      <c r="K14">
        <v>4</v>
      </c>
      <c r="L14">
        <v>1.4</v>
      </c>
      <c r="M14">
        <v>0.69</v>
      </c>
      <c r="N14">
        <v>4</v>
      </c>
      <c r="O14">
        <v>1.4</v>
      </c>
      <c r="P14">
        <v>1.52</v>
      </c>
    </row>
    <row r="15" spans="1:16">
      <c r="A15">
        <v>10</v>
      </c>
      <c r="B15">
        <v>6</v>
      </c>
      <c r="C15">
        <v>1</v>
      </c>
      <c r="D15">
        <v>0.08</v>
      </c>
      <c r="E15">
        <v>4</v>
      </c>
      <c r="F15">
        <v>1.4</v>
      </c>
      <c r="G15">
        <v>0.13</v>
      </c>
      <c r="H15">
        <v>4</v>
      </c>
      <c r="I15">
        <v>1.4</v>
      </c>
      <c r="J15">
        <v>0.16</v>
      </c>
      <c r="K15">
        <v>4</v>
      </c>
      <c r="L15">
        <v>1.4</v>
      </c>
      <c r="M15">
        <v>0.22</v>
      </c>
      <c r="N15">
        <v>4</v>
      </c>
      <c r="O15">
        <v>1.4</v>
      </c>
      <c r="P15">
        <v>2.3199999999999998</v>
      </c>
    </row>
    <row r="16" spans="1:16">
      <c r="A16">
        <v>11</v>
      </c>
      <c r="B16">
        <v>4</v>
      </c>
      <c r="C16">
        <v>2</v>
      </c>
      <c r="D16">
        <v>0.15</v>
      </c>
      <c r="E16">
        <v>5</v>
      </c>
      <c r="F16">
        <v>1.1666700000000001</v>
      </c>
      <c r="G16">
        <v>0.36</v>
      </c>
      <c r="H16">
        <v>5</v>
      </c>
      <c r="I16">
        <v>1.1666700000000001</v>
      </c>
      <c r="J16">
        <v>0.19</v>
      </c>
      <c r="K16">
        <v>5</v>
      </c>
      <c r="L16">
        <v>1.1666700000000001</v>
      </c>
      <c r="M16">
        <v>0.27</v>
      </c>
      <c r="N16">
        <v>3</v>
      </c>
      <c r="O16">
        <v>1.75</v>
      </c>
      <c r="P16">
        <v>0.51</v>
      </c>
    </row>
    <row r="17" spans="1:16">
      <c r="A17">
        <v>12</v>
      </c>
      <c r="B17">
        <v>6</v>
      </c>
      <c r="C17">
        <v>1</v>
      </c>
      <c r="D17">
        <v>0.08</v>
      </c>
      <c r="E17">
        <v>4</v>
      </c>
      <c r="F17">
        <v>1.4</v>
      </c>
      <c r="G17">
        <v>0.48</v>
      </c>
      <c r="H17">
        <v>4</v>
      </c>
      <c r="I17">
        <v>1.4</v>
      </c>
      <c r="J17">
        <v>0.66</v>
      </c>
      <c r="K17">
        <v>4</v>
      </c>
      <c r="L17">
        <v>1.4</v>
      </c>
      <c r="M17">
        <v>0.86</v>
      </c>
      <c r="N17">
        <v>4</v>
      </c>
      <c r="O17">
        <v>1.4</v>
      </c>
      <c r="P17">
        <v>0.85</v>
      </c>
    </row>
    <row r="18" spans="1:16">
      <c r="A18">
        <v>13</v>
      </c>
      <c r="B18">
        <v>6</v>
      </c>
      <c r="C18">
        <v>1</v>
      </c>
      <c r="D18">
        <v>0.18</v>
      </c>
      <c r="E18">
        <v>4</v>
      </c>
      <c r="F18">
        <v>1.4</v>
      </c>
      <c r="G18">
        <v>0.8</v>
      </c>
      <c r="H18">
        <v>4</v>
      </c>
      <c r="I18">
        <v>1.4</v>
      </c>
      <c r="J18">
        <v>0.18</v>
      </c>
      <c r="K18">
        <v>4</v>
      </c>
      <c r="L18">
        <v>1.4</v>
      </c>
      <c r="M18">
        <v>0.2</v>
      </c>
      <c r="N18">
        <v>4</v>
      </c>
      <c r="O18">
        <v>1.4</v>
      </c>
      <c r="P18">
        <v>0.28999999999999998</v>
      </c>
    </row>
    <row r="19" spans="1:16">
      <c r="A19">
        <v>14</v>
      </c>
      <c r="B19">
        <v>6</v>
      </c>
      <c r="C19">
        <v>1</v>
      </c>
      <c r="D19">
        <v>0.06</v>
      </c>
      <c r="E19">
        <v>4</v>
      </c>
      <c r="F19">
        <v>1.4</v>
      </c>
      <c r="G19">
        <v>0.11</v>
      </c>
      <c r="H19">
        <v>4</v>
      </c>
      <c r="I19">
        <v>1.4</v>
      </c>
      <c r="J19">
        <v>0.15</v>
      </c>
      <c r="K19">
        <v>4</v>
      </c>
      <c r="L19">
        <v>1.4</v>
      </c>
      <c r="M19">
        <v>3.9</v>
      </c>
      <c r="N19">
        <v>4</v>
      </c>
      <c r="O19">
        <v>1.4</v>
      </c>
      <c r="P19">
        <v>1.46</v>
      </c>
    </row>
    <row r="20" spans="1:16">
      <c r="A20">
        <v>15</v>
      </c>
      <c r="B20">
        <v>6</v>
      </c>
      <c r="C20">
        <v>1</v>
      </c>
      <c r="D20">
        <v>0.42</v>
      </c>
      <c r="E20">
        <v>4</v>
      </c>
      <c r="F20">
        <v>1.4</v>
      </c>
      <c r="G20">
        <v>0.59</v>
      </c>
      <c r="H20">
        <v>4</v>
      </c>
      <c r="I20">
        <v>1.4</v>
      </c>
      <c r="J20">
        <v>0.27</v>
      </c>
      <c r="K20">
        <v>4</v>
      </c>
      <c r="L20">
        <v>1.4</v>
      </c>
      <c r="M20">
        <v>0.27</v>
      </c>
      <c r="N20">
        <v>4</v>
      </c>
      <c r="O20">
        <v>1.4</v>
      </c>
      <c r="P20">
        <v>0.3</v>
      </c>
    </row>
    <row r="21" spans="1:16">
      <c r="A21">
        <v>16</v>
      </c>
      <c r="B21">
        <v>6</v>
      </c>
      <c r="C21">
        <v>1</v>
      </c>
      <c r="D21">
        <v>0.08</v>
      </c>
      <c r="E21">
        <v>4</v>
      </c>
      <c r="F21">
        <v>1.4</v>
      </c>
      <c r="G21">
        <v>0.12</v>
      </c>
      <c r="H21">
        <v>4</v>
      </c>
      <c r="I21">
        <v>1.4</v>
      </c>
      <c r="J21">
        <v>0.16</v>
      </c>
      <c r="K21">
        <v>4</v>
      </c>
      <c r="L21">
        <v>1.4</v>
      </c>
      <c r="M21">
        <v>0.24</v>
      </c>
      <c r="N21">
        <v>4</v>
      </c>
      <c r="O21">
        <v>1.4</v>
      </c>
      <c r="P21">
        <v>2.11</v>
      </c>
    </row>
    <row r="22" spans="1:16">
      <c r="A22">
        <v>17</v>
      </c>
      <c r="B22">
        <v>4</v>
      </c>
      <c r="C22">
        <v>2</v>
      </c>
      <c r="D22">
        <v>7.0000000000000007E-2</v>
      </c>
      <c r="E22">
        <v>5</v>
      </c>
      <c r="F22">
        <v>1.1666700000000001</v>
      </c>
      <c r="G22">
        <v>0.12</v>
      </c>
      <c r="H22">
        <v>5</v>
      </c>
      <c r="I22">
        <v>1.1666700000000001</v>
      </c>
      <c r="J22">
        <v>0.15</v>
      </c>
      <c r="K22">
        <v>5</v>
      </c>
      <c r="L22">
        <v>1.1666700000000001</v>
      </c>
      <c r="M22">
        <v>0.2</v>
      </c>
      <c r="N22">
        <v>3</v>
      </c>
      <c r="O22">
        <v>1.75</v>
      </c>
      <c r="P22">
        <v>0.27</v>
      </c>
    </row>
    <row r="23" spans="1:16">
      <c r="A23">
        <v>18</v>
      </c>
      <c r="B23">
        <v>4</v>
      </c>
      <c r="C23">
        <v>2</v>
      </c>
      <c r="D23">
        <v>0.11</v>
      </c>
      <c r="E23">
        <v>5</v>
      </c>
      <c r="F23">
        <v>1.1666700000000001</v>
      </c>
      <c r="G23">
        <v>0.43</v>
      </c>
      <c r="H23">
        <v>5</v>
      </c>
      <c r="I23">
        <v>1.1666700000000001</v>
      </c>
      <c r="J23">
        <v>0.66</v>
      </c>
      <c r="K23">
        <v>5</v>
      </c>
      <c r="L23">
        <v>1.1666700000000001</v>
      </c>
      <c r="M23">
        <v>1.63</v>
      </c>
      <c r="N23">
        <v>3</v>
      </c>
      <c r="O23">
        <v>1.75</v>
      </c>
      <c r="P23">
        <v>0.98</v>
      </c>
    </row>
    <row r="24" spans="1:16">
      <c r="A24">
        <v>19</v>
      </c>
      <c r="B24">
        <v>6</v>
      </c>
      <c r="C24">
        <v>1</v>
      </c>
      <c r="D24">
        <v>3.29</v>
      </c>
      <c r="E24">
        <v>4</v>
      </c>
      <c r="F24">
        <v>1.4</v>
      </c>
      <c r="G24">
        <v>0.22</v>
      </c>
      <c r="H24">
        <v>4</v>
      </c>
      <c r="I24">
        <v>1.4</v>
      </c>
      <c r="J24">
        <v>0.19</v>
      </c>
      <c r="K24">
        <v>4</v>
      </c>
      <c r="L24">
        <v>1.4</v>
      </c>
      <c r="M24">
        <v>0.26</v>
      </c>
      <c r="N24">
        <v>4</v>
      </c>
      <c r="O24">
        <v>1.4</v>
      </c>
      <c r="P24">
        <v>3.76</v>
      </c>
    </row>
    <row r="25" spans="1:16">
      <c r="A25">
        <v>20</v>
      </c>
      <c r="B25">
        <v>4</v>
      </c>
      <c r="C25">
        <v>2</v>
      </c>
      <c r="D25">
        <v>0.08</v>
      </c>
      <c r="E25">
        <v>5</v>
      </c>
      <c r="F25">
        <v>1.1666700000000001</v>
      </c>
      <c r="G25">
        <v>0.13</v>
      </c>
      <c r="H25">
        <v>5</v>
      </c>
      <c r="I25">
        <v>1.1666700000000001</v>
      </c>
      <c r="J25">
        <v>0.15</v>
      </c>
      <c r="K25">
        <v>5</v>
      </c>
      <c r="L25">
        <v>1.1666700000000001</v>
      </c>
      <c r="M25">
        <v>0.26</v>
      </c>
      <c r="N25">
        <v>3</v>
      </c>
      <c r="O25">
        <v>1.75</v>
      </c>
      <c r="P25">
        <v>0.26</v>
      </c>
    </row>
    <row r="26" spans="1:16">
      <c r="A26">
        <v>21</v>
      </c>
      <c r="B26">
        <v>4</v>
      </c>
      <c r="C26">
        <v>2</v>
      </c>
      <c r="D26">
        <v>0.06</v>
      </c>
      <c r="E26">
        <v>5</v>
      </c>
      <c r="F26">
        <v>1.1666700000000001</v>
      </c>
      <c r="G26">
        <v>0.12</v>
      </c>
      <c r="H26">
        <v>5</v>
      </c>
      <c r="I26">
        <v>1.1666700000000001</v>
      </c>
      <c r="J26">
        <v>0.17</v>
      </c>
      <c r="K26">
        <v>5</v>
      </c>
      <c r="L26">
        <v>1.1666700000000001</v>
      </c>
      <c r="M26">
        <v>0.21</v>
      </c>
      <c r="N26">
        <v>3</v>
      </c>
      <c r="O26">
        <v>1.75</v>
      </c>
      <c r="P26">
        <v>0.26</v>
      </c>
    </row>
    <row r="27" spans="1:16">
      <c r="A27">
        <v>22</v>
      </c>
      <c r="B27">
        <v>4</v>
      </c>
      <c r="C27">
        <v>2</v>
      </c>
      <c r="D27">
        <v>0.06</v>
      </c>
      <c r="E27">
        <v>5</v>
      </c>
      <c r="F27">
        <v>1.1666700000000001</v>
      </c>
      <c r="G27">
        <v>0.16</v>
      </c>
      <c r="H27">
        <v>5</v>
      </c>
      <c r="I27">
        <v>1.1666700000000001</v>
      </c>
      <c r="J27">
        <v>0.18</v>
      </c>
      <c r="K27">
        <v>5</v>
      </c>
      <c r="L27">
        <v>1.1666700000000001</v>
      </c>
      <c r="M27">
        <v>9.0500000000000007</v>
      </c>
      <c r="N27">
        <v>3</v>
      </c>
      <c r="O27">
        <v>1.75</v>
      </c>
      <c r="P27">
        <v>0.65</v>
      </c>
    </row>
    <row r="28" spans="1:16">
      <c r="A28">
        <v>23</v>
      </c>
      <c r="B28">
        <v>4</v>
      </c>
      <c r="C28">
        <v>2</v>
      </c>
      <c r="D28">
        <v>0.14000000000000001</v>
      </c>
      <c r="E28">
        <v>5</v>
      </c>
      <c r="F28">
        <v>1.1666700000000001</v>
      </c>
      <c r="G28">
        <v>0.12</v>
      </c>
      <c r="H28">
        <v>5</v>
      </c>
      <c r="I28">
        <v>1.1666700000000001</v>
      </c>
      <c r="J28">
        <v>0.17</v>
      </c>
      <c r="K28">
        <v>5</v>
      </c>
      <c r="L28">
        <v>1.1666700000000001</v>
      </c>
      <c r="M28">
        <v>0.25</v>
      </c>
      <c r="N28">
        <v>3</v>
      </c>
      <c r="O28">
        <v>1.75</v>
      </c>
      <c r="P28">
        <v>0.28000000000000003</v>
      </c>
    </row>
    <row r="29" spans="1:16">
      <c r="A29">
        <v>24</v>
      </c>
      <c r="B29">
        <v>4</v>
      </c>
      <c r="C29">
        <v>2</v>
      </c>
      <c r="D29">
        <v>0.06</v>
      </c>
      <c r="E29">
        <v>5</v>
      </c>
      <c r="F29">
        <v>1.1666700000000001</v>
      </c>
      <c r="G29">
        <v>0.11</v>
      </c>
      <c r="H29">
        <v>5</v>
      </c>
      <c r="I29">
        <v>1.1666700000000001</v>
      </c>
      <c r="J29">
        <v>0.14000000000000001</v>
      </c>
      <c r="K29">
        <v>5</v>
      </c>
      <c r="L29">
        <v>1.1666700000000001</v>
      </c>
      <c r="M29">
        <v>3.45</v>
      </c>
      <c r="N29">
        <v>3</v>
      </c>
      <c r="O29">
        <v>1.75</v>
      </c>
      <c r="P29">
        <v>0.26</v>
      </c>
    </row>
    <row r="30" spans="1:16">
      <c r="A30">
        <v>25</v>
      </c>
      <c r="B30">
        <v>4</v>
      </c>
      <c r="C30">
        <v>2</v>
      </c>
      <c r="D30">
        <v>0.06</v>
      </c>
      <c r="E30">
        <v>5</v>
      </c>
      <c r="F30">
        <v>1.1666700000000001</v>
      </c>
      <c r="G30">
        <v>0.11</v>
      </c>
      <c r="H30">
        <v>5</v>
      </c>
      <c r="I30">
        <v>1.1666700000000001</v>
      </c>
      <c r="J30">
        <v>0.15</v>
      </c>
      <c r="K30">
        <v>5</v>
      </c>
      <c r="L30">
        <v>1.1666700000000001</v>
      </c>
      <c r="M30">
        <v>0.24</v>
      </c>
      <c r="N30">
        <v>3</v>
      </c>
      <c r="O30">
        <v>1.75</v>
      </c>
      <c r="P30">
        <v>0.5</v>
      </c>
    </row>
    <row r="31" spans="1:16">
      <c r="A31">
        <v>26</v>
      </c>
      <c r="B31">
        <v>6</v>
      </c>
      <c r="C31">
        <v>1</v>
      </c>
      <c r="D31">
        <v>0.09</v>
      </c>
      <c r="E31">
        <v>4</v>
      </c>
      <c r="F31">
        <v>1.4</v>
      </c>
      <c r="G31">
        <v>0.26</v>
      </c>
      <c r="H31">
        <v>4</v>
      </c>
      <c r="I31">
        <v>1.4</v>
      </c>
      <c r="J31">
        <v>0.23</v>
      </c>
      <c r="K31">
        <v>4</v>
      </c>
      <c r="L31">
        <v>1.4</v>
      </c>
      <c r="M31">
        <v>0.33</v>
      </c>
      <c r="N31">
        <v>4</v>
      </c>
      <c r="O31">
        <v>1.4</v>
      </c>
      <c r="P31">
        <v>0.39</v>
      </c>
    </row>
    <row r="32" spans="1:16">
      <c r="A32">
        <v>27</v>
      </c>
      <c r="B32">
        <v>6</v>
      </c>
      <c r="C32">
        <v>1</v>
      </c>
      <c r="D32">
        <v>0.17</v>
      </c>
      <c r="E32">
        <v>4</v>
      </c>
      <c r="F32">
        <v>1.4</v>
      </c>
      <c r="G32">
        <v>0.11</v>
      </c>
      <c r="H32">
        <v>4</v>
      </c>
      <c r="I32">
        <v>1.4</v>
      </c>
      <c r="J32">
        <v>0.15</v>
      </c>
      <c r="K32">
        <v>4</v>
      </c>
      <c r="L32">
        <v>1.4</v>
      </c>
      <c r="M32">
        <v>0.2</v>
      </c>
      <c r="N32">
        <v>4</v>
      </c>
      <c r="O32">
        <v>1.4</v>
      </c>
      <c r="P32">
        <v>0.27</v>
      </c>
    </row>
    <row r="33" spans="1:16">
      <c r="A33">
        <v>28</v>
      </c>
      <c r="B33">
        <v>6</v>
      </c>
      <c r="C33">
        <v>1</v>
      </c>
      <c r="D33">
        <v>0.06</v>
      </c>
      <c r="E33">
        <v>4</v>
      </c>
      <c r="F33">
        <v>1.4</v>
      </c>
      <c r="G33">
        <v>1.47</v>
      </c>
      <c r="H33">
        <v>4</v>
      </c>
      <c r="I33">
        <v>1.4</v>
      </c>
      <c r="J33">
        <v>0.16</v>
      </c>
      <c r="K33">
        <v>4</v>
      </c>
      <c r="L33">
        <v>1.4</v>
      </c>
      <c r="M33">
        <v>0.19</v>
      </c>
      <c r="N33">
        <v>4</v>
      </c>
      <c r="O33">
        <v>1.4</v>
      </c>
      <c r="P33">
        <v>0.28999999999999998</v>
      </c>
    </row>
    <row r="34" spans="1:16">
      <c r="A34">
        <v>29</v>
      </c>
      <c r="B34">
        <v>6</v>
      </c>
      <c r="C34">
        <v>1</v>
      </c>
      <c r="D34">
        <v>0.06</v>
      </c>
      <c r="E34">
        <v>4</v>
      </c>
      <c r="F34">
        <v>1.4</v>
      </c>
      <c r="G34">
        <v>0.11</v>
      </c>
      <c r="H34">
        <v>4</v>
      </c>
      <c r="I34">
        <v>1.4</v>
      </c>
      <c r="J34">
        <v>0.17</v>
      </c>
      <c r="K34">
        <v>4</v>
      </c>
      <c r="L34">
        <v>1.4</v>
      </c>
      <c r="M34">
        <v>0.19</v>
      </c>
      <c r="N34">
        <v>4</v>
      </c>
      <c r="O34">
        <v>1.4</v>
      </c>
      <c r="P34">
        <v>0.26</v>
      </c>
    </row>
    <row r="35" spans="1:16">
      <c r="A35">
        <v>30</v>
      </c>
      <c r="B35">
        <v>6</v>
      </c>
      <c r="C35">
        <v>1</v>
      </c>
      <c r="D35">
        <v>0.06</v>
      </c>
      <c r="E35">
        <v>4</v>
      </c>
      <c r="F35">
        <v>1.4</v>
      </c>
      <c r="G35">
        <v>0.11</v>
      </c>
      <c r="H35">
        <v>4</v>
      </c>
      <c r="I35">
        <v>1.4</v>
      </c>
      <c r="J35">
        <v>0.14000000000000001</v>
      </c>
      <c r="K35">
        <v>4</v>
      </c>
      <c r="L35">
        <v>1.4</v>
      </c>
      <c r="M35">
        <v>0.2</v>
      </c>
      <c r="N35">
        <v>4</v>
      </c>
      <c r="O35">
        <v>1.4</v>
      </c>
      <c r="P35">
        <v>0.28000000000000003</v>
      </c>
    </row>
    <row r="36" spans="1:16">
      <c r="A36">
        <v>31</v>
      </c>
      <c r="B36">
        <v>6</v>
      </c>
      <c r="C36">
        <v>1</v>
      </c>
      <c r="D36">
        <v>0.06</v>
      </c>
      <c r="E36">
        <v>4</v>
      </c>
      <c r="F36">
        <v>1.4</v>
      </c>
      <c r="G36">
        <v>0.11</v>
      </c>
      <c r="H36">
        <v>4</v>
      </c>
      <c r="I36">
        <v>1.4</v>
      </c>
      <c r="J36">
        <v>0.18</v>
      </c>
      <c r="K36">
        <v>4</v>
      </c>
      <c r="L36">
        <v>1.4</v>
      </c>
      <c r="M36">
        <v>0.21</v>
      </c>
      <c r="N36">
        <v>4</v>
      </c>
      <c r="O36">
        <v>1.4</v>
      </c>
      <c r="P36">
        <v>0.28000000000000003</v>
      </c>
    </row>
    <row r="38" spans="1:16">
      <c r="C38" t="s">
        <v>4</v>
      </c>
      <c r="F38" t="s">
        <v>5</v>
      </c>
      <c r="I38" t="s">
        <v>19</v>
      </c>
      <c r="L38" t="s">
        <v>6</v>
      </c>
      <c r="O38" t="s">
        <v>6</v>
      </c>
    </row>
    <row r="39" spans="1:16">
      <c r="B39" t="s">
        <v>7</v>
      </c>
      <c r="C39" t="s">
        <v>8</v>
      </c>
      <c r="D39" t="s">
        <v>9</v>
      </c>
      <c r="E39" t="s">
        <v>7</v>
      </c>
      <c r="F39" t="s">
        <v>8</v>
      </c>
      <c r="G39" t="s">
        <v>9</v>
      </c>
      <c r="H39" t="s">
        <v>7</v>
      </c>
      <c r="I39" t="s">
        <v>8</v>
      </c>
      <c r="J39" t="s">
        <v>9</v>
      </c>
      <c r="K39" t="s">
        <v>7</v>
      </c>
      <c r="L39" t="s">
        <v>8</v>
      </c>
      <c r="M39" t="s">
        <v>10</v>
      </c>
      <c r="N39" t="s">
        <v>7</v>
      </c>
      <c r="O39" t="s">
        <v>8</v>
      </c>
      <c r="P39" t="s">
        <v>10</v>
      </c>
    </row>
    <row r="40" spans="1:16">
      <c r="A40" t="s">
        <v>11</v>
      </c>
      <c r="B40" s="1">
        <f>MAX(B5:B36)</f>
        <v>6</v>
      </c>
      <c r="C40" s="1">
        <f t="shared" ref="C40:J40" si="0">MAX(C5:C36)</f>
        <v>2</v>
      </c>
      <c r="D40" s="1">
        <f t="shared" si="0"/>
        <v>3.29</v>
      </c>
      <c r="E40" s="1">
        <f t="shared" si="0"/>
        <v>5</v>
      </c>
      <c r="F40" s="1">
        <f t="shared" si="0"/>
        <v>1.4</v>
      </c>
      <c r="G40" s="1">
        <f t="shared" si="0"/>
        <v>4.45</v>
      </c>
      <c r="H40" s="1">
        <f t="shared" si="0"/>
        <v>5</v>
      </c>
      <c r="I40" s="1">
        <f t="shared" si="0"/>
        <v>1.4</v>
      </c>
      <c r="J40" s="1">
        <f t="shared" si="0"/>
        <v>2.29</v>
      </c>
      <c r="K40" s="1">
        <f t="shared" ref="K40:P40" si="1">MAX(K5:K36)</f>
        <v>5</v>
      </c>
      <c r="L40" s="1">
        <f t="shared" si="1"/>
        <v>1.4</v>
      </c>
      <c r="M40" s="1">
        <f t="shared" si="1"/>
        <v>9.0500000000000007</v>
      </c>
      <c r="N40" s="1">
        <f t="shared" si="1"/>
        <v>4</v>
      </c>
      <c r="O40" s="1">
        <f t="shared" si="1"/>
        <v>1.75</v>
      </c>
      <c r="P40" s="1">
        <f t="shared" si="1"/>
        <v>3.76</v>
      </c>
    </row>
    <row r="41" spans="1:16">
      <c r="A41" t="s">
        <v>12</v>
      </c>
      <c r="B41" s="1">
        <f>MIN(B5:B36)</f>
        <v>4</v>
      </c>
      <c r="C41" s="1">
        <f t="shared" ref="C41:J41" si="2">MIN(C5:C36)</f>
        <v>1</v>
      </c>
      <c r="D41" s="1">
        <f t="shared" si="2"/>
        <v>0.06</v>
      </c>
      <c r="E41" s="1">
        <f t="shared" si="2"/>
        <v>4</v>
      </c>
      <c r="F41" s="1">
        <f t="shared" si="2"/>
        <v>1.1666700000000001</v>
      </c>
      <c r="G41" s="1">
        <f t="shared" si="2"/>
        <v>0.11</v>
      </c>
      <c r="H41" s="1">
        <f t="shared" si="2"/>
        <v>4</v>
      </c>
      <c r="I41" s="1">
        <f t="shared" si="2"/>
        <v>1.1666700000000001</v>
      </c>
      <c r="J41" s="1">
        <f t="shared" si="2"/>
        <v>0.14000000000000001</v>
      </c>
      <c r="K41" s="1">
        <f t="shared" ref="K41:P41" si="3">MIN(K5:K36)</f>
        <v>4</v>
      </c>
      <c r="L41" s="1">
        <f t="shared" si="3"/>
        <v>1.1666700000000001</v>
      </c>
      <c r="M41" s="1">
        <f t="shared" si="3"/>
        <v>0.19</v>
      </c>
      <c r="N41" s="1">
        <f t="shared" si="3"/>
        <v>3</v>
      </c>
      <c r="O41" s="1">
        <f t="shared" si="3"/>
        <v>1.4</v>
      </c>
      <c r="P41" s="1">
        <f t="shared" si="3"/>
        <v>0.26</v>
      </c>
    </row>
    <row r="42" spans="1:16">
      <c r="A42" t="s">
        <v>13</v>
      </c>
      <c r="B42" s="1">
        <f>MEDIAN(B5:B36)</f>
        <v>6</v>
      </c>
      <c r="C42" s="1">
        <f t="shared" ref="C42:J42" si="4">MEDIAN(C5:C36)</f>
        <v>1</v>
      </c>
      <c r="D42" s="1">
        <f t="shared" si="4"/>
        <v>0.08</v>
      </c>
      <c r="E42" s="1">
        <f t="shared" si="4"/>
        <v>4</v>
      </c>
      <c r="F42" s="1">
        <f t="shared" si="4"/>
        <v>1.4</v>
      </c>
      <c r="G42" s="1">
        <f t="shared" si="4"/>
        <v>0.14500000000000002</v>
      </c>
      <c r="H42" s="1">
        <f t="shared" si="4"/>
        <v>4</v>
      </c>
      <c r="I42" s="1">
        <f t="shared" si="4"/>
        <v>1.4</v>
      </c>
      <c r="J42" s="1">
        <f t="shared" si="4"/>
        <v>0.17499999999999999</v>
      </c>
      <c r="K42" s="1">
        <f t="shared" ref="K42:P42" si="5">MEDIAN(K5:K36)</f>
        <v>4</v>
      </c>
      <c r="L42" s="1">
        <f t="shared" si="5"/>
        <v>1.4</v>
      </c>
      <c r="M42" s="1">
        <f t="shared" si="5"/>
        <v>0.26500000000000001</v>
      </c>
      <c r="N42" s="1">
        <f t="shared" si="5"/>
        <v>4</v>
      </c>
      <c r="O42" s="1">
        <f t="shared" si="5"/>
        <v>1.4</v>
      </c>
      <c r="P42" s="1">
        <f t="shared" si="5"/>
        <v>0.3</v>
      </c>
    </row>
    <row r="43" spans="1:16">
      <c r="A43" t="s">
        <v>14</v>
      </c>
      <c r="B43" s="1">
        <f>AVERAGE(B5:B36)</f>
        <v>5.0625</v>
      </c>
      <c r="C43" s="1">
        <f t="shared" ref="C43:J43" si="6">AVERAGE(C5:C36)</f>
        <v>1.46875</v>
      </c>
      <c r="D43" s="1">
        <f t="shared" si="6"/>
        <v>0.21218749999999989</v>
      </c>
      <c r="E43" s="1">
        <f t="shared" si="6"/>
        <v>4.46875</v>
      </c>
      <c r="F43" s="1">
        <f t="shared" si="6"/>
        <v>1.2906265624999995</v>
      </c>
      <c r="G43" s="1">
        <f t="shared" si="6"/>
        <v>0.41906249999999984</v>
      </c>
      <c r="H43" s="1">
        <f t="shared" si="6"/>
        <v>4.46875</v>
      </c>
      <c r="I43" s="1">
        <f t="shared" si="6"/>
        <v>1.2906265624999995</v>
      </c>
      <c r="J43" s="1">
        <f t="shared" si="6"/>
        <v>0.28781250000000008</v>
      </c>
      <c r="K43" s="1">
        <f t="shared" ref="K43:P43" si="7">AVERAGE(K5:K36)</f>
        <v>4.46875</v>
      </c>
      <c r="L43" s="1">
        <f t="shared" si="7"/>
        <v>1.2906265624999995</v>
      </c>
      <c r="M43" s="1">
        <f t="shared" si="7"/>
        <v>0.875</v>
      </c>
      <c r="N43" s="1">
        <f t="shared" si="7"/>
        <v>3.53125</v>
      </c>
      <c r="O43" s="1">
        <f t="shared" si="7"/>
        <v>1.5640624999999995</v>
      </c>
      <c r="P43" s="1">
        <f t="shared" si="7"/>
        <v>0.85187500000000027</v>
      </c>
    </row>
    <row r="44" spans="1:16">
      <c r="A44" t="s">
        <v>15</v>
      </c>
      <c r="B44" s="1">
        <f>STDEV(B5:B36)</f>
        <v>1.0140146973548327</v>
      </c>
      <c r="C44" s="1">
        <f t="shared" ref="C44:J44" si="8">STDEV(C5:C36)</f>
        <v>0.50700734867741637</v>
      </c>
      <c r="D44" s="1">
        <f t="shared" si="8"/>
        <v>0.56785240230754663</v>
      </c>
      <c r="E44" s="1">
        <f t="shared" si="8"/>
        <v>0.50700734867741637</v>
      </c>
      <c r="F44" s="1">
        <f t="shared" si="8"/>
        <v>0.11830002466690145</v>
      </c>
      <c r="G44" s="1">
        <f t="shared" si="8"/>
        <v>0.79135392096444834</v>
      </c>
      <c r="H44" s="1">
        <f t="shared" si="8"/>
        <v>0.50700734867741637</v>
      </c>
      <c r="I44" s="1">
        <f t="shared" si="8"/>
        <v>0.11830002466690145</v>
      </c>
      <c r="J44" s="1">
        <f t="shared" si="8"/>
        <v>0.38886712528707312</v>
      </c>
      <c r="K44" s="1">
        <f t="shared" ref="K44:P44" si="9">STDEV(K5:K36)</f>
        <v>0.50700734867741637</v>
      </c>
      <c r="L44" s="1">
        <f t="shared" si="9"/>
        <v>0.11830002466690145</v>
      </c>
      <c r="M44" s="1">
        <f t="shared" si="9"/>
        <v>1.7336871020290647</v>
      </c>
      <c r="N44" s="1">
        <f t="shared" si="9"/>
        <v>0.50700734867741637</v>
      </c>
      <c r="O44" s="1">
        <f t="shared" si="9"/>
        <v>0.17745257203709752</v>
      </c>
      <c r="P44" s="1">
        <f t="shared" si="9"/>
        <v>0.93815342819749314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44"/>
  <sheetViews>
    <sheetView workbookViewId="0">
      <selection sqref="A1:P36"/>
    </sheetView>
  </sheetViews>
  <sheetFormatPr baseColWidth="10" defaultRowHeight="16"/>
  <sheetData>
    <row r="1" spans="1:16">
      <c r="A1" t="s">
        <v>0</v>
      </c>
      <c r="B1" t="s">
        <v>21</v>
      </c>
      <c r="C1" t="s">
        <v>1</v>
      </c>
      <c r="D1">
        <v>20</v>
      </c>
    </row>
    <row r="2" spans="1:16">
      <c r="A2" t="s">
        <v>2</v>
      </c>
      <c r="B2" t="s">
        <v>3</v>
      </c>
    </row>
    <row r="3" spans="1:16">
      <c r="C3" t="s">
        <v>4</v>
      </c>
      <c r="F3" t="s">
        <v>5</v>
      </c>
      <c r="I3" t="s">
        <v>19</v>
      </c>
      <c r="L3" t="s">
        <v>6</v>
      </c>
      <c r="O3" t="s">
        <v>20</v>
      </c>
    </row>
    <row r="4" spans="1:16">
      <c r="B4" t="s">
        <v>7</v>
      </c>
      <c r="C4" t="s">
        <v>8</v>
      </c>
      <c r="D4" t="s">
        <v>9</v>
      </c>
      <c r="E4" t="s">
        <v>7</v>
      </c>
      <c r="F4" t="s">
        <v>8</v>
      </c>
      <c r="G4" t="s">
        <v>9</v>
      </c>
      <c r="H4" t="s">
        <v>7</v>
      </c>
      <c r="I4" t="s">
        <v>8</v>
      </c>
      <c r="J4" t="s">
        <v>9</v>
      </c>
      <c r="K4" t="s">
        <v>7</v>
      </c>
      <c r="L4" t="s">
        <v>8</v>
      </c>
      <c r="M4" t="s">
        <v>10</v>
      </c>
      <c r="N4" t="s">
        <v>7</v>
      </c>
      <c r="O4" t="s">
        <v>8</v>
      </c>
      <c r="P4" t="s">
        <v>10</v>
      </c>
    </row>
    <row r="5" spans="1:16">
      <c r="A5">
        <v>0</v>
      </c>
      <c r="B5">
        <v>12</v>
      </c>
      <c r="C5">
        <v>1.4615400000000001</v>
      </c>
      <c r="D5">
        <v>0.09</v>
      </c>
      <c r="E5">
        <v>5</v>
      </c>
      <c r="F5">
        <v>1.5</v>
      </c>
      <c r="G5">
        <v>0.14000000000000001</v>
      </c>
      <c r="H5">
        <v>4</v>
      </c>
      <c r="I5">
        <v>1.6666700000000001</v>
      </c>
      <c r="J5">
        <v>0.22</v>
      </c>
      <c r="K5">
        <v>5</v>
      </c>
      <c r="L5">
        <v>1.5</v>
      </c>
      <c r="M5">
        <v>0.22</v>
      </c>
      <c r="N5">
        <v>4</v>
      </c>
      <c r="O5">
        <v>1</v>
      </c>
      <c r="P5">
        <v>0.35</v>
      </c>
    </row>
    <row r="6" spans="1:16">
      <c r="A6">
        <v>1</v>
      </c>
      <c r="B6">
        <v>13</v>
      </c>
      <c r="C6">
        <v>1.5384599999999999</v>
      </c>
      <c r="D6">
        <v>7.0000000000000007E-2</v>
      </c>
      <c r="E6">
        <v>5</v>
      </c>
      <c r="F6">
        <v>1.5</v>
      </c>
      <c r="G6">
        <v>0.13</v>
      </c>
      <c r="H6">
        <v>4</v>
      </c>
      <c r="I6">
        <v>1.6666700000000001</v>
      </c>
      <c r="J6">
        <v>0.21</v>
      </c>
      <c r="K6">
        <v>5</v>
      </c>
      <c r="L6">
        <v>1.5</v>
      </c>
      <c r="M6">
        <v>0.22</v>
      </c>
      <c r="N6">
        <v>5</v>
      </c>
      <c r="O6">
        <v>1.0833299999999999</v>
      </c>
      <c r="P6">
        <v>0.35</v>
      </c>
    </row>
    <row r="7" spans="1:16">
      <c r="A7">
        <v>2</v>
      </c>
      <c r="B7">
        <v>14</v>
      </c>
      <c r="C7">
        <v>1.125</v>
      </c>
      <c r="D7">
        <v>7.0000000000000007E-2</v>
      </c>
      <c r="E7">
        <v>5</v>
      </c>
      <c r="F7">
        <v>1.5</v>
      </c>
      <c r="G7">
        <v>0.13</v>
      </c>
      <c r="H7">
        <v>5</v>
      </c>
      <c r="I7">
        <v>1.5</v>
      </c>
      <c r="J7">
        <v>0.27</v>
      </c>
      <c r="K7">
        <v>7</v>
      </c>
      <c r="L7">
        <v>1.0769200000000001</v>
      </c>
      <c r="M7">
        <v>0.22</v>
      </c>
      <c r="N7">
        <v>5</v>
      </c>
      <c r="O7">
        <v>1.2727299999999999</v>
      </c>
      <c r="P7">
        <v>0.35</v>
      </c>
    </row>
    <row r="8" spans="1:16">
      <c r="A8">
        <v>3</v>
      </c>
      <c r="B8">
        <v>14</v>
      </c>
      <c r="C8">
        <v>1.125</v>
      </c>
      <c r="D8">
        <v>7.0000000000000007E-2</v>
      </c>
      <c r="E8">
        <v>5</v>
      </c>
      <c r="F8">
        <v>1.5</v>
      </c>
      <c r="G8">
        <v>0.14000000000000001</v>
      </c>
      <c r="H8">
        <v>5</v>
      </c>
      <c r="I8">
        <v>1.5</v>
      </c>
      <c r="J8">
        <v>0.2</v>
      </c>
      <c r="K8">
        <v>7</v>
      </c>
      <c r="L8">
        <v>1.0769200000000001</v>
      </c>
      <c r="M8">
        <v>0.23</v>
      </c>
      <c r="N8">
        <v>5</v>
      </c>
      <c r="O8">
        <v>1.2727299999999999</v>
      </c>
      <c r="P8">
        <v>0.34</v>
      </c>
    </row>
    <row r="9" spans="1:16">
      <c r="A9">
        <v>4</v>
      </c>
      <c r="B9">
        <v>12</v>
      </c>
      <c r="C9">
        <v>1.4615400000000001</v>
      </c>
      <c r="D9">
        <v>7.0000000000000007E-2</v>
      </c>
      <c r="E9">
        <v>5</v>
      </c>
      <c r="F9">
        <v>1.5</v>
      </c>
      <c r="G9">
        <v>0.13</v>
      </c>
      <c r="H9">
        <v>4</v>
      </c>
      <c r="I9">
        <v>1.6666700000000001</v>
      </c>
      <c r="J9">
        <v>0.21</v>
      </c>
      <c r="K9">
        <v>5</v>
      </c>
      <c r="L9">
        <v>1.5</v>
      </c>
      <c r="M9">
        <v>0.21</v>
      </c>
      <c r="N9">
        <v>4</v>
      </c>
      <c r="O9">
        <v>1</v>
      </c>
      <c r="P9">
        <v>0.34</v>
      </c>
    </row>
    <row r="10" spans="1:16">
      <c r="A10">
        <v>5</v>
      </c>
      <c r="B10">
        <v>14</v>
      </c>
      <c r="C10">
        <v>1.125</v>
      </c>
      <c r="D10">
        <v>0.08</v>
      </c>
      <c r="E10">
        <v>5</v>
      </c>
      <c r="F10">
        <v>1.5</v>
      </c>
      <c r="G10">
        <v>0.12</v>
      </c>
      <c r="H10">
        <v>5</v>
      </c>
      <c r="I10">
        <v>1.5</v>
      </c>
      <c r="J10">
        <v>0.19</v>
      </c>
      <c r="K10">
        <v>7</v>
      </c>
      <c r="L10">
        <v>1.25</v>
      </c>
      <c r="M10">
        <v>0.2</v>
      </c>
      <c r="N10">
        <v>5</v>
      </c>
      <c r="O10">
        <v>1.2727299999999999</v>
      </c>
      <c r="P10">
        <v>0.33</v>
      </c>
    </row>
    <row r="11" spans="1:16">
      <c r="A11">
        <v>6</v>
      </c>
      <c r="B11">
        <v>14</v>
      </c>
      <c r="C11">
        <v>1.125</v>
      </c>
      <c r="D11">
        <v>7.0000000000000007E-2</v>
      </c>
      <c r="E11">
        <v>5</v>
      </c>
      <c r="F11">
        <v>1.5</v>
      </c>
      <c r="G11">
        <v>0.17</v>
      </c>
      <c r="H11">
        <v>5</v>
      </c>
      <c r="I11">
        <v>1.5</v>
      </c>
      <c r="J11">
        <v>0.19</v>
      </c>
      <c r="K11">
        <v>7</v>
      </c>
      <c r="L11">
        <v>1.25</v>
      </c>
      <c r="M11">
        <v>0.2</v>
      </c>
      <c r="N11">
        <v>5</v>
      </c>
      <c r="O11">
        <v>1.2727299999999999</v>
      </c>
      <c r="P11">
        <v>0.36</v>
      </c>
    </row>
    <row r="12" spans="1:16">
      <c r="A12">
        <v>7</v>
      </c>
      <c r="B12">
        <v>14</v>
      </c>
      <c r="C12">
        <v>1.125</v>
      </c>
      <c r="D12">
        <v>7.0000000000000007E-2</v>
      </c>
      <c r="E12">
        <v>5</v>
      </c>
      <c r="F12">
        <v>1.5</v>
      </c>
      <c r="G12">
        <v>0.13</v>
      </c>
      <c r="H12">
        <v>5</v>
      </c>
      <c r="I12">
        <v>1.5</v>
      </c>
      <c r="J12">
        <v>0.21</v>
      </c>
      <c r="K12">
        <v>7</v>
      </c>
      <c r="L12">
        <v>1.25</v>
      </c>
      <c r="M12">
        <v>0.22</v>
      </c>
      <c r="N12">
        <v>5</v>
      </c>
      <c r="O12">
        <v>1.2727299999999999</v>
      </c>
      <c r="P12">
        <v>1.43</v>
      </c>
    </row>
    <row r="13" spans="1:16">
      <c r="A13">
        <v>8</v>
      </c>
      <c r="B13">
        <v>13</v>
      </c>
      <c r="C13">
        <v>1.5384599999999999</v>
      </c>
      <c r="D13">
        <v>1.98</v>
      </c>
      <c r="E13">
        <v>5</v>
      </c>
      <c r="F13">
        <v>1.5</v>
      </c>
      <c r="G13">
        <v>0.17</v>
      </c>
      <c r="H13">
        <v>4</v>
      </c>
      <c r="I13">
        <v>1.6666700000000001</v>
      </c>
      <c r="J13">
        <v>0.26</v>
      </c>
      <c r="K13">
        <v>5</v>
      </c>
      <c r="L13">
        <v>1.5</v>
      </c>
      <c r="M13">
        <v>0.23</v>
      </c>
      <c r="N13">
        <v>5</v>
      </c>
      <c r="O13">
        <v>1.0833299999999999</v>
      </c>
      <c r="P13">
        <v>0.49</v>
      </c>
    </row>
    <row r="14" spans="1:16">
      <c r="A14">
        <v>9</v>
      </c>
      <c r="B14">
        <v>14</v>
      </c>
      <c r="C14">
        <v>1.125</v>
      </c>
      <c r="D14">
        <v>0.08</v>
      </c>
      <c r="E14">
        <v>6</v>
      </c>
      <c r="F14">
        <v>1.36364</v>
      </c>
      <c r="G14">
        <v>0.14000000000000001</v>
      </c>
      <c r="H14">
        <v>5</v>
      </c>
      <c r="I14">
        <v>1.5</v>
      </c>
      <c r="J14">
        <v>0.24</v>
      </c>
      <c r="K14">
        <v>7</v>
      </c>
      <c r="L14">
        <v>1.0769200000000001</v>
      </c>
      <c r="M14">
        <v>0.24</v>
      </c>
      <c r="N14">
        <v>6</v>
      </c>
      <c r="O14">
        <v>1</v>
      </c>
      <c r="P14">
        <v>0.36</v>
      </c>
    </row>
    <row r="15" spans="1:16">
      <c r="A15">
        <v>10</v>
      </c>
      <c r="B15">
        <v>14</v>
      </c>
      <c r="C15">
        <v>1.125</v>
      </c>
      <c r="D15">
        <v>7.0000000000000007E-2</v>
      </c>
      <c r="E15">
        <v>5</v>
      </c>
      <c r="F15">
        <v>1.5</v>
      </c>
      <c r="G15">
        <v>0.13</v>
      </c>
      <c r="H15">
        <v>5</v>
      </c>
      <c r="I15">
        <v>1.5</v>
      </c>
      <c r="J15">
        <v>0.2</v>
      </c>
      <c r="K15">
        <v>7</v>
      </c>
      <c r="L15">
        <v>1.0769200000000001</v>
      </c>
      <c r="M15">
        <v>0.22</v>
      </c>
      <c r="N15">
        <v>5</v>
      </c>
      <c r="O15">
        <v>1.2727299999999999</v>
      </c>
      <c r="P15">
        <v>0.33</v>
      </c>
    </row>
    <row r="16" spans="1:16">
      <c r="A16">
        <v>11</v>
      </c>
      <c r="B16">
        <v>12</v>
      </c>
      <c r="C16">
        <v>1.4615400000000001</v>
      </c>
      <c r="D16">
        <v>0.08</v>
      </c>
      <c r="E16">
        <v>5</v>
      </c>
      <c r="F16">
        <v>1.5</v>
      </c>
      <c r="G16">
        <v>0.14000000000000001</v>
      </c>
      <c r="H16">
        <v>4</v>
      </c>
      <c r="I16">
        <v>1.6666700000000001</v>
      </c>
      <c r="J16">
        <v>0.4</v>
      </c>
      <c r="K16">
        <v>5</v>
      </c>
      <c r="L16">
        <v>1.5</v>
      </c>
      <c r="M16">
        <v>0.24</v>
      </c>
      <c r="N16">
        <v>4</v>
      </c>
      <c r="O16">
        <v>1</v>
      </c>
      <c r="P16">
        <v>0.35</v>
      </c>
    </row>
    <row r="17" spans="1:16">
      <c r="A17">
        <v>12</v>
      </c>
      <c r="B17">
        <v>14</v>
      </c>
      <c r="C17">
        <v>1.125</v>
      </c>
      <c r="D17">
        <v>7.0000000000000007E-2</v>
      </c>
      <c r="E17">
        <v>5</v>
      </c>
      <c r="F17">
        <v>1.5</v>
      </c>
      <c r="G17">
        <v>0.14000000000000001</v>
      </c>
      <c r="H17">
        <v>5</v>
      </c>
      <c r="I17">
        <v>1.5</v>
      </c>
      <c r="J17">
        <v>0.22</v>
      </c>
      <c r="K17">
        <v>7</v>
      </c>
      <c r="L17">
        <v>1.25</v>
      </c>
      <c r="M17">
        <v>0.22</v>
      </c>
      <c r="N17">
        <v>5</v>
      </c>
      <c r="O17">
        <v>1.2727299999999999</v>
      </c>
      <c r="P17">
        <v>0.33</v>
      </c>
    </row>
    <row r="18" spans="1:16">
      <c r="A18">
        <v>13</v>
      </c>
      <c r="B18">
        <v>14</v>
      </c>
      <c r="C18">
        <v>1.125</v>
      </c>
      <c r="D18">
        <v>7.0000000000000007E-2</v>
      </c>
      <c r="E18">
        <v>5</v>
      </c>
      <c r="F18">
        <v>1.5</v>
      </c>
      <c r="G18">
        <v>0.27</v>
      </c>
      <c r="H18">
        <v>5</v>
      </c>
      <c r="I18">
        <v>1.5</v>
      </c>
      <c r="J18">
        <v>0.32</v>
      </c>
      <c r="K18">
        <v>7</v>
      </c>
      <c r="L18">
        <v>1.25</v>
      </c>
      <c r="M18">
        <v>0.26</v>
      </c>
      <c r="N18">
        <v>5</v>
      </c>
      <c r="O18">
        <v>1.2727299999999999</v>
      </c>
      <c r="P18">
        <v>0.39</v>
      </c>
    </row>
    <row r="19" spans="1:16">
      <c r="A19">
        <v>14</v>
      </c>
      <c r="B19">
        <v>14</v>
      </c>
      <c r="C19">
        <v>1.125</v>
      </c>
      <c r="D19">
        <v>0.1</v>
      </c>
      <c r="E19">
        <v>5</v>
      </c>
      <c r="F19">
        <v>1.5</v>
      </c>
      <c r="G19">
        <v>0.15</v>
      </c>
      <c r="H19">
        <v>5</v>
      </c>
      <c r="I19">
        <v>1.5</v>
      </c>
      <c r="J19">
        <v>0.23</v>
      </c>
      <c r="K19">
        <v>7</v>
      </c>
      <c r="L19">
        <v>1.25</v>
      </c>
      <c r="M19">
        <v>0.24</v>
      </c>
      <c r="N19">
        <v>5</v>
      </c>
      <c r="O19">
        <v>1.2727299999999999</v>
      </c>
      <c r="P19">
        <v>0.49</v>
      </c>
    </row>
    <row r="20" spans="1:16">
      <c r="A20">
        <v>15</v>
      </c>
      <c r="B20">
        <v>14</v>
      </c>
      <c r="C20">
        <v>1.125</v>
      </c>
      <c r="D20">
        <v>0.08</v>
      </c>
      <c r="E20">
        <v>5</v>
      </c>
      <c r="F20">
        <v>1.5</v>
      </c>
      <c r="G20">
        <v>0.13</v>
      </c>
      <c r="H20">
        <v>5</v>
      </c>
      <c r="I20">
        <v>1.5</v>
      </c>
      <c r="J20">
        <v>0.18</v>
      </c>
      <c r="K20">
        <v>7</v>
      </c>
      <c r="L20">
        <v>1.25</v>
      </c>
      <c r="M20">
        <v>0.22</v>
      </c>
      <c r="N20">
        <v>5</v>
      </c>
      <c r="O20">
        <v>1.2727299999999999</v>
      </c>
      <c r="P20">
        <v>2.1800000000000002</v>
      </c>
    </row>
    <row r="21" spans="1:16">
      <c r="A21">
        <v>16</v>
      </c>
      <c r="B21">
        <v>13</v>
      </c>
      <c r="C21">
        <v>1.5384599999999999</v>
      </c>
      <c r="D21">
        <v>0.08</v>
      </c>
      <c r="E21">
        <v>5</v>
      </c>
      <c r="F21">
        <v>1.5</v>
      </c>
      <c r="G21">
        <v>0.14000000000000001</v>
      </c>
      <c r="H21">
        <v>4</v>
      </c>
      <c r="I21">
        <v>1.6666700000000001</v>
      </c>
      <c r="J21">
        <v>0.19</v>
      </c>
      <c r="K21">
        <v>5</v>
      </c>
      <c r="L21">
        <v>1.5</v>
      </c>
      <c r="M21">
        <v>0.21</v>
      </c>
      <c r="N21">
        <v>5</v>
      </c>
      <c r="O21">
        <v>1.0833299999999999</v>
      </c>
      <c r="P21">
        <v>0.36</v>
      </c>
    </row>
    <row r="22" spans="1:16">
      <c r="A22">
        <v>17</v>
      </c>
      <c r="B22">
        <v>12</v>
      </c>
      <c r="C22">
        <v>1.4615400000000001</v>
      </c>
      <c r="D22">
        <v>0.08</v>
      </c>
      <c r="E22">
        <v>5</v>
      </c>
      <c r="F22">
        <v>1.5</v>
      </c>
      <c r="G22">
        <v>0.14000000000000001</v>
      </c>
      <c r="H22">
        <v>4</v>
      </c>
      <c r="I22">
        <v>1.6666700000000001</v>
      </c>
      <c r="J22">
        <v>0.18</v>
      </c>
      <c r="K22">
        <v>5</v>
      </c>
      <c r="L22">
        <v>1.5</v>
      </c>
      <c r="M22">
        <v>0.22</v>
      </c>
      <c r="N22">
        <v>4</v>
      </c>
      <c r="O22">
        <v>1</v>
      </c>
      <c r="P22">
        <v>0.32</v>
      </c>
    </row>
    <row r="23" spans="1:16">
      <c r="A23">
        <v>18</v>
      </c>
      <c r="B23">
        <v>14</v>
      </c>
      <c r="C23">
        <v>1.125</v>
      </c>
      <c r="D23">
        <v>7.0000000000000007E-2</v>
      </c>
      <c r="E23">
        <v>6</v>
      </c>
      <c r="F23">
        <v>1.36364</v>
      </c>
      <c r="G23">
        <v>0.14000000000000001</v>
      </c>
      <c r="H23">
        <v>5</v>
      </c>
      <c r="I23">
        <v>1.5</v>
      </c>
      <c r="J23">
        <v>0.18</v>
      </c>
      <c r="K23">
        <v>7</v>
      </c>
      <c r="L23">
        <v>1.0769200000000001</v>
      </c>
      <c r="M23">
        <v>0.22</v>
      </c>
      <c r="N23">
        <v>6</v>
      </c>
      <c r="O23">
        <v>1</v>
      </c>
      <c r="P23">
        <v>0.35</v>
      </c>
    </row>
    <row r="24" spans="1:16">
      <c r="A24">
        <v>19</v>
      </c>
      <c r="B24">
        <v>13</v>
      </c>
      <c r="C24">
        <v>1.5384599999999999</v>
      </c>
      <c r="D24">
        <v>7.0000000000000007E-2</v>
      </c>
      <c r="E24">
        <v>5</v>
      </c>
      <c r="F24">
        <v>1.5</v>
      </c>
      <c r="G24">
        <v>0.13</v>
      </c>
      <c r="H24">
        <v>4</v>
      </c>
      <c r="I24">
        <v>1.6666700000000001</v>
      </c>
      <c r="J24">
        <v>0.19</v>
      </c>
      <c r="K24">
        <v>5</v>
      </c>
      <c r="L24">
        <v>1.5</v>
      </c>
      <c r="M24">
        <v>0.21</v>
      </c>
      <c r="N24">
        <v>5</v>
      </c>
      <c r="O24">
        <v>1.0833299999999999</v>
      </c>
      <c r="P24">
        <v>0.33</v>
      </c>
    </row>
    <row r="25" spans="1:16">
      <c r="A25">
        <v>20</v>
      </c>
      <c r="B25">
        <v>14</v>
      </c>
      <c r="C25">
        <v>1.125</v>
      </c>
      <c r="D25">
        <v>0.08</v>
      </c>
      <c r="E25">
        <v>5</v>
      </c>
      <c r="F25">
        <v>1.5</v>
      </c>
      <c r="G25">
        <v>0.13</v>
      </c>
      <c r="H25">
        <v>5</v>
      </c>
      <c r="I25">
        <v>1.5</v>
      </c>
      <c r="J25">
        <v>0.18</v>
      </c>
      <c r="K25">
        <v>7</v>
      </c>
      <c r="L25">
        <v>1.25</v>
      </c>
      <c r="M25">
        <v>0.22</v>
      </c>
      <c r="N25">
        <v>5</v>
      </c>
      <c r="O25">
        <v>1.2727299999999999</v>
      </c>
      <c r="P25">
        <v>0.34</v>
      </c>
    </row>
    <row r="26" spans="1:16">
      <c r="A26">
        <v>21</v>
      </c>
      <c r="B26">
        <v>14</v>
      </c>
      <c r="C26">
        <v>1.125</v>
      </c>
      <c r="D26">
        <v>7.0000000000000007E-2</v>
      </c>
      <c r="E26">
        <v>5</v>
      </c>
      <c r="F26">
        <v>1.5</v>
      </c>
      <c r="G26">
        <v>0.12</v>
      </c>
      <c r="H26">
        <v>5</v>
      </c>
      <c r="I26">
        <v>1.5</v>
      </c>
      <c r="J26">
        <v>0.16</v>
      </c>
      <c r="K26">
        <v>7</v>
      </c>
      <c r="L26">
        <v>1.25</v>
      </c>
      <c r="M26">
        <v>0.19</v>
      </c>
      <c r="N26">
        <v>5</v>
      </c>
      <c r="O26">
        <v>1.2727299999999999</v>
      </c>
      <c r="P26">
        <v>0.3</v>
      </c>
    </row>
    <row r="27" spans="1:16">
      <c r="A27">
        <v>22</v>
      </c>
      <c r="B27">
        <v>14</v>
      </c>
      <c r="C27">
        <v>1.125</v>
      </c>
      <c r="D27">
        <v>7.0000000000000007E-2</v>
      </c>
      <c r="E27">
        <v>6</v>
      </c>
      <c r="F27">
        <v>1.36364</v>
      </c>
      <c r="G27">
        <v>2.63</v>
      </c>
      <c r="H27">
        <v>5</v>
      </c>
      <c r="I27">
        <v>1.5</v>
      </c>
      <c r="J27">
        <v>0.21</v>
      </c>
      <c r="K27">
        <v>7</v>
      </c>
      <c r="L27">
        <v>1.0769200000000001</v>
      </c>
      <c r="M27">
        <v>0.23</v>
      </c>
      <c r="N27">
        <v>6</v>
      </c>
      <c r="O27">
        <v>1</v>
      </c>
      <c r="P27">
        <v>0.68</v>
      </c>
    </row>
    <row r="28" spans="1:16">
      <c r="A28">
        <v>23</v>
      </c>
      <c r="B28">
        <v>14</v>
      </c>
      <c r="C28">
        <v>1.125</v>
      </c>
      <c r="D28">
        <v>0.12</v>
      </c>
      <c r="E28">
        <v>6</v>
      </c>
      <c r="F28">
        <v>1.36364</v>
      </c>
      <c r="G28">
        <v>0.14000000000000001</v>
      </c>
      <c r="H28">
        <v>5</v>
      </c>
      <c r="I28">
        <v>1.5</v>
      </c>
      <c r="J28">
        <v>0.19</v>
      </c>
      <c r="K28">
        <v>7</v>
      </c>
      <c r="L28">
        <v>1.0769200000000001</v>
      </c>
      <c r="M28">
        <v>0.22</v>
      </c>
      <c r="N28">
        <v>6</v>
      </c>
      <c r="O28">
        <v>1</v>
      </c>
      <c r="P28">
        <v>0.32</v>
      </c>
    </row>
    <row r="29" spans="1:16">
      <c r="A29">
        <v>24</v>
      </c>
      <c r="B29">
        <v>14</v>
      </c>
      <c r="C29">
        <v>1.125</v>
      </c>
      <c r="D29">
        <v>7.0000000000000007E-2</v>
      </c>
      <c r="E29">
        <v>5</v>
      </c>
      <c r="F29">
        <v>1.5</v>
      </c>
      <c r="G29">
        <v>0.14000000000000001</v>
      </c>
      <c r="H29">
        <v>5</v>
      </c>
      <c r="I29">
        <v>1.5</v>
      </c>
      <c r="J29">
        <v>0.19</v>
      </c>
      <c r="K29">
        <v>7</v>
      </c>
      <c r="L29">
        <v>1.0769200000000001</v>
      </c>
      <c r="M29">
        <v>0.23</v>
      </c>
      <c r="N29">
        <v>5</v>
      </c>
      <c r="O29">
        <v>1.2727299999999999</v>
      </c>
      <c r="P29">
        <v>0.32</v>
      </c>
    </row>
    <row r="30" spans="1:16">
      <c r="A30">
        <v>25</v>
      </c>
      <c r="B30">
        <v>14</v>
      </c>
      <c r="C30">
        <v>1.125</v>
      </c>
      <c r="D30">
        <v>7.0000000000000007E-2</v>
      </c>
      <c r="E30">
        <v>5</v>
      </c>
      <c r="F30">
        <v>1.5</v>
      </c>
      <c r="G30">
        <v>0.14000000000000001</v>
      </c>
      <c r="H30">
        <v>5</v>
      </c>
      <c r="I30">
        <v>1.5</v>
      </c>
      <c r="J30">
        <v>0.18</v>
      </c>
      <c r="K30">
        <v>7</v>
      </c>
      <c r="L30">
        <v>1.0769200000000001</v>
      </c>
      <c r="M30">
        <v>0.23</v>
      </c>
      <c r="N30">
        <v>5</v>
      </c>
      <c r="O30">
        <v>1.2727299999999999</v>
      </c>
      <c r="P30">
        <v>0.31</v>
      </c>
    </row>
    <row r="31" spans="1:16">
      <c r="A31">
        <v>26</v>
      </c>
      <c r="B31">
        <v>13</v>
      </c>
      <c r="C31">
        <v>1.5384599999999999</v>
      </c>
      <c r="D31">
        <v>0.1</v>
      </c>
      <c r="E31">
        <v>5</v>
      </c>
      <c r="F31">
        <v>1.5</v>
      </c>
      <c r="G31">
        <v>0.15</v>
      </c>
      <c r="H31">
        <v>4</v>
      </c>
      <c r="I31">
        <v>1.6666700000000001</v>
      </c>
      <c r="J31">
        <v>0.18</v>
      </c>
      <c r="K31">
        <v>5</v>
      </c>
      <c r="L31">
        <v>1.5</v>
      </c>
      <c r="M31">
        <v>0.2</v>
      </c>
      <c r="N31">
        <v>5</v>
      </c>
      <c r="O31">
        <v>1.0833299999999999</v>
      </c>
      <c r="P31">
        <v>0.48</v>
      </c>
    </row>
    <row r="32" spans="1:16">
      <c r="A32">
        <v>27</v>
      </c>
      <c r="B32">
        <v>12</v>
      </c>
      <c r="C32">
        <v>1.4615400000000001</v>
      </c>
      <c r="D32">
        <v>7.0000000000000007E-2</v>
      </c>
      <c r="E32">
        <v>5</v>
      </c>
      <c r="F32">
        <v>1.5</v>
      </c>
      <c r="G32">
        <v>0.12</v>
      </c>
      <c r="H32">
        <v>4</v>
      </c>
      <c r="I32">
        <v>1.6666700000000001</v>
      </c>
      <c r="J32">
        <v>0.18</v>
      </c>
      <c r="K32">
        <v>5</v>
      </c>
      <c r="L32">
        <v>1.5</v>
      </c>
      <c r="M32">
        <v>0.2</v>
      </c>
      <c r="N32">
        <v>4</v>
      </c>
      <c r="O32">
        <v>1</v>
      </c>
      <c r="P32">
        <v>0.28999999999999998</v>
      </c>
    </row>
    <row r="33" spans="1:16">
      <c r="A33">
        <v>28</v>
      </c>
      <c r="B33">
        <v>14</v>
      </c>
      <c r="C33">
        <v>1.125</v>
      </c>
      <c r="D33">
        <v>7.0000000000000007E-2</v>
      </c>
      <c r="E33">
        <v>6</v>
      </c>
      <c r="F33">
        <v>1.36364</v>
      </c>
      <c r="G33">
        <v>0.14000000000000001</v>
      </c>
      <c r="H33">
        <v>5</v>
      </c>
      <c r="I33">
        <v>1.5</v>
      </c>
      <c r="J33">
        <v>0.23</v>
      </c>
      <c r="K33">
        <v>7</v>
      </c>
      <c r="L33">
        <v>1.0769200000000001</v>
      </c>
      <c r="M33">
        <v>0.23</v>
      </c>
      <c r="N33">
        <v>6</v>
      </c>
      <c r="O33">
        <v>1</v>
      </c>
      <c r="P33">
        <v>0.4</v>
      </c>
    </row>
    <row r="34" spans="1:16">
      <c r="A34">
        <v>29</v>
      </c>
      <c r="B34">
        <v>14</v>
      </c>
      <c r="C34">
        <v>1.125</v>
      </c>
      <c r="D34">
        <v>7.0000000000000007E-2</v>
      </c>
      <c r="E34">
        <v>5</v>
      </c>
      <c r="F34">
        <v>1.5</v>
      </c>
      <c r="G34">
        <v>0.13</v>
      </c>
      <c r="H34">
        <v>5</v>
      </c>
      <c r="I34">
        <v>1.5</v>
      </c>
      <c r="J34">
        <v>0.17</v>
      </c>
      <c r="K34">
        <v>7</v>
      </c>
      <c r="L34">
        <v>1.0769200000000001</v>
      </c>
      <c r="M34">
        <v>0.21</v>
      </c>
      <c r="N34">
        <v>5</v>
      </c>
      <c r="O34">
        <v>1.2727299999999999</v>
      </c>
      <c r="P34">
        <v>0.38</v>
      </c>
    </row>
    <row r="35" spans="1:16">
      <c r="A35">
        <v>30</v>
      </c>
      <c r="B35">
        <v>12</v>
      </c>
      <c r="C35">
        <v>1.4615400000000001</v>
      </c>
      <c r="D35">
        <v>7.0000000000000007E-2</v>
      </c>
      <c r="E35">
        <v>5</v>
      </c>
      <c r="F35">
        <v>1.5</v>
      </c>
      <c r="G35">
        <v>0.17</v>
      </c>
      <c r="H35">
        <v>4</v>
      </c>
      <c r="I35">
        <v>1.6666700000000001</v>
      </c>
      <c r="J35">
        <v>0.17</v>
      </c>
      <c r="K35">
        <v>5</v>
      </c>
      <c r="L35">
        <v>1.5</v>
      </c>
      <c r="M35">
        <v>0.22</v>
      </c>
      <c r="N35">
        <v>4</v>
      </c>
      <c r="O35">
        <v>1</v>
      </c>
      <c r="P35">
        <v>0.28999999999999998</v>
      </c>
    </row>
    <row r="36" spans="1:16">
      <c r="A36">
        <v>31</v>
      </c>
      <c r="B36">
        <v>12</v>
      </c>
      <c r="C36">
        <v>1.4615400000000001</v>
      </c>
      <c r="D36">
        <v>7.0000000000000007E-2</v>
      </c>
      <c r="E36">
        <v>5</v>
      </c>
      <c r="F36">
        <v>1.5</v>
      </c>
      <c r="G36">
        <v>0.13</v>
      </c>
      <c r="H36">
        <v>4</v>
      </c>
      <c r="I36">
        <v>1.6666700000000001</v>
      </c>
      <c r="J36">
        <v>0.19</v>
      </c>
      <c r="K36">
        <v>5</v>
      </c>
      <c r="L36">
        <v>1.5</v>
      </c>
      <c r="M36">
        <v>0.2</v>
      </c>
      <c r="N36">
        <v>4</v>
      </c>
      <c r="O36">
        <v>1</v>
      </c>
      <c r="P36">
        <v>0.33</v>
      </c>
    </row>
    <row r="38" spans="1:16">
      <c r="C38" t="s">
        <v>4</v>
      </c>
      <c r="F38" t="s">
        <v>5</v>
      </c>
      <c r="I38" t="s">
        <v>19</v>
      </c>
      <c r="L38" t="s">
        <v>6</v>
      </c>
      <c r="O38" t="s">
        <v>6</v>
      </c>
    </row>
    <row r="39" spans="1:16">
      <c r="B39" t="s">
        <v>7</v>
      </c>
      <c r="C39" t="s">
        <v>8</v>
      </c>
      <c r="D39" t="s">
        <v>9</v>
      </c>
      <c r="E39" t="s">
        <v>7</v>
      </c>
      <c r="F39" t="s">
        <v>8</v>
      </c>
      <c r="G39" t="s">
        <v>9</v>
      </c>
      <c r="H39" t="s">
        <v>7</v>
      </c>
      <c r="I39" t="s">
        <v>8</v>
      </c>
      <c r="J39" t="s">
        <v>9</v>
      </c>
      <c r="K39" t="s">
        <v>7</v>
      </c>
      <c r="L39" t="s">
        <v>8</v>
      </c>
      <c r="M39" t="s">
        <v>10</v>
      </c>
      <c r="N39" t="s">
        <v>7</v>
      </c>
      <c r="O39" t="s">
        <v>8</v>
      </c>
      <c r="P39" t="s">
        <v>10</v>
      </c>
    </row>
    <row r="40" spans="1:16">
      <c r="A40" t="s">
        <v>11</v>
      </c>
      <c r="B40" s="1">
        <f>MAX(B5:B36)</f>
        <v>14</v>
      </c>
      <c r="C40" s="1">
        <f t="shared" ref="C40:P40" si="0">MAX(C5:C36)</f>
        <v>1.5384599999999999</v>
      </c>
      <c r="D40" s="1">
        <f t="shared" si="0"/>
        <v>1.98</v>
      </c>
      <c r="E40" s="1">
        <f t="shared" si="0"/>
        <v>6</v>
      </c>
      <c r="F40" s="1">
        <f t="shared" si="0"/>
        <v>1.5</v>
      </c>
      <c r="G40" s="1">
        <f t="shared" si="0"/>
        <v>2.63</v>
      </c>
      <c r="H40" s="1">
        <f t="shared" si="0"/>
        <v>5</v>
      </c>
      <c r="I40" s="1">
        <f t="shared" si="0"/>
        <v>1.6666700000000001</v>
      </c>
      <c r="J40" s="1">
        <f t="shared" si="0"/>
        <v>0.4</v>
      </c>
      <c r="K40" s="1">
        <f t="shared" si="0"/>
        <v>7</v>
      </c>
      <c r="L40" s="1">
        <f t="shared" si="0"/>
        <v>1.5</v>
      </c>
      <c r="M40" s="1">
        <f t="shared" si="0"/>
        <v>0.26</v>
      </c>
      <c r="N40" s="1">
        <f t="shared" si="0"/>
        <v>6</v>
      </c>
      <c r="O40" s="1">
        <f t="shared" si="0"/>
        <v>1.2727299999999999</v>
      </c>
      <c r="P40" s="1">
        <f t="shared" si="0"/>
        <v>2.1800000000000002</v>
      </c>
    </row>
    <row r="41" spans="1:16">
      <c r="A41" t="s">
        <v>12</v>
      </c>
      <c r="B41" s="1">
        <f>MIN(B5:B36)</f>
        <v>12</v>
      </c>
      <c r="C41" s="1">
        <f t="shared" ref="C41:P41" si="1">MIN(C5:C36)</f>
        <v>1.125</v>
      </c>
      <c r="D41" s="1">
        <f t="shared" si="1"/>
        <v>7.0000000000000007E-2</v>
      </c>
      <c r="E41" s="1">
        <f t="shared" si="1"/>
        <v>5</v>
      </c>
      <c r="F41" s="1">
        <f t="shared" si="1"/>
        <v>1.36364</v>
      </c>
      <c r="G41" s="1">
        <f t="shared" si="1"/>
        <v>0.12</v>
      </c>
      <c r="H41" s="1">
        <f t="shared" si="1"/>
        <v>4</v>
      </c>
      <c r="I41" s="1">
        <f t="shared" si="1"/>
        <v>1.5</v>
      </c>
      <c r="J41" s="1">
        <f t="shared" si="1"/>
        <v>0.16</v>
      </c>
      <c r="K41" s="1">
        <f t="shared" si="1"/>
        <v>5</v>
      </c>
      <c r="L41" s="1">
        <f t="shared" si="1"/>
        <v>1.0769200000000001</v>
      </c>
      <c r="M41" s="1">
        <f t="shared" si="1"/>
        <v>0.19</v>
      </c>
      <c r="N41" s="1">
        <f t="shared" si="1"/>
        <v>4</v>
      </c>
      <c r="O41" s="1">
        <f t="shared" si="1"/>
        <v>1</v>
      </c>
      <c r="P41" s="1">
        <f t="shared" si="1"/>
        <v>0.28999999999999998</v>
      </c>
    </row>
    <row r="42" spans="1:16">
      <c r="A42" t="s">
        <v>13</v>
      </c>
      <c r="B42" s="1">
        <f>MEDIAN(B5:B36)</f>
        <v>14</v>
      </c>
      <c r="C42" s="1">
        <f t="shared" ref="C42:P42" si="2">MEDIAN(C5:C36)</f>
        <v>1.125</v>
      </c>
      <c r="D42" s="1">
        <f t="shared" si="2"/>
        <v>7.0000000000000007E-2</v>
      </c>
      <c r="E42" s="1">
        <f t="shared" si="2"/>
        <v>5</v>
      </c>
      <c r="F42" s="1">
        <f t="shared" si="2"/>
        <v>1.5</v>
      </c>
      <c r="G42" s="1">
        <f t="shared" si="2"/>
        <v>0.14000000000000001</v>
      </c>
      <c r="H42" s="1">
        <f t="shared" si="2"/>
        <v>5</v>
      </c>
      <c r="I42" s="1">
        <f t="shared" si="2"/>
        <v>1.5</v>
      </c>
      <c r="J42" s="1">
        <f t="shared" si="2"/>
        <v>0.19</v>
      </c>
      <c r="K42" s="1">
        <f t="shared" si="2"/>
        <v>7</v>
      </c>
      <c r="L42" s="1">
        <f t="shared" si="2"/>
        <v>1.25</v>
      </c>
      <c r="M42" s="1">
        <f t="shared" si="2"/>
        <v>0.22</v>
      </c>
      <c r="N42" s="1">
        <f t="shared" si="2"/>
        <v>5</v>
      </c>
      <c r="O42" s="1">
        <f t="shared" si="2"/>
        <v>1.0833299999999999</v>
      </c>
      <c r="P42" s="1">
        <f t="shared" si="2"/>
        <v>0.35</v>
      </c>
    </row>
    <row r="43" spans="1:16">
      <c r="A43" t="s">
        <v>14</v>
      </c>
      <c r="B43" s="1">
        <f>AVERAGE(B5:B36)</f>
        <v>13.40625</v>
      </c>
      <c r="C43" s="1">
        <f t="shared" ref="C43:P43" si="3">AVERAGE(C5:C36)</f>
        <v>1.26322125</v>
      </c>
      <c r="D43" s="1">
        <f t="shared" si="3"/>
        <v>0.13593750000000002</v>
      </c>
      <c r="E43" s="1">
        <f t="shared" si="3"/>
        <v>5.15625</v>
      </c>
      <c r="F43" s="1">
        <f t="shared" si="3"/>
        <v>1.4786937499999997</v>
      </c>
      <c r="G43" s="1">
        <f t="shared" si="3"/>
        <v>0.22031249999999997</v>
      </c>
      <c r="H43" s="1">
        <f t="shared" si="3"/>
        <v>4.625</v>
      </c>
      <c r="I43" s="1">
        <f t="shared" si="3"/>
        <v>1.5625012500000004</v>
      </c>
      <c r="J43" s="1">
        <f t="shared" si="3"/>
        <v>0.21000000000000002</v>
      </c>
      <c r="K43" s="1">
        <f t="shared" si="3"/>
        <v>6.25</v>
      </c>
      <c r="L43" s="1">
        <f t="shared" si="3"/>
        <v>1.2842537500000002</v>
      </c>
      <c r="M43" s="1">
        <f t="shared" si="3"/>
        <v>0.21968750000000009</v>
      </c>
      <c r="N43" s="1">
        <f t="shared" si="3"/>
        <v>4.9375</v>
      </c>
      <c r="O43" s="1">
        <f t="shared" si="3"/>
        <v>1.1408624999999999</v>
      </c>
      <c r="P43" s="1">
        <f t="shared" si="3"/>
        <v>0.45531250000000001</v>
      </c>
    </row>
    <row r="44" spans="1:16">
      <c r="A44" t="s">
        <v>15</v>
      </c>
      <c r="B44" s="1">
        <f>STDEV(B5:B36)</f>
        <v>0.83702140875229547</v>
      </c>
      <c r="C44" s="1">
        <f t="shared" ref="C44:P44" si="4">STDEV(C5:C36)</f>
        <v>0.18282694203500485</v>
      </c>
      <c r="D44" s="1">
        <f t="shared" si="4"/>
        <v>0.33669991784587566</v>
      </c>
      <c r="E44" s="1">
        <f t="shared" si="4"/>
        <v>0.36890203262847354</v>
      </c>
      <c r="F44" s="1">
        <f t="shared" si="4"/>
        <v>5.0303481169218664E-2</v>
      </c>
      <c r="G44" s="1">
        <f t="shared" si="4"/>
        <v>0.44051644453212613</v>
      </c>
      <c r="H44" s="1">
        <f t="shared" si="4"/>
        <v>0.49186937683796472</v>
      </c>
      <c r="I44" s="1">
        <f t="shared" si="4"/>
        <v>8.1979869037583641E-2</v>
      </c>
      <c r="J44" s="1">
        <f t="shared" si="4"/>
        <v>4.7924672075543483E-2</v>
      </c>
      <c r="K44" s="1">
        <f t="shared" si="4"/>
        <v>0.98373875367592944</v>
      </c>
      <c r="L44" s="1">
        <f t="shared" si="4"/>
        <v>0.18333622646348638</v>
      </c>
      <c r="M44" s="1">
        <f t="shared" si="4"/>
        <v>1.4697898686766471E-2</v>
      </c>
      <c r="N44" s="1">
        <f t="shared" si="4"/>
        <v>0.61892205981773851</v>
      </c>
      <c r="O44" s="1">
        <f t="shared" si="4"/>
        <v>0.12895265860497218</v>
      </c>
      <c r="P44" s="1">
        <f t="shared" si="4"/>
        <v>0.37446722906705898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P44"/>
  <sheetViews>
    <sheetView workbookViewId="0">
      <selection sqref="A1:P36"/>
    </sheetView>
  </sheetViews>
  <sheetFormatPr baseColWidth="10" defaultRowHeight="16"/>
  <sheetData>
    <row r="1" spans="1:16">
      <c r="A1" t="s">
        <v>0</v>
      </c>
      <c r="B1" t="s">
        <v>21</v>
      </c>
      <c r="C1" t="s">
        <v>1</v>
      </c>
      <c r="D1">
        <v>56</v>
      </c>
    </row>
    <row r="2" spans="1:16">
      <c r="A2" t="s">
        <v>2</v>
      </c>
      <c r="B2" t="s">
        <v>3</v>
      </c>
    </row>
    <row r="3" spans="1:16">
      <c r="C3" t="s">
        <v>4</v>
      </c>
      <c r="F3" t="s">
        <v>5</v>
      </c>
      <c r="I3" t="s">
        <v>19</v>
      </c>
      <c r="L3" t="s">
        <v>6</v>
      </c>
      <c r="O3" t="s">
        <v>20</v>
      </c>
    </row>
    <row r="4" spans="1:16">
      <c r="B4" t="s">
        <v>7</v>
      </c>
      <c r="C4" t="s">
        <v>8</v>
      </c>
      <c r="D4" t="s">
        <v>9</v>
      </c>
      <c r="E4" t="s">
        <v>7</v>
      </c>
      <c r="F4" t="s">
        <v>8</v>
      </c>
      <c r="G4" t="s">
        <v>9</v>
      </c>
      <c r="H4" t="s">
        <v>7</v>
      </c>
      <c r="I4" t="s">
        <v>8</v>
      </c>
      <c r="J4" t="s">
        <v>9</v>
      </c>
      <c r="K4" t="s">
        <v>7</v>
      </c>
      <c r="L4" t="s">
        <v>8</v>
      </c>
      <c r="M4" t="s">
        <v>10</v>
      </c>
      <c r="N4" t="s">
        <v>7</v>
      </c>
      <c r="O4" t="s">
        <v>8</v>
      </c>
      <c r="P4" t="s">
        <v>10</v>
      </c>
    </row>
    <row r="5" spans="1:16">
      <c r="A5">
        <v>0</v>
      </c>
      <c r="B5">
        <v>26</v>
      </c>
      <c r="C5">
        <v>1.73333</v>
      </c>
      <c r="D5">
        <v>0.16</v>
      </c>
      <c r="E5">
        <v>5</v>
      </c>
      <c r="F5">
        <v>1.7727299999999999</v>
      </c>
      <c r="G5">
        <v>0.28000000000000003</v>
      </c>
      <c r="H5">
        <v>4</v>
      </c>
      <c r="I5">
        <v>1.85714</v>
      </c>
      <c r="J5">
        <v>0.41</v>
      </c>
      <c r="K5">
        <v>7</v>
      </c>
      <c r="L5">
        <v>1.625</v>
      </c>
      <c r="M5">
        <v>6.11</v>
      </c>
      <c r="N5">
        <v>4</v>
      </c>
      <c r="O5">
        <v>1</v>
      </c>
      <c r="P5">
        <v>1.1499999999999999</v>
      </c>
    </row>
    <row r="6" spans="1:16">
      <c r="A6">
        <v>1</v>
      </c>
      <c r="B6">
        <v>36</v>
      </c>
      <c r="C6">
        <v>1.3</v>
      </c>
      <c r="D6">
        <v>0.26</v>
      </c>
      <c r="E6">
        <v>5</v>
      </c>
      <c r="F6">
        <v>1.7727299999999999</v>
      </c>
      <c r="G6">
        <v>0.57999999999999996</v>
      </c>
      <c r="H6">
        <v>5</v>
      </c>
      <c r="I6">
        <v>1.7727299999999999</v>
      </c>
      <c r="J6">
        <v>1.26</v>
      </c>
      <c r="K6">
        <v>5</v>
      </c>
      <c r="L6">
        <v>1.6521699999999999</v>
      </c>
      <c r="M6">
        <v>0.47</v>
      </c>
      <c r="N6">
        <v>5</v>
      </c>
      <c r="O6">
        <v>1.6521699999999999</v>
      </c>
      <c r="P6">
        <v>0.57999999999999996</v>
      </c>
    </row>
    <row r="7" spans="1:16">
      <c r="A7">
        <v>2</v>
      </c>
      <c r="B7">
        <v>37</v>
      </c>
      <c r="C7">
        <v>1.16279</v>
      </c>
      <c r="D7">
        <v>0.14000000000000001</v>
      </c>
      <c r="E7">
        <v>5</v>
      </c>
      <c r="F7">
        <v>1.7727299999999999</v>
      </c>
      <c r="G7">
        <v>0.28999999999999998</v>
      </c>
      <c r="H7">
        <v>4</v>
      </c>
      <c r="I7">
        <v>1.85714</v>
      </c>
      <c r="J7">
        <v>4.6100000000000003</v>
      </c>
      <c r="K7">
        <v>11</v>
      </c>
      <c r="L7">
        <v>1.5769200000000001</v>
      </c>
      <c r="M7">
        <v>0.45</v>
      </c>
      <c r="N7">
        <v>5</v>
      </c>
      <c r="O7">
        <v>1.10345</v>
      </c>
      <c r="P7">
        <v>0.55000000000000004</v>
      </c>
    </row>
    <row r="8" spans="1:16">
      <c r="A8">
        <v>3</v>
      </c>
      <c r="B8">
        <v>26</v>
      </c>
      <c r="C8">
        <v>1.73333</v>
      </c>
      <c r="D8">
        <v>0.14000000000000001</v>
      </c>
      <c r="E8">
        <v>6</v>
      </c>
      <c r="F8">
        <v>1.6956500000000001</v>
      </c>
      <c r="G8">
        <v>0.28000000000000003</v>
      </c>
      <c r="H8">
        <v>5</v>
      </c>
      <c r="I8">
        <v>1.7727299999999999</v>
      </c>
      <c r="J8">
        <v>0.4</v>
      </c>
      <c r="K8">
        <v>7</v>
      </c>
      <c r="L8">
        <v>1.625</v>
      </c>
      <c r="M8">
        <v>0.44</v>
      </c>
      <c r="N8">
        <v>5</v>
      </c>
      <c r="O8">
        <v>1.34615</v>
      </c>
      <c r="P8">
        <v>1.2</v>
      </c>
    </row>
    <row r="9" spans="1:16">
      <c r="A9">
        <v>4</v>
      </c>
      <c r="B9">
        <v>35</v>
      </c>
      <c r="C9">
        <v>1.1666700000000001</v>
      </c>
      <c r="D9">
        <v>0.36</v>
      </c>
      <c r="E9">
        <v>6</v>
      </c>
      <c r="F9">
        <v>1.5833299999999999</v>
      </c>
      <c r="G9">
        <v>1.52</v>
      </c>
      <c r="H9">
        <v>5</v>
      </c>
      <c r="I9">
        <v>1.6521699999999999</v>
      </c>
      <c r="J9">
        <v>0.44</v>
      </c>
      <c r="K9">
        <v>9</v>
      </c>
      <c r="L9">
        <v>1.40741</v>
      </c>
      <c r="M9">
        <v>0.47</v>
      </c>
      <c r="N9">
        <v>6</v>
      </c>
      <c r="O9">
        <v>1</v>
      </c>
      <c r="P9">
        <v>0.62</v>
      </c>
    </row>
    <row r="10" spans="1:16">
      <c r="A10">
        <v>5</v>
      </c>
      <c r="B10">
        <v>26</v>
      </c>
      <c r="C10">
        <v>1.73333</v>
      </c>
      <c r="D10">
        <v>0.14000000000000001</v>
      </c>
      <c r="E10">
        <v>5</v>
      </c>
      <c r="F10">
        <v>1.7727299999999999</v>
      </c>
      <c r="G10">
        <v>5.43</v>
      </c>
      <c r="H10">
        <v>5</v>
      </c>
      <c r="I10">
        <v>1.7727299999999999</v>
      </c>
      <c r="J10">
        <v>1.94</v>
      </c>
      <c r="K10">
        <v>5</v>
      </c>
      <c r="L10">
        <v>1.6521699999999999</v>
      </c>
      <c r="M10">
        <v>0.45</v>
      </c>
      <c r="N10">
        <v>5</v>
      </c>
      <c r="O10">
        <v>1.6521699999999999</v>
      </c>
      <c r="P10">
        <v>0.54</v>
      </c>
    </row>
    <row r="11" spans="1:16">
      <c r="A11">
        <v>6</v>
      </c>
      <c r="B11">
        <v>31</v>
      </c>
      <c r="C11">
        <v>1.8064499999999999</v>
      </c>
      <c r="D11">
        <v>0.12</v>
      </c>
      <c r="E11">
        <v>5</v>
      </c>
      <c r="F11">
        <v>1.7727299999999999</v>
      </c>
      <c r="G11">
        <v>0.26</v>
      </c>
      <c r="H11">
        <v>4</v>
      </c>
      <c r="I11">
        <v>1.85714</v>
      </c>
      <c r="J11">
        <v>0.77</v>
      </c>
      <c r="K11">
        <v>5</v>
      </c>
      <c r="L11">
        <v>1.7727299999999999</v>
      </c>
      <c r="M11">
        <v>1.43</v>
      </c>
      <c r="N11">
        <v>4</v>
      </c>
      <c r="O11">
        <v>1</v>
      </c>
      <c r="P11">
        <v>1.5</v>
      </c>
    </row>
    <row r="12" spans="1:16">
      <c r="A12">
        <v>7</v>
      </c>
      <c r="B12">
        <v>26</v>
      </c>
      <c r="C12">
        <v>1.73333</v>
      </c>
      <c r="D12">
        <v>1.78</v>
      </c>
      <c r="E12">
        <v>7</v>
      </c>
      <c r="F12">
        <v>1.625</v>
      </c>
      <c r="G12">
        <v>0.45</v>
      </c>
      <c r="H12">
        <v>6</v>
      </c>
      <c r="I12">
        <v>1.5833299999999999</v>
      </c>
      <c r="J12">
        <v>0.43</v>
      </c>
      <c r="K12">
        <v>7</v>
      </c>
      <c r="L12">
        <v>1.52</v>
      </c>
      <c r="M12">
        <v>0.45</v>
      </c>
      <c r="N12">
        <v>6</v>
      </c>
      <c r="O12">
        <v>1.2142900000000001</v>
      </c>
      <c r="P12">
        <v>0.72</v>
      </c>
    </row>
    <row r="13" spans="1:16">
      <c r="A13">
        <v>8</v>
      </c>
      <c r="B13">
        <v>35</v>
      </c>
      <c r="C13">
        <v>1.1666700000000001</v>
      </c>
      <c r="D13">
        <v>0.13</v>
      </c>
      <c r="E13">
        <v>6</v>
      </c>
      <c r="F13">
        <v>1.6956500000000001</v>
      </c>
      <c r="G13">
        <v>0.26</v>
      </c>
      <c r="H13">
        <v>5</v>
      </c>
      <c r="I13">
        <v>1.6521699999999999</v>
      </c>
      <c r="J13">
        <v>0.39</v>
      </c>
      <c r="K13">
        <v>9</v>
      </c>
      <c r="L13">
        <v>1.5</v>
      </c>
      <c r="M13">
        <v>0.61</v>
      </c>
      <c r="N13">
        <v>5</v>
      </c>
      <c r="O13">
        <v>1.34615</v>
      </c>
      <c r="P13">
        <v>0.87</v>
      </c>
    </row>
    <row r="14" spans="1:16">
      <c r="A14">
        <v>9</v>
      </c>
      <c r="B14">
        <v>36</v>
      </c>
      <c r="C14">
        <v>1.3</v>
      </c>
      <c r="D14">
        <v>0.13</v>
      </c>
      <c r="E14">
        <v>5</v>
      </c>
      <c r="F14">
        <v>1.7727299999999999</v>
      </c>
      <c r="G14">
        <v>0.67</v>
      </c>
      <c r="H14">
        <v>5</v>
      </c>
      <c r="I14">
        <v>1.7727299999999999</v>
      </c>
      <c r="J14">
        <v>0.44</v>
      </c>
      <c r="K14">
        <v>5</v>
      </c>
      <c r="L14">
        <v>1.6521699999999999</v>
      </c>
      <c r="M14">
        <v>13.9</v>
      </c>
      <c r="N14">
        <v>5</v>
      </c>
      <c r="O14">
        <v>1.6521699999999999</v>
      </c>
      <c r="P14">
        <v>2.35</v>
      </c>
    </row>
    <row r="15" spans="1:16">
      <c r="A15">
        <v>10</v>
      </c>
      <c r="B15">
        <v>35</v>
      </c>
      <c r="C15">
        <v>1.1666700000000001</v>
      </c>
      <c r="D15">
        <v>0.14000000000000001</v>
      </c>
      <c r="E15">
        <v>6</v>
      </c>
      <c r="F15">
        <v>1.48</v>
      </c>
      <c r="G15">
        <v>9.01</v>
      </c>
      <c r="H15">
        <v>5</v>
      </c>
      <c r="I15">
        <v>1.6521699999999999</v>
      </c>
      <c r="J15">
        <v>0.71</v>
      </c>
      <c r="K15">
        <v>9</v>
      </c>
      <c r="L15">
        <v>1.3214300000000001</v>
      </c>
      <c r="M15">
        <v>1.1399999999999999</v>
      </c>
      <c r="N15">
        <v>6</v>
      </c>
      <c r="O15">
        <v>1</v>
      </c>
      <c r="P15">
        <v>1.51</v>
      </c>
    </row>
    <row r="16" spans="1:16">
      <c r="A16">
        <v>11</v>
      </c>
      <c r="B16">
        <v>35</v>
      </c>
      <c r="C16">
        <v>1.1666700000000001</v>
      </c>
      <c r="D16">
        <v>0.1</v>
      </c>
      <c r="E16">
        <v>6</v>
      </c>
      <c r="F16">
        <v>1.48</v>
      </c>
      <c r="G16">
        <v>0.23</v>
      </c>
      <c r="H16">
        <v>5</v>
      </c>
      <c r="I16">
        <v>1.6521699999999999</v>
      </c>
      <c r="J16">
        <v>0.35</v>
      </c>
      <c r="K16">
        <v>9</v>
      </c>
      <c r="L16">
        <v>1.3214300000000001</v>
      </c>
      <c r="M16">
        <v>0.41</v>
      </c>
      <c r="N16">
        <v>6</v>
      </c>
      <c r="O16">
        <v>1</v>
      </c>
      <c r="P16">
        <v>0.56999999999999995</v>
      </c>
    </row>
    <row r="17" spans="1:16">
      <c r="A17">
        <v>12</v>
      </c>
      <c r="B17">
        <v>35</v>
      </c>
      <c r="C17">
        <v>1.1666700000000001</v>
      </c>
      <c r="D17">
        <v>0.09</v>
      </c>
      <c r="E17">
        <v>6</v>
      </c>
      <c r="F17">
        <v>1.6956500000000001</v>
      </c>
      <c r="G17">
        <v>0.21</v>
      </c>
      <c r="H17">
        <v>5</v>
      </c>
      <c r="I17">
        <v>1.6521699999999999</v>
      </c>
      <c r="J17">
        <v>0.34</v>
      </c>
      <c r="K17">
        <v>9</v>
      </c>
      <c r="L17">
        <v>1.5</v>
      </c>
      <c r="M17">
        <v>0.35</v>
      </c>
      <c r="N17">
        <v>5</v>
      </c>
      <c r="O17">
        <v>1.34615</v>
      </c>
      <c r="P17">
        <v>0.46</v>
      </c>
    </row>
    <row r="18" spans="1:16">
      <c r="A18">
        <v>13</v>
      </c>
      <c r="B18">
        <v>26</v>
      </c>
      <c r="C18">
        <v>1.73333</v>
      </c>
      <c r="D18">
        <v>0.09</v>
      </c>
      <c r="E18">
        <v>7</v>
      </c>
      <c r="F18">
        <v>1.625</v>
      </c>
      <c r="G18">
        <v>0.2</v>
      </c>
      <c r="H18">
        <v>6</v>
      </c>
      <c r="I18">
        <v>1.5833299999999999</v>
      </c>
      <c r="J18">
        <v>0.33</v>
      </c>
      <c r="K18">
        <v>7</v>
      </c>
      <c r="L18">
        <v>1.52</v>
      </c>
      <c r="M18">
        <v>0.34</v>
      </c>
      <c r="N18">
        <v>6</v>
      </c>
      <c r="O18">
        <v>1.2142900000000001</v>
      </c>
      <c r="P18">
        <v>5.12</v>
      </c>
    </row>
    <row r="19" spans="1:16">
      <c r="A19">
        <v>14</v>
      </c>
      <c r="B19">
        <v>26</v>
      </c>
      <c r="C19">
        <v>1.73333</v>
      </c>
      <c r="D19">
        <v>0.13</v>
      </c>
      <c r="E19">
        <v>7</v>
      </c>
      <c r="F19">
        <v>1.625</v>
      </c>
      <c r="G19">
        <v>0.24</v>
      </c>
      <c r="H19">
        <v>6</v>
      </c>
      <c r="I19">
        <v>1.5833299999999999</v>
      </c>
      <c r="J19">
        <v>0.34</v>
      </c>
      <c r="K19">
        <v>7</v>
      </c>
      <c r="L19">
        <v>1.52</v>
      </c>
      <c r="M19">
        <v>0.35</v>
      </c>
      <c r="N19">
        <v>6</v>
      </c>
      <c r="O19">
        <v>1.2142900000000001</v>
      </c>
      <c r="P19">
        <v>0.49</v>
      </c>
    </row>
    <row r="20" spans="1:16">
      <c r="A20">
        <v>15</v>
      </c>
      <c r="B20">
        <v>26</v>
      </c>
      <c r="C20">
        <v>1.73333</v>
      </c>
      <c r="D20">
        <v>0.1</v>
      </c>
      <c r="E20">
        <v>7</v>
      </c>
      <c r="F20">
        <v>1.625</v>
      </c>
      <c r="G20">
        <v>0.22</v>
      </c>
      <c r="H20">
        <v>6</v>
      </c>
      <c r="I20">
        <v>1.5833299999999999</v>
      </c>
      <c r="J20">
        <v>0.32</v>
      </c>
      <c r="K20">
        <v>7</v>
      </c>
      <c r="L20">
        <v>1.52</v>
      </c>
      <c r="M20">
        <v>0.35</v>
      </c>
      <c r="N20">
        <v>6</v>
      </c>
      <c r="O20">
        <v>1.2142900000000001</v>
      </c>
      <c r="P20">
        <v>0.48</v>
      </c>
    </row>
    <row r="21" spans="1:16">
      <c r="A21">
        <v>16</v>
      </c>
      <c r="B21">
        <v>35</v>
      </c>
      <c r="C21">
        <v>1.1666700000000001</v>
      </c>
      <c r="D21">
        <v>0.1</v>
      </c>
      <c r="E21">
        <v>6</v>
      </c>
      <c r="F21">
        <v>1.6956500000000001</v>
      </c>
      <c r="G21">
        <v>0.22</v>
      </c>
      <c r="H21">
        <v>5</v>
      </c>
      <c r="I21">
        <v>1.6521699999999999</v>
      </c>
      <c r="J21">
        <v>0.32</v>
      </c>
      <c r="K21">
        <v>9</v>
      </c>
      <c r="L21">
        <v>1.5</v>
      </c>
      <c r="M21">
        <v>0.36</v>
      </c>
      <c r="N21">
        <v>5</v>
      </c>
      <c r="O21">
        <v>1.34615</v>
      </c>
      <c r="P21">
        <v>0.49</v>
      </c>
    </row>
    <row r="22" spans="1:16">
      <c r="A22">
        <v>17</v>
      </c>
      <c r="B22">
        <v>35</v>
      </c>
      <c r="C22">
        <v>1.1666700000000001</v>
      </c>
      <c r="D22">
        <v>0.11</v>
      </c>
      <c r="E22">
        <v>6</v>
      </c>
      <c r="F22">
        <v>1.6956500000000001</v>
      </c>
      <c r="G22">
        <v>0.23</v>
      </c>
      <c r="H22">
        <v>5</v>
      </c>
      <c r="I22">
        <v>1.6521699999999999</v>
      </c>
      <c r="J22">
        <v>0.43</v>
      </c>
      <c r="K22">
        <v>9</v>
      </c>
      <c r="L22">
        <v>1.5</v>
      </c>
      <c r="M22">
        <v>0.36</v>
      </c>
      <c r="N22">
        <v>5</v>
      </c>
      <c r="O22">
        <v>1.34615</v>
      </c>
      <c r="P22">
        <v>0.5</v>
      </c>
    </row>
    <row r="23" spans="1:16">
      <c r="A23">
        <v>18</v>
      </c>
      <c r="B23">
        <v>35</v>
      </c>
      <c r="C23">
        <v>1.1666700000000001</v>
      </c>
      <c r="D23">
        <v>0.1</v>
      </c>
      <c r="E23">
        <v>6</v>
      </c>
      <c r="F23">
        <v>1.6956500000000001</v>
      </c>
      <c r="G23">
        <v>0.23</v>
      </c>
      <c r="H23">
        <v>5</v>
      </c>
      <c r="I23">
        <v>1.6521699999999999</v>
      </c>
      <c r="J23">
        <v>0.33</v>
      </c>
      <c r="K23">
        <v>9</v>
      </c>
      <c r="L23">
        <v>1.5</v>
      </c>
      <c r="M23">
        <v>0.37</v>
      </c>
      <c r="N23">
        <v>5</v>
      </c>
      <c r="O23">
        <v>1.34615</v>
      </c>
      <c r="P23">
        <v>0.5</v>
      </c>
    </row>
    <row r="24" spans="1:16">
      <c r="A24">
        <v>19</v>
      </c>
      <c r="B24">
        <v>37</v>
      </c>
      <c r="C24">
        <v>1.16279</v>
      </c>
      <c r="D24">
        <v>0.1</v>
      </c>
      <c r="E24">
        <v>5</v>
      </c>
      <c r="F24">
        <v>1.7727299999999999</v>
      </c>
      <c r="G24">
        <v>0.23</v>
      </c>
      <c r="H24">
        <v>4</v>
      </c>
      <c r="I24">
        <v>1.85714</v>
      </c>
      <c r="J24">
        <v>1.4</v>
      </c>
      <c r="K24">
        <v>11</v>
      </c>
      <c r="L24">
        <v>1.5769200000000001</v>
      </c>
      <c r="M24">
        <v>0.34</v>
      </c>
      <c r="N24">
        <v>5</v>
      </c>
      <c r="O24">
        <v>1.10345</v>
      </c>
      <c r="P24">
        <v>0.47</v>
      </c>
    </row>
    <row r="25" spans="1:16">
      <c r="A25">
        <v>20</v>
      </c>
      <c r="B25">
        <v>36</v>
      </c>
      <c r="C25">
        <v>1.3</v>
      </c>
      <c r="D25">
        <v>0.1</v>
      </c>
      <c r="E25">
        <v>5</v>
      </c>
      <c r="F25">
        <v>1.7727299999999999</v>
      </c>
      <c r="G25">
        <v>0.21</v>
      </c>
      <c r="H25">
        <v>5</v>
      </c>
      <c r="I25">
        <v>1.7727299999999999</v>
      </c>
      <c r="J25">
        <v>2.74</v>
      </c>
      <c r="K25">
        <v>5</v>
      </c>
      <c r="L25">
        <v>1.6521699999999999</v>
      </c>
      <c r="M25">
        <v>0.42</v>
      </c>
      <c r="N25">
        <v>5</v>
      </c>
      <c r="O25">
        <v>1.6521699999999999</v>
      </c>
      <c r="P25">
        <v>0.49</v>
      </c>
    </row>
    <row r="26" spans="1:16">
      <c r="A26">
        <v>21</v>
      </c>
      <c r="B26">
        <v>36</v>
      </c>
      <c r="C26">
        <v>1.3</v>
      </c>
      <c r="D26">
        <v>0.11</v>
      </c>
      <c r="E26">
        <v>5</v>
      </c>
      <c r="F26">
        <v>1.7727299999999999</v>
      </c>
      <c r="G26">
        <v>0.23</v>
      </c>
      <c r="H26">
        <v>5</v>
      </c>
      <c r="I26">
        <v>1.7727299999999999</v>
      </c>
      <c r="J26">
        <v>0.34</v>
      </c>
      <c r="K26">
        <v>5</v>
      </c>
      <c r="L26">
        <v>1.6521699999999999</v>
      </c>
      <c r="M26">
        <v>0.35</v>
      </c>
      <c r="N26">
        <v>5</v>
      </c>
      <c r="O26">
        <v>1.6521699999999999</v>
      </c>
      <c r="P26">
        <v>0.48</v>
      </c>
    </row>
    <row r="27" spans="1:16">
      <c r="A27">
        <v>22</v>
      </c>
      <c r="B27">
        <v>36</v>
      </c>
      <c r="C27">
        <v>1.3</v>
      </c>
      <c r="D27">
        <v>0.1</v>
      </c>
      <c r="E27">
        <v>5</v>
      </c>
      <c r="F27">
        <v>1.7727299999999999</v>
      </c>
      <c r="G27">
        <v>0.22</v>
      </c>
      <c r="H27">
        <v>5</v>
      </c>
      <c r="I27">
        <v>1.7727299999999999</v>
      </c>
      <c r="J27">
        <v>0.34</v>
      </c>
      <c r="K27">
        <v>5</v>
      </c>
      <c r="L27">
        <v>1.6521699999999999</v>
      </c>
      <c r="M27">
        <v>0.41</v>
      </c>
      <c r="N27">
        <v>5</v>
      </c>
      <c r="O27">
        <v>1.6521699999999999</v>
      </c>
      <c r="P27">
        <v>0.47</v>
      </c>
    </row>
    <row r="28" spans="1:16">
      <c r="A28">
        <v>23</v>
      </c>
      <c r="B28">
        <v>37</v>
      </c>
      <c r="C28">
        <v>1.16279</v>
      </c>
      <c r="D28">
        <v>0.1</v>
      </c>
      <c r="E28">
        <v>5</v>
      </c>
      <c r="F28">
        <v>1.7727299999999999</v>
      </c>
      <c r="G28">
        <v>0.22</v>
      </c>
      <c r="H28">
        <v>4</v>
      </c>
      <c r="I28">
        <v>1.85714</v>
      </c>
      <c r="J28">
        <v>2.41</v>
      </c>
      <c r="K28">
        <v>11</v>
      </c>
      <c r="L28">
        <v>1.5769200000000001</v>
      </c>
      <c r="M28">
        <v>0.42</v>
      </c>
      <c r="N28">
        <v>5</v>
      </c>
      <c r="O28">
        <v>1.10345</v>
      </c>
      <c r="P28">
        <v>0.5</v>
      </c>
    </row>
    <row r="29" spans="1:16">
      <c r="A29">
        <v>24</v>
      </c>
      <c r="B29">
        <v>36</v>
      </c>
      <c r="C29">
        <v>1.3</v>
      </c>
      <c r="D29">
        <v>0.11</v>
      </c>
      <c r="E29">
        <v>5</v>
      </c>
      <c r="F29">
        <v>1.7727299999999999</v>
      </c>
      <c r="G29">
        <v>0.24</v>
      </c>
      <c r="H29">
        <v>5</v>
      </c>
      <c r="I29">
        <v>1.7727299999999999</v>
      </c>
      <c r="J29">
        <v>0.32</v>
      </c>
      <c r="K29">
        <v>5</v>
      </c>
      <c r="L29">
        <v>1.6521699999999999</v>
      </c>
      <c r="M29">
        <v>0.34</v>
      </c>
      <c r="N29">
        <v>5</v>
      </c>
      <c r="O29">
        <v>1.6521699999999999</v>
      </c>
      <c r="P29">
        <v>0.47</v>
      </c>
    </row>
    <row r="30" spans="1:16">
      <c r="A30">
        <v>25</v>
      </c>
      <c r="B30">
        <v>35</v>
      </c>
      <c r="C30">
        <v>1.1666700000000001</v>
      </c>
      <c r="D30">
        <v>0.1</v>
      </c>
      <c r="E30">
        <v>6</v>
      </c>
      <c r="F30">
        <v>1.5833299999999999</v>
      </c>
      <c r="G30">
        <v>0.23</v>
      </c>
      <c r="H30">
        <v>5</v>
      </c>
      <c r="I30">
        <v>1.6521699999999999</v>
      </c>
      <c r="J30">
        <v>0.35</v>
      </c>
      <c r="K30">
        <v>9</v>
      </c>
      <c r="L30">
        <v>1.40741</v>
      </c>
      <c r="M30">
        <v>0.47</v>
      </c>
      <c r="N30">
        <v>6</v>
      </c>
      <c r="O30">
        <v>1</v>
      </c>
      <c r="P30">
        <v>0.56000000000000005</v>
      </c>
    </row>
    <row r="31" spans="1:16">
      <c r="A31">
        <v>26</v>
      </c>
      <c r="B31">
        <v>36</v>
      </c>
      <c r="C31">
        <v>1.3</v>
      </c>
      <c r="D31">
        <v>0.11</v>
      </c>
      <c r="E31">
        <v>5</v>
      </c>
      <c r="F31">
        <v>1.7727299999999999</v>
      </c>
      <c r="G31">
        <v>0.23</v>
      </c>
      <c r="H31">
        <v>5</v>
      </c>
      <c r="I31">
        <v>1.7727299999999999</v>
      </c>
      <c r="J31">
        <v>0.31</v>
      </c>
      <c r="K31">
        <v>5</v>
      </c>
      <c r="L31">
        <v>1.6521699999999999</v>
      </c>
      <c r="M31">
        <v>0.46</v>
      </c>
      <c r="N31">
        <v>5</v>
      </c>
      <c r="O31">
        <v>1.6521699999999999</v>
      </c>
      <c r="P31">
        <v>0.51</v>
      </c>
    </row>
    <row r="32" spans="1:16">
      <c r="A32">
        <v>27</v>
      </c>
      <c r="B32">
        <v>26</v>
      </c>
      <c r="C32">
        <v>1.73333</v>
      </c>
      <c r="D32">
        <v>0.1</v>
      </c>
      <c r="E32">
        <v>7</v>
      </c>
      <c r="F32">
        <v>1.625</v>
      </c>
      <c r="G32">
        <v>0.22</v>
      </c>
      <c r="H32">
        <v>6</v>
      </c>
      <c r="I32">
        <v>1.5833299999999999</v>
      </c>
      <c r="J32">
        <v>0.33</v>
      </c>
      <c r="K32">
        <v>7</v>
      </c>
      <c r="L32">
        <v>1.52</v>
      </c>
      <c r="M32">
        <v>0.35</v>
      </c>
      <c r="N32">
        <v>6</v>
      </c>
      <c r="O32">
        <v>1.2142900000000001</v>
      </c>
      <c r="P32">
        <v>0.47</v>
      </c>
    </row>
    <row r="33" spans="1:16">
      <c r="A33">
        <v>28</v>
      </c>
      <c r="B33">
        <v>26</v>
      </c>
      <c r="C33">
        <v>1.73333</v>
      </c>
      <c r="D33">
        <v>0.1</v>
      </c>
      <c r="E33">
        <v>6</v>
      </c>
      <c r="F33">
        <v>1.6956500000000001</v>
      </c>
      <c r="G33">
        <v>0.22</v>
      </c>
      <c r="H33">
        <v>5</v>
      </c>
      <c r="I33">
        <v>1.7727299999999999</v>
      </c>
      <c r="J33">
        <v>0.35</v>
      </c>
      <c r="K33">
        <v>7</v>
      </c>
      <c r="L33">
        <v>1.625</v>
      </c>
      <c r="M33">
        <v>0.31</v>
      </c>
      <c r="N33">
        <v>5</v>
      </c>
      <c r="O33">
        <v>1.34615</v>
      </c>
      <c r="P33">
        <v>0.49</v>
      </c>
    </row>
    <row r="34" spans="1:16">
      <c r="A34">
        <v>29</v>
      </c>
      <c r="B34">
        <v>26</v>
      </c>
      <c r="C34">
        <v>1.73333</v>
      </c>
      <c r="D34">
        <v>0.1</v>
      </c>
      <c r="E34">
        <v>5</v>
      </c>
      <c r="F34">
        <v>1.7727299999999999</v>
      </c>
      <c r="G34">
        <v>0.41</v>
      </c>
      <c r="H34">
        <v>5</v>
      </c>
      <c r="I34">
        <v>1.6521699999999999</v>
      </c>
      <c r="J34">
        <v>0.33</v>
      </c>
      <c r="K34">
        <v>7</v>
      </c>
      <c r="L34">
        <v>1.625</v>
      </c>
      <c r="M34">
        <v>0.3</v>
      </c>
      <c r="N34">
        <v>4</v>
      </c>
      <c r="O34">
        <v>1</v>
      </c>
      <c r="P34">
        <v>0.74</v>
      </c>
    </row>
    <row r="35" spans="1:16">
      <c r="A35">
        <v>30</v>
      </c>
      <c r="B35">
        <v>35</v>
      </c>
      <c r="C35">
        <v>1.1666700000000001</v>
      </c>
      <c r="D35">
        <v>0.1</v>
      </c>
      <c r="E35">
        <v>6</v>
      </c>
      <c r="F35">
        <v>1.48</v>
      </c>
      <c r="G35">
        <v>0.24</v>
      </c>
      <c r="H35">
        <v>5</v>
      </c>
      <c r="I35">
        <v>1.6521699999999999</v>
      </c>
      <c r="J35">
        <v>0.47</v>
      </c>
      <c r="K35">
        <v>9</v>
      </c>
      <c r="L35">
        <v>1.3214300000000001</v>
      </c>
      <c r="M35">
        <v>0.38</v>
      </c>
      <c r="N35">
        <v>6</v>
      </c>
      <c r="O35">
        <v>1</v>
      </c>
      <c r="P35">
        <v>0.53</v>
      </c>
    </row>
    <row r="36" spans="1:16">
      <c r="A36">
        <v>31</v>
      </c>
      <c r="B36">
        <v>37</v>
      </c>
      <c r="C36">
        <v>1.16279</v>
      </c>
      <c r="D36">
        <v>0.11</v>
      </c>
      <c r="E36">
        <v>5</v>
      </c>
      <c r="F36">
        <v>1.7727299999999999</v>
      </c>
      <c r="G36">
        <v>0.21</v>
      </c>
      <c r="H36">
        <v>4</v>
      </c>
      <c r="I36">
        <v>1.85714</v>
      </c>
      <c r="J36">
        <v>0.39</v>
      </c>
      <c r="K36">
        <v>11</v>
      </c>
      <c r="L36">
        <v>1.5769200000000001</v>
      </c>
      <c r="M36">
        <v>4.53</v>
      </c>
      <c r="N36">
        <v>5</v>
      </c>
      <c r="O36">
        <v>1.10345</v>
      </c>
      <c r="P36">
        <v>0.46</v>
      </c>
    </row>
    <row r="38" spans="1:16">
      <c r="C38" t="s">
        <v>4</v>
      </c>
      <c r="F38" t="s">
        <v>5</v>
      </c>
      <c r="I38" t="s">
        <v>19</v>
      </c>
      <c r="L38" t="s">
        <v>6</v>
      </c>
      <c r="O38" t="s">
        <v>6</v>
      </c>
    </row>
    <row r="39" spans="1:16">
      <c r="B39" t="s">
        <v>7</v>
      </c>
      <c r="C39" t="s">
        <v>8</v>
      </c>
      <c r="D39" t="s">
        <v>9</v>
      </c>
      <c r="E39" t="s">
        <v>7</v>
      </c>
      <c r="F39" t="s">
        <v>8</v>
      </c>
      <c r="G39" t="s">
        <v>9</v>
      </c>
      <c r="H39" t="s">
        <v>7</v>
      </c>
      <c r="I39" t="s">
        <v>8</v>
      </c>
      <c r="J39" t="s">
        <v>9</v>
      </c>
      <c r="K39" t="s">
        <v>7</v>
      </c>
      <c r="L39" t="s">
        <v>8</v>
      </c>
      <c r="M39" t="s">
        <v>10</v>
      </c>
      <c r="N39" t="s">
        <v>7</v>
      </c>
      <c r="O39" t="s">
        <v>8</v>
      </c>
      <c r="P39" t="s">
        <v>10</v>
      </c>
    </row>
    <row r="40" spans="1:16">
      <c r="A40" t="s">
        <v>11</v>
      </c>
      <c r="B40" s="1">
        <f>MAX(B5:B36)</f>
        <v>37</v>
      </c>
      <c r="C40" s="1">
        <f t="shared" ref="C40:P40" si="0">MAX(C5:C36)</f>
        <v>1.8064499999999999</v>
      </c>
      <c r="D40" s="1">
        <f t="shared" si="0"/>
        <v>1.78</v>
      </c>
      <c r="E40" s="1">
        <f t="shared" si="0"/>
        <v>7</v>
      </c>
      <c r="F40" s="1">
        <f t="shared" si="0"/>
        <v>1.7727299999999999</v>
      </c>
      <c r="G40" s="1">
        <f t="shared" si="0"/>
        <v>9.01</v>
      </c>
      <c r="H40" s="1">
        <f t="shared" si="0"/>
        <v>6</v>
      </c>
      <c r="I40" s="1">
        <f t="shared" si="0"/>
        <v>1.85714</v>
      </c>
      <c r="J40" s="1">
        <f t="shared" si="0"/>
        <v>4.6100000000000003</v>
      </c>
      <c r="K40" s="1">
        <f t="shared" si="0"/>
        <v>11</v>
      </c>
      <c r="L40" s="1">
        <f t="shared" si="0"/>
        <v>1.7727299999999999</v>
      </c>
      <c r="M40" s="1">
        <f t="shared" si="0"/>
        <v>13.9</v>
      </c>
      <c r="N40" s="1">
        <f t="shared" si="0"/>
        <v>6</v>
      </c>
      <c r="O40" s="1">
        <f t="shared" si="0"/>
        <v>1.6521699999999999</v>
      </c>
      <c r="P40" s="1">
        <f t="shared" si="0"/>
        <v>5.12</v>
      </c>
    </row>
    <row r="41" spans="1:16">
      <c r="A41" t="s">
        <v>12</v>
      </c>
      <c r="B41" s="1">
        <f>MIN(B5:B36)</f>
        <v>26</v>
      </c>
      <c r="C41" s="1">
        <f t="shared" ref="C41:P41" si="1">MIN(C5:C36)</f>
        <v>1.16279</v>
      </c>
      <c r="D41" s="1">
        <f t="shared" si="1"/>
        <v>0.09</v>
      </c>
      <c r="E41" s="1">
        <f t="shared" si="1"/>
        <v>5</v>
      </c>
      <c r="F41" s="1">
        <f t="shared" si="1"/>
        <v>1.48</v>
      </c>
      <c r="G41" s="1">
        <f t="shared" si="1"/>
        <v>0.2</v>
      </c>
      <c r="H41" s="1">
        <f t="shared" si="1"/>
        <v>4</v>
      </c>
      <c r="I41" s="1">
        <f t="shared" si="1"/>
        <v>1.5833299999999999</v>
      </c>
      <c r="J41" s="1">
        <f t="shared" si="1"/>
        <v>0.31</v>
      </c>
      <c r="K41" s="1">
        <f t="shared" si="1"/>
        <v>5</v>
      </c>
      <c r="L41" s="1">
        <f t="shared" si="1"/>
        <v>1.3214300000000001</v>
      </c>
      <c r="M41" s="1">
        <f t="shared" si="1"/>
        <v>0.3</v>
      </c>
      <c r="N41" s="1">
        <f t="shared" si="1"/>
        <v>4</v>
      </c>
      <c r="O41" s="1">
        <f t="shared" si="1"/>
        <v>1</v>
      </c>
      <c r="P41" s="1">
        <f t="shared" si="1"/>
        <v>0.46</v>
      </c>
    </row>
    <row r="42" spans="1:16">
      <c r="A42" t="s">
        <v>13</v>
      </c>
      <c r="B42" s="1">
        <f>MEDIAN(B5:B36)</f>
        <v>35</v>
      </c>
      <c r="C42" s="1">
        <f t="shared" ref="C42:P42" si="2">MEDIAN(C5:C36)</f>
        <v>1.3</v>
      </c>
      <c r="D42" s="1">
        <f t="shared" si="2"/>
        <v>0.11</v>
      </c>
      <c r="E42" s="1">
        <f t="shared" si="2"/>
        <v>6</v>
      </c>
      <c r="F42" s="1">
        <f t="shared" si="2"/>
        <v>1.6956500000000001</v>
      </c>
      <c r="G42" s="1">
        <f t="shared" si="2"/>
        <v>0.23</v>
      </c>
      <c r="H42" s="1">
        <f t="shared" si="2"/>
        <v>5</v>
      </c>
      <c r="I42" s="1">
        <f t="shared" si="2"/>
        <v>1.71245</v>
      </c>
      <c r="J42" s="1">
        <f t="shared" si="2"/>
        <v>0.39</v>
      </c>
      <c r="K42" s="1">
        <f t="shared" si="2"/>
        <v>7</v>
      </c>
      <c r="L42" s="1">
        <f t="shared" si="2"/>
        <v>1.5769200000000001</v>
      </c>
      <c r="M42" s="1">
        <f t="shared" si="2"/>
        <v>0.41499999999999998</v>
      </c>
      <c r="N42" s="1">
        <f t="shared" si="2"/>
        <v>5</v>
      </c>
      <c r="O42" s="1">
        <f t="shared" si="2"/>
        <v>1.2142900000000001</v>
      </c>
      <c r="P42" s="1">
        <f t="shared" si="2"/>
        <v>0.52</v>
      </c>
    </row>
    <row r="43" spans="1:16">
      <c r="A43" t="s">
        <v>14</v>
      </c>
      <c r="B43" s="1">
        <f>AVERAGE(B5:B36)</f>
        <v>32.53125</v>
      </c>
      <c r="C43" s="1">
        <f t="shared" ref="C43:P43" si="3">AVERAGE(C5:C36)</f>
        <v>1.3924253125000003</v>
      </c>
      <c r="D43" s="1">
        <f t="shared" si="3"/>
        <v>0.17687499999999992</v>
      </c>
      <c r="E43" s="1">
        <f t="shared" si="3"/>
        <v>5.6875</v>
      </c>
      <c r="F43" s="1">
        <f t="shared" si="3"/>
        <v>1.6935050000000007</v>
      </c>
      <c r="G43" s="1">
        <f t="shared" si="3"/>
        <v>0.74749999999999972</v>
      </c>
      <c r="H43" s="1">
        <f t="shared" si="3"/>
        <v>4.96875</v>
      </c>
      <c r="I43" s="1">
        <f t="shared" si="3"/>
        <v>1.7175206250000001</v>
      </c>
      <c r="J43" s="1">
        <f t="shared" si="3"/>
        <v>0.77</v>
      </c>
      <c r="K43" s="1">
        <f t="shared" si="3"/>
        <v>7.5625</v>
      </c>
      <c r="L43" s="1">
        <f t="shared" si="3"/>
        <v>1.5524024999999999</v>
      </c>
      <c r="M43" s="1">
        <f t="shared" si="3"/>
        <v>1.1840625000000005</v>
      </c>
      <c r="N43" s="1">
        <f t="shared" si="3"/>
        <v>5.21875</v>
      </c>
      <c r="O43" s="1">
        <f t="shared" si="3"/>
        <v>1.2851768749999999</v>
      </c>
      <c r="P43" s="1">
        <f t="shared" si="3"/>
        <v>0.83874999999999977</v>
      </c>
    </row>
    <row r="44" spans="1:16">
      <c r="A44" t="s">
        <v>15</v>
      </c>
      <c r="B44" s="1">
        <f>STDEV(B5:B36)</f>
        <v>4.5930127508022727</v>
      </c>
      <c r="C44" s="1">
        <f t="shared" ref="C44:P44" si="4">STDEV(C5:C36)</f>
        <v>0.26113633124609914</v>
      </c>
      <c r="D44" s="1">
        <f t="shared" si="4"/>
        <v>0.29731527200556307</v>
      </c>
      <c r="E44" s="1">
        <f t="shared" si="4"/>
        <v>0.73780406525694708</v>
      </c>
      <c r="F44" s="1">
        <f t="shared" si="4"/>
        <v>9.4813247339007103E-2</v>
      </c>
      <c r="G44" s="1">
        <f t="shared" si="4"/>
        <v>1.774669437642747</v>
      </c>
      <c r="H44" s="1">
        <f t="shared" si="4"/>
        <v>0.59483665418439902</v>
      </c>
      <c r="I44" s="1">
        <f t="shared" si="4"/>
        <v>9.5791361888742377E-2</v>
      </c>
      <c r="J44" s="1">
        <f t="shared" si="4"/>
        <v>0.93812097713564413</v>
      </c>
      <c r="K44" s="1">
        <f t="shared" si="4"/>
        <v>2.046830752415123</v>
      </c>
      <c r="L44" s="1">
        <f t="shared" si="4"/>
        <v>0.10965178262234522</v>
      </c>
      <c r="M44" s="1">
        <f t="shared" si="4"/>
        <v>2.6271889298996176</v>
      </c>
      <c r="N44" s="1">
        <f t="shared" si="4"/>
        <v>0.60824310716962082</v>
      </c>
      <c r="O44" s="1">
        <f t="shared" si="4"/>
        <v>0.24830560372559654</v>
      </c>
      <c r="P44" s="1">
        <f t="shared" si="4"/>
        <v>0.88559711949876885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44"/>
  <sheetViews>
    <sheetView workbookViewId="0">
      <selection sqref="A1:P36"/>
    </sheetView>
  </sheetViews>
  <sheetFormatPr baseColWidth="10" defaultRowHeight="16"/>
  <sheetData>
    <row r="1" spans="1:16">
      <c r="A1" t="s">
        <v>0</v>
      </c>
      <c r="B1" t="s">
        <v>21</v>
      </c>
      <c r="C1" t="s">
        <v>1</v>
      </c>
      <c r="D1">
        <v>164</v>
      </c>
    </row>
    <row r="2" spans="1:16">
      <c r="A2" t="s">
        <v>2</v>
      </c>
      <c r="B2" t="s">
        <v>3</v>
      </c>
    </row>
    <row r="3" spans="1:16">
      <c r="C3" t="s">
        <v>4</v>
      </c>
      <c r="F3" t="s">
        <v>5</v>
      </c>
      <c r="I3" t="s">
        <v>19</v>
      </c>
      <c r="L3" t="s">
        <v>6</v>
      </c>
      <c r="O3" t="s">
        <v>20</v>
      </c>
    </row>
    <row r="4" spans="1:16">
      <c r="B4" t="s">
        <v>7</v>
      </c>
      <c r="C4" t="s">
        <v>8</v>
      </c>
      <c r="D4" t="s">
        <v>9</v>
      </c>
      <c r="E4" t="s">
        <v>7</v>
      </c>
      <c r="F4" t="s">
        <v>8</v>
      </c>
      <c r="G4" t="s">
        <v>9</v>
      </c>
      <c r="H4" t="s">
        <v>7</v>
      </c>
      <c r="I4" t="s">
        <v>8</v>
      </c>
      <c r="J4" t="s">
        <v>9</v>
      </c>
      <c r="K4" t="s">
        <v>7</v>
      </c>
      <c r="L4" t="s">
        <v>8</v>
      </c>
      <c r="M4" t="s">
        <v>10</v>
      </c>
      <c r="N4" t="s">
        <v>7</v>
      </c>
      <c r="O4" t="s">
        <v>8</v>
      </c>
      <c r="P4" t="s">
        <v>10</v>
      </c>
    </row>
    <row r="5" spans="1:16">
      <c r="A5">
        <v>0</v>
      </c>
      <c r="B5">
        <v>104</v>
      </c>
      <c r="C5">
        <v>1.4363600000000001</v>
      </c>
      <c r="D5">
        <v>0.28999999999999998</v>
      </c>
      <c r="E5">
        <v>5</v>
      </c>
      <c r="F5">
        <v>1.9137900000000001</v>
      </c>
      <c r="G5">
        <v>0.44</v>
      </c>
      <c r="H5">
        <v>4</v>
      </c>
      <c r="I5">
        <v>1.94737</v>
      </c>
      <c r="J5">
        <v>7.84</v>
      </c>
      <c r="K5">
        <v>13</v>
      </c>
      <c r="L5">
        <v>1.76563</v>
      </c>
      <c r="M5">
        <v>1.24</v>
      </c>
      <c r="N5">
        <v>4</v>
      </c>
      <c r="O5">
        <v>1</v>
      </c>
      <c r="P5">
        <v>4.03</v>
      </c>
    </row>
    <row r="6" spans="1:16">
      <c r="A6">
        <v>1</v>
      </c>
      <c r="B6">
        <v>83</v>
      </c>
      <c r="C6">
        <v>1.5729200000000001</v>
      </c>
      <c r="D6">
        <v>0.43</v>
      </c>
      <c r="E6">
        <v>6</v>
      </c>
      <c r="F6">
        <v>1.7868900000000001</v>
      </c>
      <c r="G6">
        <v>1.05</v>
      </c>
      <c r="H6">
        <v>5</v>
      </c>
      <c r="I6">
        <v>1.7258100000000001</v>
      </c>
      <c r="J6">
        <v>3.45</v>
      </c>
      <c r="K6">
        <v>15</v>
      </c>
      <c r="L6">
        <v>1.63235</v>
      </c>
      <c r="M6">
        <v>1.83</v>
      </c>
      <c r="N6">
        <v>5</v>
      </c>
      <c r="O6">
        <v>1.38028</v>
      </c>
      <c r="P6">
        <v>1.8</v>
      </c>
    </row>
    <row r="7" spans="1:16">
      <c r="A7">
        <v>2</v>
      </c>
      <c r="B7">
        <v>81</v>
      </c>
      <c r="C7">
        <v>1.78409</v>
      </c>
      <c r="D7">
        <v>0.46</v>
      </c>
      <c r="E7">
        <v>6</v>
      </c>
      <c r="F7">
        <v>1.8813599999999999</v>
      </c>
      <c r="G7">
        <v>0.75</v>
      </c>
      <c r="H7">
        <v>5</v>
      </c>
      <c r="I7">
        <v>1.8644099999999999</v>
      </c>
      <c r="J7">
        <v>2.83</v>
      </c>
      <c r="K7">
        <v>9</v>
      </c>
      <c r="L7">
        <v>1.7903199999999999</v>
      </c>
      <c r="M7">
        <v>3.26</v>
      </c>
      <c r="N7">
        <v>5</v>
      </c>
      <c r="O7">
        <v>1.7258100000000001</v>
      </c>
      <c r="P7">
        <v>2.84</v>
      </c>
    </row>
    <row r="8" spans="1:16">
      <c r="A8">
        <v>3</v>
      </c>
      <c r="B8">
        <v>82</v>
      </c>
      <c r="C8">
        <v>1.8604700000000001</v>
      </c>
      <c r="D8">
        <v>0.9</v>
      </c>
      <c r="E8">
        <v>5</v>
      </c>
      <c r="F8">
        <v>1.9137900000000001</v>
      </c>
      <c r="G8">
        <v>1.45</v>
      </c>
      <c r="H8">
        <v>5</v>
      </c>
      <c r="I8">
        <v>1.9137900000000001</v>
      </c>
      <c r="J8">
        <v>1.26</v>
      </c>
      <c r="K8">
        <v>5</v>
      </c>
      <c r="L8">
        <v>1.8644099999999999</v>
      </c>
      <c r="M8">
        <v>2.75</v>
      </c>
      <c r="N8">
        <v>5</v>
      </c>
      <c r="O8">
        <v>1.8644099999999999</v>
      </c>
      <c r="P8">
        <v>3.83</v>
      </c>
    </row>
    <row r="9" spans="1:16">
      <c r="A9">
        <v>4</v>
      </c>
      <c r="B9">
        <v>94</v>
      </c>
      <c r="C9">
        <v>1.58</v>
      </c>
      <c r="D9">
        <v>0.5</v>
      </c>
      <c r="E9">
        <v>5</v>
      </c>
      <c r="F9">
        <v>1.9137900000000001</v>
      </c>
      <c r="G9">
        <v>4.5999999999999996</v>
      </c>
      <c r="H9">
        <v>5</v>
      </c>
      <c r="I9">
        <v>1.9137900000000001</v>
      </c>
      <c r="J9">
        <v>9.82</v>
      </c>
      <c r="K9">
        <v>11</v>
      </c>
      <c r="L9">
        <v>1.69231</v>
      </c>
      <c r="M9">
        <v>7.99</v>
      </c>
      <c r="N9">
        <v>5</v>
      </c>
      <c r="O9">
        <v>1.8644099999999999</v>
      </c>
      <c r="P9">
        <v>3.44</v>
      </c>
    </row>
    <row r="10" spans="1:16">
      <c r="A10">
        <v>5</v>
      </c>
      <c r="B10">
        <v>104</v>
      </c>
      <c r="C10">
        <v>1.4363600000000001</v>
      </c>
      <c r="D10">
        <v>0.49</v>
      </c>
      <c r="E10">
        <v>5</v>
      </c>
      <c r="F10">
        <v>1.9137900000000001</v>
      </c>
      <c r="G10">
        <v>1.48</v>
      </c>
      <c r="H10">
        <v>4</v>
      </c>
      <c r="I10">
        <v>1.94737</v>
      </c>
      <c r="J10">
        <v>9.01</v>
      </c>
      <c r="K10">
        <v>13</v>
      </c>
      <c r="L10">
        <v>1.76563</v>
      </c>
      <c r="M10">
        <v>1.04</v>
      </c>
      <c r="N10">
        <v>4</v>
      </c>
      <c r="O10">
        <v>1</v>
      </c>
      <c r="P10">
        <v>1.63</v>
      </c>
    </row>
    <row r="11" spans="1:16">
      <c r="A11">
        <v>6</v>
      </c>
      <c r="B11">
        <v>81</v>
      </c>
      <c r="C11">
        <v>1.78409</v>
      </c>
      <c r="D11">
        <v>0.41</v>
      </c>
      <c r="E11">
        <v>6</v>
      </c>
      <c r="F11">
        <v>1.8813599999999999</v>
      </c>
      <c r="G11">
        <v>0.7</v>
      </c>
      <c r="H11">
        <v>5</v>
      </c>
      <c r="I11">
        <v>1.8644099999999999</v>
      </c>
      <c r="J11">
        <v>1.7</v>
      </c>
      <c r="K11">
        <v>9</v>
      </c>
      <c r="L11">
        <v>1.7903199999999999</v>
      </c>
      <c r="M11">
        <v>3.4</v>
      </c>
      <c r="N11">
        <v>5</v>
      </c>
      <c r="O11">
        <v>1.7258100000000001</v>
      </c>
      <c r="P11">
        <v>8.0299999999999994</v>
      </c>
    </row>
    <row r="12" spans="1:16">
      <c r="A12">
        <v>7</v>
      </c>
      <c r="B12">
        <v>92</v>
      </c>
      <c r="C12">
        <v>1.09836</v>
      </c>
      <c r="D12">
        <v>0.43</v>
      </c>
      <c r="E12">
        <v>7</v>
      </c>
      <c r="F12">
        <v>1.8983099999999999</v>
      </c>
      <c r="G12">
        <v>1.0900000000000001</v>
      </c>
      <c r="H12">
        <v>6</v>
      </c>
      <c r="I12">
        <v>1.8333299999999999</v>
      </c>
      <c r="J12">
        <v>4.04</v>
      </c>
      <c r="K12">
        <v>7</v>
      </c>
      <c r="L12">
        <v>1.85</v>
      </c>
      <c r="M12">
        <v>3.4</v>
      </c>
      <c r="N12">
        <v>4</v>
      </c>
      <c r="O12">
        <v>1</v>
      </c>
      <c r="P12">
        <v>3.28</v>
      </c>
    </row>
    <row r="13" spans="1:16">
      <c r="A13">
        <v>8</v>
      </c>
      <c r="B13">
        <v>81</v>
      </c>
      <c r="C13">
        <v>1.78409</v>
      </c>
      <c r="D13">
        <v>0.41</v>
      </c>
      <c r="E13">
        <v>6</v>
      </c>
      <c r="F13">
        <v>1.8813599999999999</v>
      </c>
      <c r="G13">
        <v>1.8</v>
      </c>
      <c r="H13">
        <v>5</v>
      </c>
      <c r="I13">
        <v>1.8644099999999999</v>
      </c>
      <c r="J13">
        <v>2.1</v>
      </c>
      <c r="K13">
        <v>9</v>
      </c>
      <c r="L13">
        <v>1.7903199999999999</v>
      </c>
      <c r="M13">
        <v>1.1599999999999999</v>
      </c>
      <c r="N13">
        <v>5</v>
      </c>
      <c r="O13">
        <v>1.7258100000000001</v>
      </c>
      <c r="P13">
        <v>1.92</v>
      </c>
    </row>
    <row r="14" spans="1:16">
      <c r="A14">
        <v>9</v>
      </c>
      <c r="B14">
        <v>92</v>
      </c>
      <c r="C14">
        <v>1.6122399999999999</v>
      </c>
      <c r="D14">
        <v>1.59</v>
      </c>
      <c r="E14">
        <v>8</v>
      </c>
      <c r="F14">
        <v>1.7301599999999999</v>
      </c>
      <c r="G14">
        <v>1.1299999999999999</v>
      </c>
      <c r="H14">
        <v>6</v>
      </c>
      <c r="I14">
        <v>1.65625</v>
      </c>
      <c r="J14">
        <v>1.18</v>
      </c>
      <c r="K14">
        <v>16</v>
      </c>
      <c r="L14">
        <v>1.5714300000000001</v>
      </c>
      <c r="M14">
        <v>1.1100000000000001</v>
      </c>
      <c r="N14">
        <v>6</v>
      </c>
      <c r="O14">
        <v>1.2368399999999999</v>
      </c>
      <c r="P14">
        <v>1.7</v>
      </c>
    </row>
    <row r="15" spans="1:16">
      <c r="A15">
        <v>10</v>
      </c>
      <c r="B15">
        <v>104</v>
      </c>
      <c r="C15">
        <v>1.4363600000000001</v>
      </c>
      <c r="D15">
        <v>0.43</v>
      </c>
      <c r="E15">
        <v>8</v>
      </c>
      <c r="F15">
        <v>1.7741899999999999</v>
      </c>
      <c r="G15">
        <v>0.78</v>
      </c>
      <c r="H15">
        <v>6</v>
      </c>
      <c r="I15">
        <v>1.69841</v>
      </c>
      <c r="J15">
        <v>1.17</v>
      </c>
      <c r="K15">
        <v>13</v>
      </c>
      <c r="L15">
        <v>1.6417900000000001</v>
      </c>
      <c r="M15">
        <v>4.1900000000000004</v>
      </c>
      <c r="N15">
        <v>6</v>
      </c>
      <c r="O15">
        <v>1.1518999999999999</v>
      </c>
      <c r="P15">
        <v>1.1100000000000001</v>
      </c>
    </row>
    <row r="16" spans="1:16">
      <c r="A16">
        <v>11</v>
      </c>
      <c r="B16">
        <v>92</v>
      </c>
      <c r="C16">
        <v>1.6122399999999999</v>
      </c>
      <c r="D16">
        <v>0.27</v>
      </c>
      <c r="E16">
        <v>6</v>
      </c>
      <c r="F16">
        <v>1.8813599999999999</v>
      </c>
      <c r="G16">
        <v>0.41</v>
      </c>
      <c r="H16">
        <v>5</v>
      </c>
      <c r="I16">
        <v>1.8644099999999999</v>
      </c>
      <c r="J16">
        <v>0.69</v>
      </c>
      <c r="K16">
        <v>15</v>
      </c>
      <c r="L16">
        <v>1.63235</v>
      </c>
      <c r="M16">
        <v>1.19</v>
      </c>
      <c r="N16">
        <v>5</v>
      </c>
      <c r="O16">
        <v>1.7258100000000001</v>
      </c>
      <c r="P16">
        <v>1.03</v>
      </c>
    </row>
    <row r="17" spans="1:16">
      <c r="A17">
        <v>12</v>
      </c>
      <c r="B17">
        <v>109</v>
      </c>
      <c r="C17">
        <v>1.37391</v>
      </c>
      <c r="D17">
        <v>0.27</v>
      </c>
      <c r="E17">
        <v>5</v>
      </c>
      <c r="F17">
        <v>1.9137900000000001</v>
      </c>
      <c r="G17">
        <v>0.42</v>
      </c>
      <c r="H17">
        <v>4</v>
      </c>
      <c r="I17">
        <v>1.94737</v>
      </c>
      <c r="J17">
        <v>0.74</v>
      </c>
      <c r="K17">
        <v>11</v>
      </c>
      <c r="L17">
        <v>1.8225800000000001</v>
      </c>
      <c r="M17">
        <v>0.69</v>
      </c>
      <c r="N17">
        <v>4</v>
      </c>
      <c r="O17">
        <v>1</v>
      </c>
      <c r="P17">
        <v>1.02</v>
      </c>
    </row>
    <row r="18" spans="1:16">
      <c r="A18">
        <v>13</v>
      </c>
      <c r="B18">
        <v>83</v>
      </c>
      <c r="C18">
        <v>1.5729200000000001</v>
      </c>
      <c r="D18">
        <v>0.27</v>
      </c>
      <c r="E18">
        <v>6</v>
      </c>
      <c r="F18">
        <v>1.7868900000000001</v>
      </c>
      <c r="G18">
        <v>0.45</v>
      </c>
      <c r="H18">
        <v>5</v>
      </c>
      <c r="I18">
        <v>1.7258100000000001</v>
      </c>
      <c r="J18">
        <v>0.67</v>
      </c>
      <c r="K18">
        <v>15</v>
      </c>
      <c r="L18">
        <v>1.63235</v>
      </c>
      <c r="M18">
        <v>0.7</v>
      </c>
      <c r="N18">
        <v>5</v>
      </c>
      <c r="O18">
        <v>1.38028</v>
      </c>
      <c r="P18">
        <v>1.05</v>
      </c>
    </row>
    <row r="19" spans="1:16">
      <c r="A19">
        <v>14</v>
      </c>
      <c r="B19">
        <v>104</v>
      </c>
      <c r="C19">
        <v>1.4363600000000001</v>
      </c>
      <c r="D19">
        <v>0.26</v>
      </c>
      <c r="E19">
        <v>5</v>
      </c>
      <c r="F19">
        <v>1.9137900000000001</v>
      </c>
      <c r="G19">
        <v>0.42</v>
      </c>
      <c r="H19">
        <v>4</v>
      </c>
      <c r="I19">
        <v>1.94737</v>
      </c>
      <c r="J19">
        <v>0.71</v>
      </c>
      <c r="K19">
        <v>13</v>
      </c>
      <c r="L19">
        <v>1.76563</v>
      </c>
      <c r="M19">
        <v>0.64</v>
      </c>
      <c r="N19">
        <v>4</v>
      </c>
      <c r="O19">
        <v>1</v>
      </c>
      <c r="P19">
        <v>1.03</v>
      </c>
    </row>
    <row r="20" spans="1:16">
      <c r="A20">
        <v>15</v>
      </c>
      <c r="B20">
        <v>92</v>
      </c>
      <c r="C20">
        <v>1.09836</v>
      </c>
      <c r="D20">
        <v>0.27</v>
      </c>
      <c r="E20">
        <v>8</v>
      </c>
      <c r="F20">
        <v>1.6875</v>
      </c>
      <c r="G20">
        <v>0.42</v>
      </c>
      <c r="H20">
        <v>6</v>
      </c>
      <c r="I20">
        <v>1.8333299999999999</v>
      </c>
      <c r="J20">
        <v>0.74</v>
      </c>
      <c r="K20">
        <v>8</v>
      </c>
      <c r="L20">
        <v>1.64615</v>
      </c>
      <c r="M20">
        <v>0.7</v>
      </c>
      <c r="N20">
        <v>5</v>
      </c>
      <c r="O20">
        <v>1.38028</v>
      </c>
      <c r="P20">
        <v>1.06</v>
      </c>
    </row>
    <row r="21" spans="1:16">
      <c r="A21">
        <v>16</v>
      </c>
      <c r="B21">
        <v>81</v>
      </c>
      <c r="C21">
        <v>1.78409</v>
      </c>
      <c r="D21">
        <v>0.27</v>
      </c>
      <c r="E21">
        <v>6</v>
      </c>
      <c r="F21">
        <v>1.8813599999999999</v>
      </c>
      <c r="G21">
        <v>0.42</v>
      </c>
      <c r="H21">
        <v>5</v>
      </c>
      <c r="I21">
        <v>1.8644099999999999</v>
      </c>
      <c r="J21">
        <v>0.67</v>
      </c>
      <c r="K21">
        <v>9</v>
      </c>
      <c r="L21">
        <v>1.7903199999999999</v>
      </c>
      <c r="M21">
        <v>0.69</v>
      </c>
      <c r="N21">
        <v>5</v>
      </c>
      <c r="O21">
        <v>1.7258100000000001</v>
      </c>
      <c r="P21">
        <v>1.01</v>
      </c>
    </row>
    <row r="22" spans="1:16">
      <c r="A22">
        <v>17</v>
      </c>
      <c r="B22">
        <v>104</v>
      </c>
      <c r="C22">
        <v>1.4363600000000001</v>
      </c>
      <c r="D22">
        <v>0.27</v>
      </c>
      <c r="E22">
        <v>5</v>
      </c>
      <c r="F22">
        <v>1.9137900000000001</v>
      </c>
      <c r="G22">
        <v>0.41</v>
      </c>
      <c r="H22">
        <v>5</v>
      </c>
      <c r="I22">
        <v>1.7258100000000001</v>
      </c>
      <c r="J22">
        <v>0.66</v>
      </c>
      <c r="K22">
        <v>13</v>
      </c>
      <c r="L22">
        <v>1.76563</v>
      </c>
      <c r="M22">
        <v>0.68</v>
      </c>
      <c r="N22">
        <v>4</v>
      </c>
      <c r="O22">
        <v>1</v>
      </c>
      <c r="P22">
        <v>1.04</v>
      </c>
    </row>
    <row r="23" spans="1:16">
      <c r="A23">
        <v>18</v>
      </c>
      <c r="B23">
        <v>92</v>
      </c>
      <c r="C23">
        <v>1.6122399999999999</v>
      </c>
      <c r="D23">
        <v>0.26</v>
      </c>
      <c r="E23">
        <v>5</v>
      </c>
      <c r="F23">
        <v>1.9137900000000001</v>
      </c>
      <c r="G23">
        <v>0.42</v>
      </c>
      <c r="H23">
        <v>4</v>
      </c>
      <c r="I23">
        <v>1.94737</v>
      </c>
      <c r="J23">
        <v>0.74</v>
      </c>
      <c r="K23">
        <v>16</v>
      </c>
      <c r="L23">
        <v>1.7272700000000001</v>
      </c>
      <c r="M23">
        <v>0.66</v>
      </c>
      <c r="N23">
        <v>4</v>
      </c>
      <c r="O23">
        <v>1</v>
      </c>
      <c r="P23">
        <v>4.8499999999999996</v>
      </c>
    </row>
    <row r="24" spans="1:16">
      <c r="A24">
        <v>19</v>
      </c>
      <c r="B24">
        <v>92</v>
      </c>
      <c r="C24">
        <v>1.09836</v>
      </c>
      <c r="D24">
        <v>0.27</v>
      </c>
      <c r="E24">
        <v>5</v>
      </c>
      <c r="F24">
        <v>1.9137900000000001</v>
      </c>
      <c r="G24">
        <v>0.41</v>
      </c>
      <c r="H24">
        <v>4</v>
      </c>
      <c r="I24">
        <v>1.94737</v>
      </c>
      <c r="J24">
        <v>0.75</v>
      </c>
      <c r="K24">
        <v>7</v>
      </c>
      <c r="L24">
        <v>1.85</v>
      </c>
      <c r="M24">
        <v>0.68</v>
      </c>
      <c r="N24">
        <v>5</v>
      </c>
      <c r="O24">
        <v>1.0361400000000001</v>
      </c>
      <c r="P24">
        <v>1.03</v>
      </c>
    </row>
    <row r="25" spans="1:16">
      <c r="A25">
        <v>20</v>
      </c>
      <c r="B25">
        <v>92</v>
      </c>
      <c r="C25">
        <v>1.09836</v>
      </c>
      <c r="D25">
        <v>0.27</v>
      </c>
      <c r="E25">
        <v>7</v>
      </c>
      <c r="F25">
        <v>1.8983099999999999</v>
      </c>
      <c r="G25">
        <v>0.41</v>
      </c>
      <c r="H25">
        <v>6</v>
      </c>
      <c r="I25">
        <v>1.8333299999999999</v>
      </c>
      <c r="J25">
        <v>0.82</v>
      </c>
      <c r="K25">
        <v>7</v>
      </c>
      <c r="L25">
        <v>1.85</v>
      </c>
      <c r="M25">
        <v>1.06</v>
      </c>
      <c r="N25">
        <v>4</v>
      </c>
      <c r="O25">
        <v>1</v>
      </c>
      <c r="P25">
        <v>1.64</v>
      </c>
    </row>
    <row r="26" spans="1:16">
      <c r="A26">
        <v>21</v>
      </c>
      <c r="B26">
        <v>92</v>
      </c>
      <c r="C26">
        <v>1.09836</v>
      </c>
      <c r="D26">
        <v>0.27</v>
      </c>
      <c r="E26">
        <v>8</v>
      </c>
      <c r="F26">
        <v>1.8196699999999999</v>
      </c>
      <c r="G26">
        <v>0.42</v>
      </c>
      <c r="H26">
        <v>6</v>
      </c>
      <c r="I26">
        <v>1.74194</v>
      </c>
      <c r="J26">
        <v>11.71</v>
      </c>
      <c r="K26">
        <v>8</v>
      </c>
      <c r="L26">
        <v>1.8196699999999999</v>
      </c>
      <c r="M26">
        <v>0.69</v>
      </c>
      <c r="N26">
        <v>5</v>
      </c>
      <c r="O26">
        <v>1.0361400000000001</v>
      </c>
      <c r="P26">
        <v>1.05</v>
      </c>
    </row>
    <row r="27" spans="1:16">
      <c r="A27">
        <v>22</v>
      </c>
      <c r="B27">
        <v>104</v>
      </c>
      <c r="C27">
        <v>1.4363600000000001</v>
      </c>
      <c r="D27">
        <v>0.27</v>
      </c>
      <c r="E27">
        <v>7</v>
      </c>
      <c r="F27">
        <v>1.8983099999999999</v>
      </c>
      <c r="G27">
        <v>0.42</v>
      </c>
      <c r="H27">
        <v>6</v>
      </c>
      <c r="I27">
        <v>1.8333299999999999</v>
      </c>
      <c r="J27">
        <v>0.66</v>
      </c>
      <c r="K27">
        <v>13</v>
      </c>
      <c r="L27">
        <v>1.76563</v>
      </c>
      <c r="M27">
        <v>0.65</v>
      </c>
      <c r="N27">
        <v>6</v>
      </c>
      <c r="O27">
        <v>1.07317</v>
      </c>
      <c r="P27">
        <v>0.98</v>
      </c>
    </row>
    <row r="28" spans="1:16">
      <c r="A28">
        <v>23</v>
      </c>
      <c r="B28">
        <v>94</v>
      </c>
      <c r="C28">
        <v>1.58</v>
      </c>
      <c r="D28">
        <v>0.25</v>
      </c>
      <c r="E28">
        <v>5</v>
      </c>
      <c r="F28">
        <v>1.9137900000000001</v>
      </c>
      <c r="G28">
        <v>0.38</v>
      </c>
      <c r="H28">
        <v>5</v>
      </c>
      <c r="I28">
        <v>1.7258100000000001</v>
      </c>
      <c r="J28">
        <v>0.64</v>
      </c>
      <c r="K28">
        <v>13</v>
      </c>
      <c r="L28">
        <v>1.76563</v>
      </c>
      <c r="M28">
        <v>0.63</v>
      </c>
      <c r="N28">
        <v>4</v>
      </c>
      <c r="O28">
        <v>1</v>
      </c>
      <c r="P28">
        <v>0.95</v>
      </c>
    </row>
    <row r="29" spans="1:16">
      <c r="A29">
        <v>24</v>
      </c>
      <c r="B29">
        <v>92</v>
      </c>
      <c r="C29">
        <v>1.6122399999999999</v>
      </c>
      <c r="D29">
        <v>0.24</v>
      </c>
      <c r="E29">
        <v>5</v>
      </c>
      <c r="F29">
        <v>1.9137900000000001</v>
      </c>
      <c r="G29">
        <v>0.4</v>
      </c>
      <c r="H29">
        <v>4</v>
      </c>
      <c r="I29">
        <v>1.94737</v>
      </c>
      <c r="J29">
        <v>0.79</v>
      </c>
      <c r="K29">
        <v>16</v>
      </c>
      <c r="L29">
        <v>1.7272700000000001</v>
      </c>
      <c r="M29">
        <v>0.63</v>
      </c>
      <c r="N29">
        <v>4</v>
      </c>
      <c r="O29">
        <v>1</v>
      </c>
      <c r="P29">
        <v>0.99</v>
      </c>
    </row>
    <row r="30" spans="1:16">
      <c r="A30">
        <v>25</v>
      </c>
      <c r="B30">
        <v>92</v>
      </c>
      <c r="C30">
        <v>1.09836</v>
      </c>
      <c r="D30">
        <v>0.25</v>
      </c>
      <c r="E30">
        <v>8</v>
      </c>
      <c r="F30">
        <v>1.6875</v>
      </c>
      <c r="G30">
        <v>0.4</v>
      </c>
      <c r="H30">
        <v>6</v>
      </c>
      <c r="I30">
        <v>1.8333299999999999</v>
      </c>
      <c r="J30">
        <v>0.71</v>
      </c>
      <c r="K30">
        <v>8</v>
      </c>
      <c r="L30">
        <v>1.64615</v>
      </c>
      <c r="M30">
        <v>0.67</v>
      </c>
      <c r="N30">
        <v>5</v>
      </c>
      <c r="O30">
        <v>1.38028</v>
      </c>
      <c r="P30">
        <v>1.04</v>
      </c>
    </row>
    <row r="31" spans="1:16">
      <c r="A31">
        <v>26</v>
      </c>
      <c r="B31">
        <v>94</v>
      </c>
      <c r="C31">
        <v>1.58</v>
      </c>
      <c r="D31">
        <v>0.25</v>
      </c>
      <c r="E31">
        <v>5</v>
      </c>
      <c r="F31">
        <v>1.9137900000000001</v>
      </c>
      <c r="G31">
        <v>0.38</v>
      </c>
      <c r="H31">
        <v>5</v>
      </c>
      <c r="I31">
        <v>1.9137900000000001</v>
      </c>
      <c r="J31">
        <v>0.67</v>
      </c>
      <c r="K31">
        <v>11</v>
      </c>
      <c r="L31">
        <v>1.69231</v>
      </c>
      <c r="M31">
        <v>0.64</v>
      </c>
      <c r="N31">
        <v>5</v>
      </c>
      <c r="O31">
        <v>1.8644099999999999</v>
      </c>
      <c r="P31">
        <v>1.17</v>
      </c>
    </row>
    <row r="32" spans="1:16">
      <c r="A32">
        <v>27</v>
      </c>
      <c r="B32">
        <v>94</v>
      </c>
      <c r="C32">
        <v>1.58</v>
      </c>
      <c r="D32">
        <v>0.26</v>
      </c>
      <c r="E32">
        <v>5</v>
      </c>
      <c r="F32">
        <v>1.9137900000000001</v>
      </c>
      <c r="G32">
        <v>16.78</v>
      </c>
      <c r="H32">
        <v>5</v>
      </c>
      <c r="I32">
        <v>1.9137900000000001</v>
      </c>
      <c r="J32">
        <v>1.22</v>
      </c>
      <c r="K32">
        <v>11</v>
      </c>
      <c r="L32">
        <v>1.69231</v>
      </c>
      <c r="M32">
        <v>0.69</v>
      </c>
      <c r="N32">
        <v>5</v>
      </c>
      <c r="O32">
        <v>1.8644099999999999</v>
      </c>
      <c r="P32">
        <v>1.06</v>
      </c>
    </row>
    <row r="33" spans="1:16">
      <c r="A33">
        <v>28</v>
      </c>
      <c r="B33">
        <v>83</v>
      </c>
      <c r="C33">
        <v>1.5729200000000001</v>
      </c>
      <c r="D33">
        <v>0.26</v>
      </c>
      <c r="E33">
        <v>6</v>
      </c>
      <c r="F33">
        <v>1.7868900000000001</v>
      </c>
      <c r="G33">
        <v>0.42</v>
      </c>
      <c r="H33">
        <v>5</v>
      </c>
      <c r="I33">
        <v>1.7258100000000001</v>
      </c>
      <c r="J33">
        <v>0.84</v>
      </c>
      <c r="K33">
        <v>15</v>
      </c>
      <c r="L33">
        <v>1.63235</v>
      </c>
      <c r="M33">
        <v>2.2999999999999998</v>
      </c>
      <c r="N33">
        <v>5</v>
      </c>
      <c r="O33">
        <v>1.38028</v>
      </c>
      <c r="P33">
        <v>12.63</v>
      </c>
    </row>
    <row r="34" spans="1:16">
      <c r="A34">
        <v>29</v>
      </c>
      <c r="B34">
        <v>104</v>
      </c>
      <c r="C34">
        <v>1.4363600000000001</v>
      </c>
      <c r="D34">
        <v>0.28000000000000003</v>
      </c>
      <c r="E34">
        <v>7</v>
      </c>
      <c r="F34">
        <v>1.8983099999999999</v>
      </c>
      <c r="G34">
        <v>0.41</v>
      </c>
      <c r="H34">
        <v>6</v>
      </c>
      <c r="I34">
        <v>1.8333299999999999</v>
      </c>
      <c r="J34">
        <v>0.95</v>
      </c>
      <c r="K34">
        <v>13</v>
      </c>
      <c r="L34">
        <v>1.76563</v>
      </c>
      <c r="M34">
        <v>1.49</v>
      </c>
      <c r="N34">
        <v>6</v>
      </c>
      <c r="O34">
        <v>1.07317</v>
      </c>
      <c r="P34">
        <v>2.34</v>
      </c>
    </row>
    <row r="35" spans="1:16">
      <c r="A35">
        <v>30</v>
      </c>
      <c r="B35">
        <v>92</v>
      </c>
      <c r="C35">
        <v>1.09836</v>
      </c>
      <c r="D35">
        <v>0.52</v>
      </c>
      <c r="E35">
        <v>8</v>
      </c>
      <c r="F35">
        <v>1.6875</v>
      </c>
      <c r="G35">
        <v>5.33</v>
      </c>
      <c r="H35">
        <v>6</v>
      </c>
      <c r="I35">
        <v>1.8333299999999999</v>
      </c>
      <c r="J35">
        <v>2.61</v>
      </c>
      <c r="K35">
        <v>8</v>
      </c>
      <c r="L35">
        <v>1.64615</v>
      </c>
      <c r="M35">
        <v>0.7</v>
      </c>
      <c r="N35">
        <v>5</v>
      </c>
      <c r="O35">
        <v>1.38028</v>
      </c>
      <c r="P35">
        <v>7.76</v>
      </c>
    </row>
    <row r="36" spans="1:16">
      <c r="A36">
        <v>31</v>
      </c>
      <c r="B36">
        <v>94</v>
      </c>
      <c r="C36">
        <v>1.58</v>
      </c>
      <c r="D36">
        <v>1.83</v>
      </c>
      <c r="E36">
        <v>5</v>
      </c>
      <c r="F36">
        <v>1.9137900000000001</v>
      </c>
      <c r="G36">
        <v>0.44</v>
      </c>
      <c r="H36">
        <v>5</v>
      </c>
      <c r="I36">
        <v>1.7258100000000001</v>
      </c>
      <c r="J36">
        <v>0.7</v>
      </c>
      <c r="K36">
        <v>13</v>
      </c>
      <c r="L36">
        <v>1.76563</v>
      </c>
      <c r="M36">
        <v>0.67</v>
      </c>
      <c r="N36">
        <v>4</v>
      </c>
      <c r="O36">
        <v>1</v>
      </c>
      <c r="P36">
        <v>1.04</v>
      </c>
    </row>
    <row r="38" spans="1:16">
      <c r="C38" t="s">
        <v>4</v>
      </c>
      <c r="F38" t="s">
        <v>5</v>
      </c>
      <c r="I38" t="s">
        <v>19</v>
      </c>
      <c r="L38" t="s">
        <v>6</v>
      </c>
      <c r="O38" t="s">
        <v>6</v>
      </c>
    </row>
    <row r="39" spans="1:16">
      <c r="B39" t="s">
        <v>7</v>
      </c>
      <c r="C39" t="s">
        <v>8</v>
      </c>
      <c r="D39" t="s">
        <v>9</v>
      </c>
      <c r="E39" t="s">
        <v>7</v>
      </c>
      <c r="F39" t="s">
        <v>8</v>
      </c>
      <c r="G39" t="s">
        <v>9</v>
      </c>
      <c r="H39" t="s">
        <v>7</v>
      </c>
      <c r="I39" t="s">
        <v>8</v>
      </c>
      <c r="J39" t="s">
        <v>9</v>
      </c>
      <c r="K39" t="s">
        <v>7</v>
      </c>
      <c r="L39" t="s">
        <v>8</v>
      </c>
      <c r="M39" t="s">
        <v>10</v>
      </c>
      <c r="N39" t="s">
        <v>7</v>
      </c>
      <c r="O39" t="s">
        <v>8</v>
      </c>
      <c r="P39" t="s">
        <v>10</v>
      </c>
    </row>
    <row r="40" spans="1:16">
      <c r="A40" t="s">
        <v>11</v>
      </c>
      <c r="B40" s="1">
        <f>MAX(B5:B36)</f>
        <v>109</v>
      </c>
      <c r="C40" s="1">
        <f t="shared" ref="C40:I40" si="0">MAX(C5:C36)</f>
        <v>1.8604700000000001</v>
      </c>
      <c r="D40" s="1">
        <f t="shared" si="0"/>
        <v>1.83</v>
      </c>
      <c r="E40" s="1">
        <f t="shared" si="0"/>
        <v>8</v>
      </c>
      <c r="F40" s="1">
        <f t="shared" si="0"/>
        <v>1.9137900000000001</v>
      </c>
      <c r="G40" s="1">
        <f t="shared" si="0"/>
        <v>16.78</v>
      </c>
      <c r="H40" s="1">
        <f t="shared" si="0"/>
        <v>6</v>
      </c>
      <c r="I40" s="1">
        <f t="shared" si="0"/>
        <v>1.94737</v>
      </c>
      <c r="J40" s="1">
        <f t="shared" ref="J40:P40" si="1">MAX(J5:J36)</f>
        <v>11.71</v>
      </c>
      <c r="K40" s="1">
        <f t="shared" si="1"/>
        <v>16</v>
      </c>
      <c r="L40" s="1">
        <f t="shared" si="1"/>
        <v>1.8644099999999999</v>
      </c>
      <c r="M40" s="1">
        <f t="shared" si="1"/>
        <v>7.99</v>
      </c>
      <c r="N40" s="1">
        <f t="shared" si="1"/>
        <v>6</v>
      </c>
      <c r="O40" s="1">
        <f t="shared" si="1"/>
        <v>1.8644099999999999</v>
      </c>
      <c r="P40" s="1">
        <f t="shared" si="1"/>
        <v>12.63</v>
      </c>
    </row>
    <row r="41" spans="1:16">
      <c r="A41" t="s">
        <v>12</v>
      </c>
      <c r="B41" s="1">
        <f>MIN(B5:B36)</f>
        <v>81</v>
      </c>
      <c r="C41" s="1">
        <f t="shared" ref="C41:I41" si="2">MIN(C5:C36)</f>
        <v>1.09836</v>
      </c>
      <c r="D41" s="1">
        <f t="shared" si="2"/>
        <v>0.24</v>
      </c>
      <c r="E41" s="1">
        <f t="shared" si="2"/>
        <v>5</v>
      </c>
      <c r="F41" s="1">
        <f t="shared" si="2"/>
        <v>1.6875</v>
      </c>
      <c r="G41" s="1">
        <f t="shared" si="2"/>
        <v>0.38</v>
      </c>
      <c r="H41" s="1">
        <f t="shared" si="2"/>
        <v>4</v>
      </c>
      <c r="I41" s="1">
        <f t="shared" si="2"/>
        <v>1.65625</v>
      </c>
      <c r="J41" s="1">
        <f t="shared" ref="J41:P41" si="3">MIN(J5:J36)</f>
        <v>0.64</v>
      </c>
      <c r="K41" s="1">
        <f t="shared" si="3"/>
        <v>5</v>
      </c>
      <c r="L41" s="1">
        <f t="shared" si="3"/>
        <v>1.5714300000000001</v>
      </c>
      <c r="M41" s="1">
        <f t="shared" si="3"/>
        <v>0.63</v>
      </c>
      <c r="N41" s="1">
        <f t="shared" si="3"/>
        <v>4</v>
      </c>
      <c r="O41" s="1">
        <f t="shared" si="3"/>
        <v>1</v>
      </c>
      <c r="P41" s="1">
        <f t="shared" si="3"/>
        <v>0.95</v>
      </c>
    </row>
    <row r="42" spans="1:16">
      <c r="A42" t="s">
        <v>13</v>
      </c>
      <c r="B42" s="1">
        <f>MEDIAN(B5:B36)</f>
        <v>92</v>
      </c>
      <c r="C42" s="1">
        <f t="shared" ref="C42:I42" si="4">MEDIAN(C5:C36)</f>
        <v>1.5729200000000001</v>
      </c>
      <c r="D42" s="1">
        <f t="shared" si="4"/>
        <v>0.27</v>
      </c>
      <c r="E42" s="1">
        <f t="shared" si="4"/>
        <v>6</v>
      </c>
      <c r="F42" s="1">
        <f t="shared" si="4"/>
        <v>1.8983099999999999</v>
      </c>
      <c r="G42" s="1">
        <f t="shared" si="4"/>
        <v>0.42</v>
      </c>
      <c r="H42" s="1">
        <f t="shared" si="4"/>
        <v>5</v>
      </c>
      <c r="I42" s="1">
        <f t="shared" si="4"/>
        <v>1.8488699999999998</v>
      </c>
      <c r="J42" s="1">
        <f t="shared" ref="J42:P42" si="5">MEDIAN(J5:J36)</f>
        <v>0.83</v>
      </c>
      <c r="K42" s="1">
        <f t="shared" si="5"/>
        <v>12</v>
      </c>
      <c r="L42" s="1">
        <f t="shared" si="5"/>
        <v>1.76563</v>
      </c>
      <c r="M42" s="1">
        <f t="shared" si="5"/>
        <v>0.7</v>
      </c>
      <c r="N42" s="1">
        <f t="shared" si="5"/>
        <v>5</v>
      </c>
      <c r="O42" s="1">
        <f t="shared" si="5"/>
        <v>1.1943699999999999</v>
      </c>
      <c r="P42" s="1">
        <f t="shared" si="5"/>
        <v>1.1400000000000001</v>
      </c>
    </row>
    <row r="43" spans="1:16">
      <c r="A43" t="s">
        <v>14</v>
      </c>
      <c r="B43" s="1">
        <f>AVERAGE(B5:B36)</f>
        <v>92.9375</v>
      </c>
      <c r="C43" s="1">
        <f t="shared" ref="C43:I43" si="6">AVERAGE(C5:C36)</f>
        <v>1.4744218749999998</v>
      </c>
      <c r="D43" s="1">
        <f t="shared" si="6"/>
        <v>0.42812499999999981</v>
      </c>
      <c r="E43" s="1">
        <f t="shared" si="6"/>
        <v>6.0625</v>
      </c>
      <c r="F43" s="1">
        <f t="shared" si="6"/>
        <v>1.8606340625</v>
      </c>
      <c r="G43" s="1">
        <f t="shared" si="6"/>
        <v>1.4137499999999998</v>
      </c>
      <c r="H43" s="1">
        <f t="shared" si="6"/>
        <v>5.09375</v>
      </c>
      <c r="I43" s="1">
        <f t="shared" si="6"/>
        <v>1.8404240624999995</v>
      </c>
      <c r="J43" s="1">
        <f t="shared" ref="J43:P43" si="7">AVERAGE(J5:J36)</f>
        <v>2.2840625000000006</v>
      </c>
      <c r="K43" s="1">
        <f t="shared" si="7"/>
        <v>11.34375</v>
      </c>
      <c r="L43" s="1">
        <f t="shared" si="7"/>
        <v>1.73611</v>
      </c>
      <c r="M43" s="1">
        <f t="shared" si="7"/>
        <v>1.525625</v>
      </c>
      <c r="N43" s="1">
        <f t="shared" si="7"/>
        <v>4.78125</v>
      </c>
      <c r="O43" s="1">
        <f t="shared" si="7"/>
        <v>1.3117415624999997</v>
      </c>
      <c r="P43" s="1">
        <f t="shared" si="7"/>
        <v>2.4806250000000007</v>
      </c>
    </row>
    <row r="44" spans="1:16">
      <c r="A44" t="s">
        <v>15</v>
      </c>
      <c r="B44" s="1">
        <f>STDEV(B5:B36)</f>
        <v>8.2615998606846421</v>
      </c>
      <c r="C44" s="1">
        <f t="shared" ref="C44:I44" si="8">STDEV(C5:C36)</f>
        <v>0.2344263107334893</v>
      </c>
      <c r="D44" s="1">
        <f t="shared" si="8"/>
        <v>0.36330416919550867</v>
      </c>
      <c r="E44" s="1">
        <f t="shared" si="8"/>
        <v>1.1622419935679933</v>
      </c>
      <c r="F44" s="1">
        <f t="shared" si="8"/>
        <v>7.6157384064054104E-2</v>
      </c>
      <c r="G44" s="1">
        <f t="shared" si="8"/>
        <v>3.0235140311852691</v>
      </c>
      <c r="H44" s="1">
        <f t="shared" si="8"/>
        <v>0.73438036202572321</v>
      </c>
      <c r="I44" s="1">
        <f t="shared" si="8"/>
        <v>8.933927247042231E-2</v>
      </c>
      <c r="J44" s="1">
        <f t="shared" ref="J44:P44" si="9">STDEV(J5:J36)</f>
        <v>2.9792517564357999</v>
      </c>
      <c r="K44" s="1">
        <f t="shared" si="9"/>
        <v>3.1480600785347974</v>
      </c>
      <c r="L44" s="1">
        <f t="shared" si="9"/>
        <v>7.9884935719062258E-2</v>
      </c>
      <c r="M44" s="1">
        <f t="shared" si="9"/>
        <v>1.5501195323316623</v>
      </c>
      <c r="N44" s="1">
        <f t="shared" si="9"/>
        <v>0.6591477880199651</v>
      </c>
      <c r="O44" s="1">
        <f t="shared" si="9"/>
        <v>0.3347186434576449</v>
      </c>
      <c r="P44" s="1">
        <f t="shared" si="9"/>
        <v>2.6114881896183499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P45"/>
  <sheetViews>
    <sheetView workbookViewId="0">
      <selection sqref="A1:P36"/>
    </sheetView>
  </sheetViews>
  <sheetFormatPr baseColWidth="10" defaultRowHeight="16"/>
  <sheetData>
    <row r="1" spans="1:16">
      <c r="A1" t="s">
        <v>0</v>
      </c>
      <c r="B1" t="s">
        <v>21</v>
      </c>
      <c r="C1" t="s">
        <v>1</v>
      </c>
      <c r="D1">
        <v>488</v>
      </c>
    </row>
    <row r="2" spans="1:16">
      <c r="A2" t="s">
        <v>2</v>
      </c>
      <c r="B2" t="s">
        <v>3</v>
      </c>
    </row>
    <row r="3" spans="1:16">
      <c r="C3" t="s">
        <v>4</v>
      </c>
      <c r="F3" t="s">
        <v>5</v>
      </c>
      <c r="I3" t="s">
        <v>19</v>
      </c>
      <c r="L3" t="s">
        <v>6</v>
      </c>
      <c r="O3" t="s">
        <v>20</v>
      </c>
    </row>
    <row r="4" spans="1:16">
      <c r="B4" t="s">
        <v>7</v>
      </c>
      <c r="C4" t="s">
        <v>8</v>
      </c>
      <c r="D4" t="s">
        <v>9</v>
      </c>
      <c r="E4" t="s">
        <v>7</v>
      </c>
      <c r="F4" t="s">
        <v>8</v>
      </c>
      <c r="G4" t="s">
        <v>9</v>
      </c>
      <c r="H4" t="s">
        <v>7</v>
      </c>
      <c r="I4" t="s">
        <v>8</v>
      </c>
      <c r="J4" t="s">
        <v>9</v>
      </c>
      <c r="K4" t="s">
        <v>7</v>
      </c>
      <c r="L4" t="s">
        <v>8</v>
      </c>
      <c r="M4" t="s">
        <v>10</v>
      </c>
      <c r="N4" t="s">
        <v>7</v>
      </c>
      <c r="O4" t="s">
        <v>8</v>
      </c>
      <c r="P4" t="s">
        <v>10</v>
      </c>
    </row>
    <row r="5" spans="1:16">
      <c r="A5">
        <v>0</v>
      </c>
      <c r="B5">
        <v>316</v>
      </c>
      <c r="C5">
        <v>1.1383000000000001</v>
      </c>
      <c r="D5">
        <v>1.35</v>
      </c>
      <c r="E5">
        <v>7</v>
      </c>
      <c r="F5">
        <v>1.96407</v>
      </c>
      <c r="G5">
        <v>2.7</v>
      </c>
      <c r="H5">
        <v>6</v>
      </c>
      <c r="I5">
        <v>1.7597799999999999</v>
      </c>
      <c r="J5">
        <v>6.52</v>
      </c>
      <c r="K5">
        <v>7</v>
      </c>
      <c r="L5">
        <v>1.9464300000000001</v>
      </c>
      <c r="M5">
        <v>4.17</v>
      </c>
      <c r="N5">
        <v>6</v>
      </c>
      <c r="O5">
        <v>1.1021300000000001</v>
      </c>
      <c r="P5">
        <v>3.91</v>
      </c>
    </row>
    <row r="6" spans="1:16">
      <c r="A6">
        <v>1</v>
      </c>
      <c r="B6">
        <v>242</v>
      </c>
      <c r="C6">
        <v>1.4662200000000001</v>
      </c>
      <c r="D6">
        <v>0.93</v>
      </c>
      <c r="E6">
        <v>8</v>
      </c>
      <c r="F6">
        <v>1.95238</v>
      </c>
      <c r="G6">
        <v>1.72</v>
      </c>
      <c r="H6">
        <v>6</v>
      </c>
      <c r="I6">
        <v>1.88889</v>
      </c>
      <c r="J6">
        <v>2.92</v>
      </c>
      <c r="K6">
        <v>9</v>
      </c>
      <c r="L6">
        <v>1.9408300000000001</v>
      </c>
      <c r="M6">
        <v>3.92</v>
      </c>
      <c r="N6">
        <v>6</v>
      </c>
      <c r="O6">
        <v>1.0756300000000001</v>
      </c>
      <c r="P6">
        <v>5.3</v>
      </c>
    </row>
    <row r="7" spans="1:16">
      <c r="A7">
        <v>2</v>
      </c>
      <c r="B7">
        <v>316</v>
      </c>
      <c r="C7">
        <v>1.1383000000000001</v>
      </c>
      <c r="D7">
        <v>1.21</v>
      </c>
      <c r="E7">
        <v>5</v>
      </c>
      <c r="F7">
        <v>1.9698800000000001</v>
      </c>
      <c r="G7">
        <v>2.17</v>
      </c>
      <c r="H7">
        <v>4</v>
      </c>
      <c r="I7">
        <v>1.9818199999999999</v>
      </c>
      <c r="J7">
        <v>3.82</v>
      </c>
      <c r="K7">
        <v>7</v>
      </c>
      <c r="L7">
        <v>1.9464300000000001</v>
      </c>
      <c r="M7">
        <v>3.27</v>
      </c>
      <c r="N7">
        <v>4</v>
      </c>
      <c r="O7">
        <v>1</v>
      </c>
      <c r="P7">
        <v>4.8499999999999996</v>
      </c>
    </row>
    <row r="8" spans="1:16">
      <c r="A8">
        <v>3</v>
      </c>
      <c r="B8">
        <v>242</v>
      </c>
      <c r="C8">
        <v>1.4662200000000001</v>
      </c>
      <c r="D8">
        <v>1.28</v>
      </c>
      <c r="E8">
        <v>7</v>
      </c>
      <c r="F8">
        <v>1.96407</v>
      </c>
      <c r="G8">
        <v>2.7</v>
      </c>
      <c r="H8">
        <v>6</v>
      </c>
      <c r="I8">
        <v>1.88889</v>
      </c>
      <c r="J8">
        <v>3.58</v>
      </c>
      <c r="K8">
        <v>7</v>
      </c>
      <c r="L8">
        <v>1.9464300000000001</v>
      </c>
      <c r="M8">
        <v>4.1900000000000004</v>
      </c>
      <c r="N8">
        <v>5</v>
      </c>
      <c r="O8">
        <v>1.0371900000000001</v>
      </c>
      <c r="P8">
        <v>5.35</v>
      </c>
    </row>
    <row r="9" spans="1:16">
      <c r="A9">
        <v>4</v>
      </c>
      <c r="B9">
        <v>300</v>
      </c>
      <c r="C9">
        <v>1.2259899999999999</v>
      </c>
      <c r="D9">
        <v>2.37</v>
      </c>
      <c r="E9">
        <v>5</v>
      </c>
      <c r="F9">
        <v>1.9698800000000001</v>
      </c>
      <c r="G9">
        <v>6.73</v>
      </c>
      <c r="H9">
        <v>4</v>
      </c>
      <c r="I9">
        <v>1.9818199999999999</v>
      </c>
      <c r="J9">
        <v>4.13</v>
      </c>
      <c r="K9">
        <v>7</v>
      </c>
      <c r="L9">
        <v>1.9464300000000001</v>
      </c>
      <c r="M9">
        <v>10.85</v>
      </c>
      <c r="N9">
        <v>4</v>
      </c>
      <c r="O9">
        <v>1</v>
      </c>
      <c r="P9">
        <v>4.41</v>
      </c>
    </row>
    <row r="10" spans="1:16">
      <c r="A10">
        <v>5</v>
      </c>
      <c r="B10">
        <v>290</v>
      </c>
      <c r="C10">
        <v>1.26163</v>
      </c>
      <c r="D10">
        <v>2.58</v>
      </c>
      <c r="E10">
        <v>8</v>
      </c>
      <c r="F10">
        <v>1.77095</v>
      </c>
      <c r="G10">
        <v>4.3</v>
      </c>
      <c r="H10">
        <v>6</v>
      </c>
      <c r="I10">
        <v>1.6847799999999999</v>
      </c>
      <c r="J10">
        <v>3.23</v>
      </c>
      <c r="K10">
        <v>17</v>
      </c>
      <c r="L10">
        <v>1.71505</v>
      </c>
      <c r="M10">
        <v>6.51</v>
      </c>
      <c r="N10">
        <v>6</v>
      </c>
      <c r="O10">
        <v>1.2454499999999999</v>
      </c>
      <c r="P10">
        <v>3.81</v>
      </c>
    </row>
    <row r="11" spans="1:16">
      <c r="A11">
        <v>6</v>
      </c>
      <c r="B11">
        <v>232</v>
      </c>
      <c r="C11">
        <v>1.4324300000000001</v>
      </c>
      <c r="D11">
        <v>0.44</v>
      </c>
      <c r="E11">
        <v>5</v>
      </c>
      <c r="F11">
        <v>1.9698800000000001</v>
      </c>
      <c r="G11">
        <v>1.4</v>
      </c>
      <c r="H11">
        <v>4</v>
      </c>
      <c r="I11">
        <v>1.9818199999999999</v>
      </c>
      <c r="J11">
        <v>4.05</v>
      </c>
      <c r="K11">
        <v>7</v>
      </c>
      <c r="L11">
        <v>1.9464300000000001</v>
      </c>
      <c r="M11">
        <v>5.2</v>
      </c>
      <c r="N11">
        <v>5</v>
      </c>
      <c r="O11">
        <v>1.01224</v>
      </c>
      <c r="P11">
        <v>6.81</v>
      </c>
    </row>
    <row r="12" spans="1:16">
      <c r="A12">
        <v>7</v>
      </c>
      <c r="B12">
        <v>316</v>
      </c>
      <c r="C12">
        <v>1.1383000000000001</v>
      </c>
      <c r="D12">
        <v>0.78</v>
      </c>
      <c r="E12">
        <v>8</v>
      </c>
      <c r="F12">
        <v>1.83429</v>
      </c>
      <c r="G12">
        <v>1.24</v>
      </c>
      <c r="H12">
        <v>6</v>
      </c>
      <c r="I12">
        <v>1.74444</v>
      </c>
      <c r="J12">
        <v>1.35</v>
      </c>
      <c r="K12">
        <v>8</v>
      </c>
      <c r="L12">
        <v>1.8181799999999999</v>
      </c>
      <c r="M12">
        <v>3.48</v>
      </c>
      <c r="N12">
        <v>6</v>
      </c>
      <c r="O12">
        <v>1.12931</v>
      </c>
      <c r="P12">
        <v>3</v>
      </c>
    </row>
    <row r="13" spans="1:16">
      <c r="A13">
        <v>8</v>
      </c>
      <c r="B13">
        <v>286</v>
      </c>
      <c r="C13">
        <v>1.5973200000000001</v>
      </c>
      <c r="D13">
        <v>0.5</v>
      </c>
      <c r="E13">
        <v>7</v>
      </c>
      <c r="F13">
        <v>1.96407</v>
      </c>
      <c r="G13">
        <v>6.07</v>
      </c>
      <c r="H13">
        <v>5</v>
      </c>
      <c r="I13">
        <v>1.9</v>
      </c>
      <c r="J13">
        <v>1.98</v>
      </c>
      <c r="K13">
        <v>28</v>
      </c>
      <c r="L13">
        <v>1.7741899999999999</v>
      </c>
      <c r="M13">
        <v>6.06</v>
      </c>
      <c r="N13">
        <v>5</v>
      </c>
      <c r="O13">
        <v>1.7541899999999999</v>
      </c>
      <c r="P13">
        <v>2.87</v>
      </c>
    </row>
    <row r="14" spans="1:16">
      <c r="A14">
        <v>9</v>
      </c>
      <c r="B14">
        <v>326</v>
      </c>
      <c r="C14">
        <v>1.1088100000000001</v>
      </c>
      <c r="D14">
        <v>0.64</v>
      </c>
      <c r="E14">
        <v>7</v>
      </c>
      <c r="F14">
        <v>1.96407</v>
      </c>
      <c r="G14">
        <v>1.1499999999999999</v>
      </c>
      <c r="H14">
        <v>6</v>
      </c>
      <c r="I14">
        <v>1.94048</v>
      </c>
      <c r="J14">
        <v>2.78</v>
      </c>
      <c r="K14">
        <v>7</v>
      </c>
      <c r="L14">
        <v>1.9464300000000001</v>
      </c>
      <c r="M14">
        <v>1.83</v>
      </c>
      <c r="N14">
        <v>6</v>
      </c>
      <c r="O14">
        <v>1.0245899999999999</v>
      </c>
      <c r="P14">
        <v>6.63</v>
      </c>
    </row>
    <row r="15" spans="1:16">
      <c r="A15">
        <v>10</v>
      </c>
      <c r="B15">
        <v>230</v>
      </c>
      <c r="C15">
        <v>1.4256800000000001</v>
      </c>
      <c r="D15">
        <v>0.7</v>
      </c>
      <c r="E15">
        <v>5</v>
      </c>
      <c r="F15">
        <v>1.9698800000000001</v>
      </c>
      <c r="G15">
        <v>0.84</v>
      </c>
      <c r="H15">
        <v>4</v>
      </c>
      <c r="I15">
        <v>1.9818199999999999</v>
      </c>
      <c r="J15">
        <v>1.6</v>
      </c>
      <c r="K15">
        <v>10</v>
      </c>
      <c r="L15">
        <v>1.9294100000000001</v>
      </c>
      <c r="M15">
        <v>1.82</v>
      </c>
      <c r="N15">
        <v>5</v>
      </c>
      <c r="O15">
        <v>1.01224</v>
      </c>
      <c r="P15">
        <v>2.65</v>
      </c>
    </row>
    <row r="16" spans="1:16">
      <c r="A16">
        <v>11</v>
      </c>
      <c r="B16">
        <v>326</v>
      </c>
      <c r="C16">
        <v>1.1088100000000001</v>
      </c>
      <c r="D16">
        <v>0.67</v>
      </c>
      <c r="E16">
        <v>5</v>
      </c>
      <c r="F16">
        <v>1.9698800000000001</v>
      </c>
      <c r="G16">
        <v>1.21</v>
      </c>
      <c r="H16">
        <v>5</v>
      </c>
      <c r="I16">
        <v>1.7541899999999999</v>
      </c>
      <c r="J16">
        <v>1.52</v>
      </c>
      <c r="K16">
        <v>7</v>
      </c>
      <c r="L16">
        <v>1.9464300000000001</v>
      </c>
      <c r="M16">
        <v>1.27</v>
      </c>
      <c r="N16">
        <v>4</v>
      </c>
      <c r="O16">
        <v>1</v>
      </c>
      <c r="P16">
        <v>1.86</v>
      </c>
    </row>
    <row r="17" spans="1:16">
      <c r="A17">
        <v>12</v>
      </c>
      <c r="B17">
        <v>242</v>
      </c>
      <c r="C17">
        <v>1.4662200000000001</v>
      </c>
      <c r="D17">
        <v>0.42</v>
      </c>
      <c r="E17">
        <v>7</v>
      </c>
      <c r="F17">
        <v>1.96407</v>
      </c>
      <c r="G17">
        <v>0.76</v>
      </c>
      <c r="H17">
        <v>6</v>
      </c>
      <c r="I17">
        <v>1.94048</v>
      </c>
      <c r="J17">
        <v>1.2</v>
      </c>
      <c r="K17">
        <v>7</v>
      </c>
      <c r="L17">
        <v>1.9464300000000001</v>
      </c>
      <c r="M17">
        <v>2.94</v>
      </c>
      <c r="N17">
        <v>4</v>
      </c>
      <c r="O17">
        <v>1</v>
      </c>
      <c r="P17">
        <v>2.39</v>
      </c>
    </row>
    <row r="18" spans="1:16">
      <c r="A18">
        <v>13</v>
      </c>
      <c r="B18">
        <v>326</v>
      </c>
      <c r="C18">
        <v>1.1088100000000001</v>
      </c>
      <c r="D18">
        <v>0.44</v>
      </c>
      <c r="E18">
        <v>5</v>
      </c>
      <c r="F18">
        <v>1.9698800000000001</v>
      </c>
      <c r="G18">
        <v>2</v>
      </c>
      <c r="H18">
        <v>5</v>
      </c>
      <c r="I18">
        <v>1.7541899999999999</v>
      </c>
      <c r="J18">
        <v>1.77</v>
      </c>
      <c r="K18">
        <v>7</v>
      </c>
      <c r="L18">
        <v>1.9464300000000001</v>
      </c>
      <c r="M18">
        <v>1.71</v>
      </c>
      <c r="N18">
        <v>4</v>
      </c>
      <c r="O18">
        <v>1</v>
      </c>
      <c r="P18">
        <v>2.59</v>
      </c>
    </row>
    <row r="19" spans="1:16">
      <c r="A19">
        <v>14</v>
      </c>
      <c r="B19">
        <v>316</v>
      </c>
      <c r="C19">
        <v>1.1383000000000001</v>
      </c>
      <c r="D19">
        <v>0.43</v>
      </c>
      <c r="E19">
        <v>5</v>
      </c>
      <c r="F19">
        <v>1.9698800000000001</v>
      </c>
      <c r="G19">
        <v>0.77</v>
      </c>
      <c r="H19">
        <v>4</v>
      </c>
      <c r="I19">
        <v>1.9818199999999999</v>
      </c>
      <c r="J19">
        <v>1.17</v>
      </c>
      <c r="K19">
        <v>7</v>
      </c>
      <c r="L19">
        <v>1.9464300000000001</v>
      </c>
      <c r="M19">
        <v>1.19</v>
      </c>
      <c r="N19">
        <v>4</v>
      </c>
      <c r="O19">
        <v>1</v>
      </c>
      <c r="P19">
        <v>1.81</v>
      </c>
    </row>
    <row r="20" spans="1:16">
      <c r="A20">
        <v>15</v>
      </c>
      <c r="B20">
        <v>260</v>
      </c>
      <c r="C20">
        <v>1.75</v>
      </c>
      <c r="D20">
        <v>0.43</v>
      </c>
      <c r="E20">
        <v>9</v>
      </c>
      <c r="F20">
        <v>1.9408300000000001</v>
      </c>
      <c r="G20">
        <v>0.88</v>
      </c>
      <c r="H20">
        <v>7</v>
      </c>
      <c r="I20">
        <v>1.86127</v>
      </c>
      <c r="J20">
        <v>1.19</v>
      </c>
      <c r="K20">
        <v>21</v>
      </c>
      <c r="L20">
        <v>1.7967</v>
      </c>
      <c r="M20">
        <v>1.21</v>
      </c>
      <c r="N20">
        <v>5</v>
      </c>
      <c r="O20">
        <v>1.3932</v>
      </c>
      <c r="P20">
        <v>1.73</v>
      </c>
    </row>
    <row r="21" spans="1:16">
      <c r="A21">
        <v>16</v>
      </c>
      <c r="B21">
        <v>260</v>
      </c>
      <c r="C21">
        <v>1.75</v>
      </c>
      <c r="D21">
        <v>0.42</v>
      </c>
      <c r="E21">
        <v>9</v>
      </c>
      <c r="F21">
        <v>1.9583299999999999</v>
      </c>
      <c r="G21">
        <v>0.84</v>
      </c>
      <c r="H21">
        <v>7</v>
      </c>
      <c r="I21">
        <v>1.7808999999999999</v>
      </c>
      <c r="J21">
        <v>1.2</v>
      </c>
      <c r="K21">
        <v>21</v>
      </c>
      <c r="L21">
        <v>1.84358</v>
      </c>
      <c r="M21">
        <v>1.22</v>
      </c>
      <c r="N21">
        <v>5</v>
      </c>
      <c r="O21">
        <v>1.3932</v>
      </c>
      <c r="P21">
        <v>1.75</v>
      </c>
    </row>
    <row r="22" spans="1:16">
      <c r="A22">
        <v>17</v>
      </c>
      <c r="B22">
        <v>232</v>
      </c>
      <c r="C22">
        <v>1.4324300000000001</v>
      </c>
      <c r="D22">
        <v>0.51</v>
      </c>
      <c r="E22">
        <v>5</v>
      </c>
      <c r="F22">
        <v>1.9698800000000001</v>
      </c>
      <c r="G22">
        <v>0.76</v>
      </c>
      <c r="H22">
        <v>4</v>
      </c>
      <c r="I22">
        <v>1.9818199999999999</v>
      </c>
      <c r="J22">
        <v>1.17</v>
      </c>
      <c r="K22">
        <v>7</v>
      </c>
      <c r="L22">
        <v>1.9464300000000001</v>
      </c>
      <c r="M22">
        <v>1.22</v>
      </c>
      <c r="N22">
        <v>5</v>
      </c>
      <c r="O22">
        <v>1.01224</v>
      </c>
      <c r="P22">
        <v>1.8</v>
      </c>
    </row>
    <row r="23" spans="1:16">
      <c r="A23">
        <v>18</v>
      </c>
      <c r="B23">
        <v>298</v>
      </c>
      <c r="C23">
        <v>1.23295</v>
      </c>
      <c r="D23">
        <v>0.49</v>
      </c>
      <c r="E23">
        <v>5</v>
      </c>
      <c r="F23">
        <v>1.9698800000000001</v>
      </c>
      <c r="G23">
        <v>0.91</v>
      </c>
      <c r="H23">
        <v>4</v>
      </c>
      <c r="I23">
        <v>1.9818199999999999</v>
      </c>
      <c r="J23">
        <v>1.3</v>
      </c>
      <c r="K23">
        <v>10</v>
      </c>
      <c r="L23">
        <v>1.9294100000000001</v>
      </c>
      <c r="M23">
        <v>1.26</v>
      </c>
      <c r="N23">
        <v>4</v>
      </c>
      <c r="O23">
        <v>1</v>
      </c>
      <c r="P23">
        <v>1.79</v>
      </c>
    </row>
    <row r="24" spans="1:16">
      <c r="A24">
        <v>19</v>
      </c>
      <c r="B24">
        <v>294</v>
      </c>
      <c r="C24">
        <v>1.5555600000000001</v>
      </c>
      <c r="D24">
        <v>0.44</v>
      </c>
      <c r="E24">
        <v>6</v>
      </c>
      <c r="F24">
        <v>1.95808</v>
      </c>
      <c r="G24">
        <v>0.84</v>
      </c>
      <c r="H24">
        <v>5</v>
      </c>
      <c r="I24">
        <v>1.9520999999999999</v>
      </c>
      <c r="J24">
        <v>1.1599999999999999</v>
      </c>
      <c r="K24">
        <v>21</v>
      </c>
      <c r="L24">
        <v>1.7967</v>
      </c>
      <c r="M24">
        <v>1.41</v>
      </c>
      <c r="N24">
        <v>5</v>
      </c>
      <c r="O24">
        <v>1.9</v>
      </c>
      <c r="P24">
        <v>2.56</v>
      </c>
    </row>
    <row r="25" spans="1:16">
      <c r="A25">
        <v>20</v>
      </c>
      <c r="B25">
        <v>314</v>
      </c>
      <c r="C25">
        <v>1.14439</v>
      </c>
      <c r="D25">
        <v>0.65</v>
      </c>
      <c r="E25">
        <v>8</v>
      </c>
      <c r="F25">
        <v>1.8181799999999999</v>
      </c>
      <c r="G25">
        <v>1.17</v>
      </c>
      <c r="H25">
        <v>6</v>
      </c>
      <c r="I25">
        <v>1.7292799999999999</v>
      </c>
      <c r="J25">
        <v>1.92</v>
      </c>
      <c r="K25">
        <v>11</v>
      </c>
      <c r="L25">
        <v>1.7877099999999999</v>
      </c>
      <c r="M25">
        <v>1.73</v>
      </c>
      <c r="N25">
        <v>6</v>
      </c>
      <c r="O25">
        <v>1.1572100000000001</v>
      </c>
      <c r="P25">
        <v>2.59</v>
      </c>
    </row>
    <row r="26" spans="1:16">
      <c r="A26">
        <v>21</v>
      </c>
      <c r="B26">
        <v>290</v>
      </c>
      <c r="C26">
        <v>1.26163</v>
      </c>
      <c r="D26">
        <v>0.63</v>
      </c>
      <c r="E26">
        <v>5</v>
      </c>
      <c r="F26">
        <v>1.9698800000000001</v>
      </c>
      <c r="G26">
        <v>1.1499999999999999</v>
      </c>
      <c r="H26">
        <v>4</v>
      </c>
      <c r="I26">
        <v>1.9818199999999999</v>
      </c>
      <c r="J26">
        <v>1.71</v>
      </c>
      <c r="K26">
        <v>16</v>
      </c>
      <c r="L26">
        <v>1.9132899999999999</v>
      </c>
      <c r="M26">
        <v>1.73</v>
      </c>
      <c r="N26">
        <v>4</v>
      </c>
      <c r="O26">
        <v>1</v>
      </c>
      <c r="P26">
        <v>2.79</v>
      </c>
    </row>
    <row r="27" spans="1:16">
      <c r="A27">
        <v>22</v>
      </c>
      <c r="B27">
        <v>286</v>
      </c>
      <c r="C27">
        <v>1.5973200000000001</v>
      </c>
      <c r="D27">
        <v>0.71</v>
      </c>
      <c r="E27">
        <v>7</v>
      </c>
      <c r="F27">
        <v>1.96407</v>
      </c>
      <c r="G27">
        <v>1.28</v>
      </c>
      <c r="H27">
        <v>5</v>
      </c>
      <c r="I27">
        <v>1.9</v>
      </c>
      <c r="J27">
        <v>2.0499999999999998</v>
      </c>
      <c r="K27">
        <v>28</v>
      </c>
      <c r="L27">
        <v>1.7741899999999999</v>
      </c>
      <c r="M27">
        <v>1.91</v>
      </c>
      <c r="N27">
        <v>5</v>
      </c>
      <c r="O27">
        <v>1.7541899999999999</v>
      </c>
      <c r="P27">
        <v>4.08</v>
      </c>
    </row>
    <row r="28" spans="1:16">
      <c r="A28">
        <v>23</v>
      </c>
      <c r="B28">
        <v>232</v>
      </c>
      <c r="C28">
        <v>1.4324300000000001</v>
      </c>
      <c r="D28">
        <v>1.86</v>
      </c>
      <c r="E28">
        <v>5</v>
      </c>
      <c r="F28">
        <v>1.9698800000000001</v>
      </c>
      <c r="G28">
        <v>7.17</v>
      </c>
      <c r="H28">
        <v>4</v>
      </c>
      <c r="I28">
        <v>1.9818199999999999</v>
      </c>
      <c r="J28">
        <v>1.82</v>
      </c>
      <c r="K28">
        <v>7</v>
      </c>
      <c r="L28">
        <v>1.9464300000000001</v>
      </c>
      <c r="M28">
        <v>1.71</v>
      </c>
      <c r="N28">
        <v>5</v>
      </c>
      <c r="O28">
        <v>1.01224</v>
      </c>
      <c r="P28">
        <v>7.4</v>
      </c>
    </row>
    <row r="29" spans="1:16">
      <c r="A29">
        <v>24</v>
      </c>
      <c r="B29">
        <v>242</v>
      </c>
      <c r="C29">
        <v>1.4662200000000001</v>
      </c>
      <c r="D29">
        <v>0.56000000000000005</v>
      </c>
      <c r="E29">
        <v>5</v>
      </c>
      <c r="F29">
        <v>1.9698800000000001</v>
      </c>
      <c r="G29">
        <v>2.02</v>
      </c>
      <c r="H29">
        <v>4</v>
      </c>
      <c r="I29">
        <v>1.9818199999999999</v>
      </c>
      <c r="J29">
        <v>6.7</v>
      </c>
      <c r="K29">
        <v>7</v>
      </c>
      <c r="L29">
        <v>1.9464300000000001</v>
      </c>
      <c r="M29">
        <v>1.81</v>
      </c>
      <c r="N29">
        <v>5</v>
      </c>
      <c r="O29">
        <v>1.01224</v>
      </c>
      <c r="P29">
        <v>3.84</v>
      </c>
    </row>
    <row r="30" spans="1:16">
      <c r="A30">
        <v>25</v>
      </c>
      <c r="B30">
        <v>260</v>
      </c>
      <c r="C30">
        <v>1.75</v>
      </c>
      <c r="D30">
        <v>2.09</v>
      </c>
      <c r="E30">
        <v>7</v>
      </c>
      <c r="F30">
        <v>1.96407</v>
      </c>
      <c r="G30">
        <v>4.57</v>
      </c>
      <c r="H30">
        <v>7</v>
      </c>
      <c r="I30">
        <v>1.6756800000000001</v>
      </c>
      <c r="J30">
        <v>1.35</v>
      </c>
      <c r="K30">
        <v>21</v>
      </c>
      <c r="L30">
        <v>1.9085700000000001</v>
      </c>
      <c r="M30">
        <v>1.61</v>
      </c>
      <c r="N30">
        <v>5</v>
      </c>
      <c r="O30">
        <v>1.7541899999999999</v>
      </c>
      <c r="P30">
        <v>3.28</v>
      </c>
    </row>
    <row r="31" spans="1:16">
      <c r="A31">
        <v>26</v>
      </c>
      <c r="B31">
        <v>242</v>
      </c>
      <c r="C31">
        <v>1.4662200000000001</v>
      </c>
      <c r="D31">
        <v>1.4</v>
      </c>
      <c r="E31">
        <v>7</v>
      </c>
      <c r="F31">
        <v>1.96407</v>
      </c>
      <c r="G31">
        <v>3.54</v>
      </c>
      <c r="H31">
        <v>6</v>
      </c>
      <c r="I31">
        <v>1.94048</v>
      </c>
      <c r="J31">
        <v>3.86</v>
      </c>
      <c r="K31">
        <v>7</v>
      </c>
      <c r="L31">
        <v>1.9464300000000001</v>
      </c>
      <c r="M31">
        <v>2.44</v>
      </c>
      <c r="N31">
        <v>4</v>
      </c>
      <c r="O31">
        <v>1</v>
      </c>
      <c r="P31">
        <v>9.82</v>
      </c>
    </row>
    <row r="32" spans="1:16">
      <c r="A32">
        <v>27</v>
      </c>
      <c r="B32">
        <v>290</v>
      </c>
      <c r="C32">
        <v>1.26163</v>
      </c>
      <c r="D32">
        <v>0.63</v>
      </c>
      <c r="E32">
        <v>8</v>
      </c>
      <c r="F32">
        <v>1.77095</v>
      </c>
      <c r="G32">
        <v>1.67</v>
      </c>
      <c r="H32">
        <v>6</v>
      </c>
      <c r="I32">
        <v>1.6847799999999999</v>
      </c>
      <c r="J32">
        <v>12.75</v>
      </c>
      <c r="K32">
        <v>17</v>
      </c>
      <c r="L32">
        <v>1.71505</v>
      </c>
      <c r="M32">
        <v>3.58</v>
      </c>
      <c r="N32">
        <v>6</v>
      </c>
      <c r="O32">
        <v>1.2454499999999999</v>
      </c>
      <c r="P32">
        <v>3.45</v>
      </c>
    </row>
    <row r="33" spans="1:16">
      <c r="A33">
        <v>28</v>
      </c>
      <c r="B33">
        <v>294</v>
      </c>
      <c r="C33">
        <v>1.5555600000000001</v>
      </c>
      <c r="D33">
        <v>4.37</v>
      </c>
      <c r="E33">
        <v>6</v>
      </c>
      <c r="F33">
        <v>1.95808</v>
      </c>
      <c r="G33">
        <v>4.93</v>
      </c>
      <c r="H33">
        <v>5</v>
      </c>
      <c r="I33">
        <v>1.9520999999999999</v>
      </c>
      <c r="J33">
        <v>1.37</v>
      </c>
      <c r="K33">
        <v>21</v>
      </c>
      <c r="L33">
        <v>1.7967</v>
      </c>
      <c r="M33">
        <v>2.9</v>
      </c>
      <c r="N33">
        <v>5</v>
      </c>
      <c r="O33">
        <v>1.9</v>
      </c>
      <c r="P33">
        <v>5.78</v>
      </c>
    </row>
    <row r="34" spans="1:16">
      <c r="A34">
        <v>29</v>
      </c>
      <c r="B34">
        <v>230</v>
      </c>
      <c r="C34">
        <v>1.4256800000000001</v>
      </c>
      <c r="D34">
        <v>0.51</v>
      </c>
      <c r="E34">
        <v>8</v>
      </c>
      <c r="F34">
        <v>1.95238</v>
      </c>
      <c r="G34">
        <v>1.87</v>
      </c>
      <c r="H34">
        <v>6</v>
      </c>
      <c r="I34">
        <v>1.87209</v>
      </c>
      <c r="J34">
        <v>3.4</v>
      </c>
      <c r="K34">
        <v>11</v>
      </c>
      <c r="L34">
        <v>1.9181299999999999</v>
      </c>
      <c r="M34">
        <v>1.71</v>
      </c>
      <c r="N34">
        <v>5</v>
      </c>
      <c r="O34">
        <v>1.0371900000000001</v>
      </c>
      <c r="P34">
        <v>1.92</v>
      </c>
    </row>
    <row r="35" spans="1:16">
      <c r="A35">
        <v>30</v>
      </c>
      <c r="B35">
        <v>298</v>
      </c>
      <c r="C35">
        <v>1.23295</v>
      </c>
      <c r="D35">
        <v>0.42</v>
      </c>
      <c r="E35">
        <v>5</v>
      </c>
      <c r="F35">
        <v>1.9698800000000001</v>
      </c>
      <c r="G35">
        <v>1.07</v>
      </c>
      <c r="H35">
        <v>5</v>
      </c>
      <c r="I35">
        <v>1.7541899999999999</v>
      </c>
      <c r="J35">
        <v>1.59</v>
      </c>
      <c r="K35">
        <v>10</v>
      </c>
      <c r="L35">
        <v>1.9294100000000001</v>
      </c>
      <c r="M35">
        <v>2.33</v>
      </c>
      <c r="N35">
        <v>4</v>
      </c>
      <c r="O35">
        <v>1</v>
      </c>
      <c r="P35">
        <v>1.64</v>
      </c>
    </row>
    <row r="36" spans="1:16">
      <c r="A36">
        <v>31</v>
      </c>
      <c r="B36">
        <v>316</v>
      </c>
      <c r="C36">
        <v>1.1383000000000001</v>
      </c>
      <c r="D36">
        <v>0.43</v>
      </c>
      <c r="E36">
        <v>5</v>
      </c>
      <c r="F36">
        <v>1.9698800000000001</v>
      </c>
      <c r="G36">
        <v>0.76</v>
      </c>
      <c r="H36">
        <v>5</v>
      </c>
      <c r="I36">
        <v>1.7541899999999999</v>
      </c>
      <c r="J36">
        <v>1.24</v>
      </c>
      <c r="K36">
        <v>7</v>
      </c>
      <c r="L36">
        <v>1.9464300000000001</v>
      </c>
      <c r="M36">
        <v>1.76</v>
      </c>
      <c r="N36">
        <v>4</v>
      </c>
      <c r="O36">
        <v>1</v>
      </c>
      <c r="P36">
        <v>2.59</v>
      </c>
    </row>
    <row r="38" spans="1:16">
      <c r="C38" t="s">
        <v>4</v>
      </c>
      <c r="F38" t="s">
        <v>5</v>
      </c>
      <c r="I38" t="s">
        <v>19</v>
      </c>
      <c r="L38" t="s">
        <v>6</v>
      </c>
      <c r="O38" t="s">
        <v>20</v>
      </c>
    </row>
    <row r="39" spans="1:16">
      <c r="B39" t="s">
        <v>7</v>
      </c>
      <c r="C39" t="s">
        <v>8</v>
      </c>
      <c r="D39" t="s">
        <v>9</v>
      </c>
      <c r="E39" t="s">
        <v>7</v>
      </c>
      <c r="F39" t="s">
        <v>8</v>
      </c>
      <c r="G39" t="s">
        <v>9</v>
      </c>
      <c r="H39" t="s">
        <v>7</v>
      </c>
      <c r="I39" t="s">
        <v>8</v>
      </c>
      <c r="J39" t="s">
        <v>9</v>
      </c>
      <c r="K39" t="s">
        <v>7</v>
      </c>
      <c r="L39" t="s">
        <v>8</v>
      </c>
      <c r="M39" t="s">
        <v>10</v>
      </c>
      <c r="N39" t="s">
        <v>7</v>
      </c>
      <c r="O39" t="s">
        <v>8</v>
      </c>
      <c r="P39" t="s">
        <v>10</v>
      </c>
    </row>
    <row r="40" spans="1:16">
      <c r="A40" t="s">
        <v>11</v>
      </c>
      <c r="B40" s="1">
        <f>MAX(B5:B36)</f>
        <v>326</v>
      </c>
      <c r="C40" s="1">
        <f t="shared" ref="C40:P40" si="0">MAX(C5:C36)</f>
        <v>1.75</v>
      </c>
      <c r="D40" s="1">
        <f t="shared" si="0"/>
        <v>4.37</v>
      </c>
      <c r="E40" s="1">
        <f t="shared" si="0"/>
        <v>9</v>
      </c>
      <c r="F40" s="1">
        <f t="shared" si="0"/>
        <v>1.9698800000000001</v>
      </c>
      <c r="G40" s="1">
        <f t="shared" si="0"/>
        <v>7.17</v>
      </c>
      <c r="H40" s="1">
        <f t="shared" si="0"/>
        <v>7</v>
      </c>
      <c r="I40" s="1">
        <f t="shared" si="0"/>
        <v>1.9818199999999999</v>
      </c>
      <c r="J40" s="1">
        <f t="shared" si="0"/>
        <v>12.75</v>
      </c>
      <c r="K40" s="1">
        <f t="shared" si="0"/>
        <v>28</v>
      </c>
      <c r="L40" s="1">
        <f t="shared" si="0"/>
        <v>1.9464300000000001</v>
      </c>
      <c r="M40" s="1">
        <f t="shared" si="0"/>
        <v>10.85</v>
      </c>
      <c r="N40" s="1">
        <f t="shared" si="0"/>
        <v>6</v>
      </c>
      <c r="O40" s="1">
        <f t="shared" si="0"/>
        <v>1.9</v>
      </c>
      <c r="P40" s="1">
        <f t="shared" si="0"/>
        <v>9.82</v>
      </c>
    </row>
    <row r="41" spans="1:16">
      <c r="A41" t="s">
        <v>12</v>
      </c>
      <c r="B41" s="1">
        <f>MIN(B5:B36)</f>
        <v>230</v>
      </c>
      <c r="C41" s="1">
        <f t="shared" ref="C41:P41" si="1">MIN(C5:C36)</f>
        <v>1.1088100000000001</v>
      </c>
      <c r="D41" s="1">
        <f t="shared" si="1"/>
        <v>0.42</v>
      </c>
      <c r="E41" s="1">
        <f t="shared" si="1"/>
        <v>5</v>
      </c>
      <c r="F41" s="1">
        <f t="shared" si="1"/>
        <v>1.77095</v>
      </c>
      <c r="G41" s="1">
        <f t="shared" si="1"/>
        <v>0.76</v>
      </c>
      <c r="H41" s="1">
        <f t="shared" si="1"/>
        <v>4</v>
      </c>
      <c r="I41" s="1">
        <f t="shared" si="1"/>
        <v>1.6756800000000001</v>
      </c>
      <c r="J41" s="1">
        <f t="shared" si="1"/>
        <v>1.1599999999999999</v>
      </c>
      <c r="K41" s="1">
        <f t="shared" si="1"/>
        <v>7</v>
      </c>
      <c r="L41" s="1">
        <f t="shared" si="1"/>
        <v>1.71505</v>
      </c>
      <c r="M41" s="1">
        <f t="shared" si="1"/>
        <v>1.19</v>
      </c>
      <c r="N41" s="1">
        <f t="shared" si="1"/>
        <v>4</v>
      </c>
      <c r="O41" s="1">
        <f t="shared" si="1"/>
        <v>1</v>
      </c>
      <c r="P41" s="1">
        <f t="shared" si="1"/>
        <v>1.64</v>
      </c>
    </row>
    <row r="42" spans="1:16">
      <c r="A42" t="s">
        <v>13</v>
      </c>
      <c r="B42" s="1">
        <f>MEDIAN(B5:B36)</f>
        <v>290</v>
      </c>
      <c r="C42" s="1">
        <f t="shared" ref="C42:P42" si="2">MEDIAN(C5:C36)</f>
        <v>1.4256800000000001</v>
      </c>
      <c r="D42" s="1">
        <f t="shared" si="2"/>
        <v>0.63500000000000001</v>
      </c>
      <c r="E42" s="1">
        <f t="shared" si="2"/>
        <v>6.5</v>
      </c>
      <c r="F42" s="1">
        <f t="shared" si="2"/>
        <v>1.96407</v>
      </c>
      <c r="G42" s="1">
        <f t="shared" si="2"/>
        <v>1.3399999999999999</v>
      </c>
      <c r="H42" s="1">
        <f t="shared" si="2"/>
        <v>5</v>
      </c>
      <c r="I42" s="1">
        <f t="shared" si="2"/>
        <v>1.9</v>
      </c>
      <c r="J42" s="1">
        <f t="shared" si="2"/>
        <v>1.7949999999999999</v>
      </c>
      <c r="K42" s="1">
        <f t="shared" si="2"/>
        <v>8.5</v>
      </c>
      <c r="L42" s="1">
        <f t="shared" si="2"/>
        <v>1.93512</v>
      </c>
      <c r="M42" s="1">
        <f t="shared" si="2"/>
        <v>1.8250000000000002</v>
      </c>
      <c r="N42" s="1">
        <f t="shared" si="2"/>
        <v>5</v>
      </c>
      <c r="O42" s="1">
        <f t="shared" si="2"/>
        <v>1.0184150000000001</v>
      </c>
      <c r="P42" s="1">
        <f t="shared" si="2"/>
        <v>2.9350000000000001</v>
      </c>
    </row>
    <row r="43" spans="1:16">
      <c r="A43" t="s">
        <v>14</v>
      </c>
      <c r="B43" s="1">
        <f>AVERAGE(B5:B36)</f>
        <v>279.5</v>
      </c>
      <c r="C43" s="1">
        <f t="shared" ref="C43:P43" si="3">AVERAGE(C5:C36)</f>
        <v>1.3648315625</v>
      </c>
      <c r="D43" s="1">
        <f t="shared" si="3"/>
        <v>0.97781249999999986</v>
      </c>
      <c r="E43" s="1">
        <f t="shared" si="3"/>
        <v>6.375</v>
      </c>
      <c r="F43" s="1">
        <f t="shared" si="3"/>
        <v>1.9439165625000006</v>
      </c>
      <c r="G43" s="1">
        <f t="shared" si="3"/>
        <v>2.2246875000000004</v>
      </c>
      <c r="H43" s="1">
        <f t="shared" si="3"/>
        <v>5.21875</v>
      </c>
      <c r="I43" s="1">
        <f t="shared" si="3"/>
        <v>1.8728556250000001</v>
      </c>
      <c r="J43" s="1">
        <f t="shared" si="3"/>
        <v>2.7312500000000006</v>
      </c>
      <c r="K43" s="1">
        <f t="shared" si="3"/>
        <v>12.03125</v>
      </c>
      <c r="L43" s="1">
        <f t="shared" si="3"/>
        <v>1.8901109374999994</v>
      </c>
      <c r="M43" s="1">
        <f t="shared" si="3"/>
        <v>2.8109374999999996</v>
      </c>
      <c r="N43" s="1">
        <f t="shared" si="3"/>
        <v>4.875</v>
      </c>
      <c r="O43" s="1">
        <f t="shared" si="3"/>
        <v>1.1863849999999998</v>
      </c>
      <c r="P43" s="1">
        <f t="shared" si="3"/>
        <v>3.6578125000000008</v>
      </c>
    </row>
    <row r="44" spans="1:16">
      <c r="A44" t="s">
        <v>15</v>
      </c>
      <c r="B44" s="1">
        <f>STDEV(B5:B36)</f>
        <v>34.134458986815375</v>
      </c>
      <c r="C44" s="1">
        <f t="shared" ref="C44:P44" si="4">STDEV(C5:C36)</f>
        <v>0.20369687249739915</v>
      </c>
      <c r="D44" s="1">
        <f t="shared" si="4"/>
        <v>0.86169276155865526</v>
      </c>
      <c r="E44" s="1">
        <f t="shared" si="4"/>
        <v>1.3854078239672525</v>
      </c>
      <c r="F44" s="1">
        <f t="shared" si="4"/>
        <v>5.7110803147824137E-2</v>
      </c>
      <c r="G44" s="1">
        <f t="shared" si="4"/>
        <v>1.8474044291924809</v>
      </c>
      <c r="H44" s="1">
        <f t="shared" si="4"/>
        <v>1.0075321174741456</v>
      </c>
      <c r="I44" s="1">
        <f t="shared" si="4"/>
        <v>0.10946043730535999</v>
      </c>
      <c r="J44" s="1">
        <f t="shared" si="4"/>
        <v>2.3484610609585803</v>
      </c>
      <c r="K44" s="1">
        <f t="shared" si="4"/>
        <v>6.7129358751976866</v>
      </c>
      <c r="L44" s="1">
        <f t="shared" si="4"/>
        <v>7.8002530743037798E-2</v>
      </c>
      <c r="M44" s="1">
        <f t="shared" si="4"/>
        <v>2.0515019822229079</v>
      </c>
      <c r="N44" s="1">
        <f t="shared" si="4"/>
        <v>0.75134288379691072</v>
      </c>
      <c r="O44" s="1">
        <f t="shared" si="4"/>
        <v>0.29545799397960487</v>
      </c>
      <c r="P44" s="1">
        <f t="shared" si="4"/>
        <v>1.9705226658460184</v>
      </c>
    </row>
    <row r="45" spans="1:16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7C91E-464F-0447-BEEF-FB2E34345ED1}">
  <sheetPr codeName="Sheet7"/>
  <dimension ref="A1:P44"/>
  <sheetViews>
    <sheetView workbookViewId="0">
      <selection sqref="A1:P36"/>
    </sheetView>
  </sheetViews>
  <sheetFormatPr baseColWidth="10" defaultRowHeight="16"/>
  <sheetData>
    <row r="1" spans="1:16">
      <c r="A1" t="s">
        <v>0</v>
      </c>
      <c r="B1" t="s">
        <v>21</v>
      </c>
      <c r="C1" t="s">
        <v>1</v>
      </c>
      <c r="D1">
        <v>1460</v>
      </c>
    </row>
    <row r="2" spans="1:16">
      <c r="A2" t="s">
        <v>2</v>
      </c>
      <c r="B2" t="s">
        <v>3</v>
      </c>
    </row>
    <row r="3" spans="1:16">
      <c r="C3" t="s">
        <v>4</v>
      </c>
      <c r="F3" t="s">
        <v>5</v>
      </c>
      <c r="I3" t="s">
        <v>19</v>
      </c>
      <c r="L3" t="s">
        <v>6</v>
      </c>
      <c r="O3" t="s">
        <v>20</v>
      </c>
    </row>
    <row r="4" spans="1:16">
      <c r="B4" t="s">
        <v>7</v>
      </c>
      <c r="C4" t="s">
        <v>8</v>
      </c>
      <c r="D4" t="s">
        <v>9</v>
      </c>
      <c r="E4" t="s">
        <v>7</v>
      </c>
      <c r="F4" t="s">
        <v>8</v>
      </c>
      <c r="G4" t="s">
        <v>9</v>
      </c>
      <c r="H4" t="s">
        <v>7</v>
      </c>
      <c r="I4" t="s">
        <v>8</v>
      </c>
      <c r="J4" t="s">
        <v>9</v>
      </c>
      <c r="K4" t="s">
        <v>7</v>
      </c>
      <c r="L4" t="s">
        <v>8</v>
      </c>
      <c r="M4" t="s">
        <v>10</v>
      </c>
      <c r="N4" t="s">
        <v>7</v>
      </c>
      <c r="O4" t="s">
        <v>8</v>
      </c>
      <c r="P4" t="s">
        <v>10</v>
      </c>
    </row>
    <row r="5" spans="1:16">
      <c r="A5">
        <v>0</v>
      </c>
      <c r="B5">
        <v>948</v>
      </c>
      <c r="C5">
        <v>1.22963</v>
      </c>
      <c r="D5">
        <v>1.57</v>
      </c>
      <c r="E5">
        <v>7</v>
      </c>
      <c r="F5">
        <v>1.9877800000000001</v>
      </c>
      <c r="G5">
        <v>2.64</v>
      </c>
      <c r="H5">
        <v>5</v>
      </c>
      <c r="I5">
        <v>1.9655899999999999</v>
      </c>
      <c r="J5">
        <v>4.07</v>
      </c>
      <c r="K5">
        <v>16</v>
      </c>
      <c r="L5">
        <v>1.9638599999999999</v>
      </c>
      <c r="M5">
        <v>4.34</v>
      </c>
      <c r="N5">
        <v>5</v>
      </c>
      <c r="O5">
        <v>1.91252</v>
      </c>
      <c r="P5">
        <v>9.68</v>
      </c>
    </row>
    <row r="6" spans="1:16">
      <c r="A6">
        <v>1</v>
      </c>
      <c r="B6">
        <v>876</v>
      </c>
      <c r="C6">
        <v>1.0242599999999999</v>
      </c>
      <c r="D6">
        <v>2.57</v>
      </c>
      <c r="E6">
        <v>6</v>
      </c>
      <c r="F6">
        <v>1.9857400000000001</v>
      </c>
      <c r="G6">
        <v>3.16</v>
      </c>
      <c r="H6">
        <v>5</v>
      </c>
      <c r="I6">
        <v>1.9837100000000001</v>
      </c>
      <c r="J6">
        <v>3.99</v>
      </c>
      <c r="K6">
        <v>9</v>
      </c>
      <c r="L6">
        <v>1.9736800000000001</v>
      </c>
      <c r="M6">
        <v>4.3</v>
      </c>
      <c r="N6">
        <v>5</v>
      </c>
      <c r="O6">
        <v>1.9655899999999999</v>
      </c>
      <c r="P6">
        <v>5.75</v>
      </c>
    </row>
    <row r="7" spans="1:16">
      <c r="A7">
        <v>2</v>
      </c>
      <c r="B7">
        <v>854</v>
      </c>
      <c r="C7">
        <v>1.3757699999999999</v>
      </c>
      <c r="D7">
        <v>1.39</v>
      </c>
      <c r="E7">
        <v>8</v>
      </c>
      <c r="F7">
        <v>1.8449599999999999</v>
      </c>
      <c r="G7">
        <v>2.71</v>
      </c>
      <c r="H7">
        <v>5</v>
      </c>
      <c r="I7">
        <v>1.7641500000000001</v>
      </c>
      <c r="J7">
        <v>5.39</v>
      </c>
      <c r="K7">
        <v>10</v>
      </c>
      <c r="L7">
        <v>1.8323700000000001</v>
      </c>
      <c r="M7">
        <v>10.44</v>
      </c>
      <c r="N7">
        <v>5</v>
      </c>
      <c r="O7">
        <v>1.39771</v>
      </c>
      <c r="P7">
        <v>11.43</v>
      </c>
    </row>
    <row r="8" spans="1:16">
      <c r="A8">
        <v>3</v>
      </c>
      <c r="B8">
        <v>880</v>
      </c>
      <c r="C8">
        <v>1.10432</v>
      </c>
      <c r="D8">
        <v>3</v>
      </c>
      <c r="E8">
        <v>8</v>
      </c>
      <c r="F8">
        <v>1.9837400000000001</v>
      </c>
      <c r="G8">
        <v>6.12</v>
      </c>
      <c r="H8">
        <v>6</v>
      </c>
      <c r="I8">
        <v>1.7712699999999999</v>
      </c>
      <c r="J8">
        <v>8.5399999999999991</v>
      </c>
      <c r="K8">
        <v>11</v>
      </c>
      <c r="L8">
        <v>1.9717199999999999</v>
      </c>
      <c r="M8">
        <v>11.41</v>
      </c>
      <c r="N8">
        <v>6</v>
      </c>
      <c r="O8">
        <v>1.1032999999999999</v>
      </c>
      <c r="P8">
        <v>10.44</v>
      </c>
    </row>
    <row r="9" spans="1:16">
      <c r="A9">
        <v>4</v>
      </c>
      <c r="B9">
        <v>714</v>
      </c>
      <c r="C9">
        <v>1.8986700000000001</v>
      </c>
      <c r="D9">
        <v>3.04</v>
      </c>
      <c r="E9">
        <v>8</v>
      </c>
      <c r="F9">
        <v>1.9837400000000001</v>
      </c>
      <c r="G9">
        <v>8.8000000000000007</v>
      </c>
      <c r="H9">
        <v>6</v>
      </c>
      <c r="I9">
        <v>1.9556500000000001</v>
      </c>
      <c r="J9">
        <v>18.43</v>
      </c>
      <c r="K9">
        <v>47</v>
      </c>
      <c r="L9">
        <v>1.9036599999999999</v>
      </c>
      <c r="M9">
        <v>6.39</v>
      </c>
      <c r="N9">
        <v>5</v>
      </c>
      <c r="O9">
        <v>1.0123599999999999</v>
      </c>
      <c r="P9">
        <v>13.29</v>
      </c>
    </row>
    <row r="10" spans="1:16">
      <c r="A10">
        <v>5</v>
      </c>
      <c r="B10">
        <v>896</v>
      </c>
      <c r="C10">
        <v>1.1302000000000001</v>
      </c>
      <c r="D10">
        <v>4.7</v>
      </c>
      <c r="E10">
        <v>5</v>
      </c>
      <c r="F10">
        <v>1.9898</v>
      </c>
      <c r="G10">
        <v>8.42</v>
      </c>
      <c r="H10">
        <v>4</v>
      </c>
      <c r="I10">
        <v>1.99387</v>
      </c>
      <c r="J10">
        <v>5.5</v>
      </c>
      <c r="K10">
        <v>10</v>
      </c>
      <c r="L10">
        <v>1.9757100000000001</v>
      </c>
      <c r="M10">
        <v>4.59</v>
      </c>
      <c r="N10">
        <v>4</v>
      </c>
      <c r="O10">
        <v>1</v>
      </c>
      <c r="P10">
        <v>8.75</v>
      </c>
    </row>
    <row r="11" spans="1:16">
      <c r="A11">
        <v>6</v>
      </c>
      <c r="B11">
        <v>854</v>
      </c>
      <c r="C11">
        <v>1.3757699999999999</v>
      </c>
      <c r="D11">
        <v>2.0099999999999998</v>
      </c>
      <c r="E11">
        <v>10</v>
      </c>
      <c r="F11">
        <v>1.9637100000000001</v>
      </c>
      <c r="G11">
        <v>2.92</v>
      </c>
      <c r="H11">
        <v>7</v>
      </c>
      <c r="I11">
        <v>1.8764700000000001</v>
      </c>
      <c r="J11">
        <v>4.0199999999999996</v>
      </c>
      <c r="K11">
        <v>13</v>
      </c>
      <c r="L11">
        <v>1.9519</v>
      </c>
      <c r="M11">
        <v>4.0599999999999996</v>
      </c>
      <c r="N11">
        <v>5</v>
      </c>
      <c r="O11">
        <v>1.39771</v>
      </c>
      <c r="P11">
        <v>5.25</v>
      </c>
    </row>
    <row r="12" spans="1:16">
      <c r="A12">
        <v>7</v>
      </c>
      <c r="B12">
        <v>842</v>
      </c>
      <c r="C12">
        <v>1.0052300000000001</v>
      </c>
      <c r="D12">
        <v>1.36</v>
      </c>
      <c r="E12">
        <v>9</v>
      </c>
      <c r="F12">
        <v>1.98577</v>
      </c>
      <c r="G12">
        <v>2.4900000000000002</v>
      </c>
      <c r="H12">
        <v>7</v>
      </c>
      <c r="I12">
        <v>1.8992100000000001</v>
      </c>
      <c r="J12">
        <v>5.73</v>
      </c>
      <c r="K12">
        <v>30</v>
      </c>
      <c r="L12">
        <v>1.92157</v>
      </c>
      <c r="M12">
        <v>3.75</v>
      </c>
      <c r="N12">
        <v>5</v>
      </c>
      <c r="O12">
        <v>1.7641500000000001</v>
      </c>
      <c r="P12">
        <v>5.48</v>
      </c>
    </row>
    <row r="13" spans="1:16">
      <c r="A13">
        <v>8</v>
      </c>
      <c r="B13">
        <v>908</v>
      </c>
      <c r="C13">
        <v>1.1410499999999999</v>
      </c>
      <c r="D13">
        <v>1.38</v>
      </c>
      <c r="E13">
        <v>5</v>
      </c>
      <c r="F13">
        <v>1.9898</v>
      </c>
      <c r="G13">
        <v>2.68</v>
      </c>
      <c r="H13">
        <v>4</v>
      </c>
      <c r="I13">
        <v>1.99387</v>
      </c>
      <c r="J13">
        <v>4.18</v>
      </c>
      <c r="K13">
        <v>7</v>
      </c>
      <c r="L13">
        <v>1.9817100000000001</v>
      </c>
      <c r="M13">
        <v>3.92</v>
      </c>
      <c r="N13">
        <v>4</v>
      </c>
      <c r="O13">
        <v>1</v>
      </c>
      <c r="P13">
        <v>10.32</v>
      </c>
    </row>
    <row r="14" spans="1:16">
      <c r="A14">
        <v>9</v>
      </c>
      <c r="B14">
        <v>714</v>
      </c>
      <c r="C14">
        <v>1.8986700000000001</v>
      </c>
      <c r="D14">
        <v>5.08</v>
      </c>
      <c r="E14">
        <v>8</v>
      </c>
      <c r="F14">
        <v>1.9837400000000001</v>
      </c>
      <c r="G14">
        <v>4.01</v>
      </c>
      <c r="H14">
        <v>6</v>
      </c>
      <c r="I14">
        <v>1.9029700000000001</v>
      </c>
      <c r="J14">
        <v>9.6</v>
      </c>
      <c r="K14">
        <v>47</v>
      </c>
      <c r="L14">
        <v>1.9036599999999999</v>
      </c>
      <c r="M14">
        <v>10.1</v>
      </c>
      <c r="N14">
        <v>5</v>
      </c>
      <c r="O14">
        <v>1.03755</v>
      </c>
      <c r="P14">
        <v>8.85</v>
      </c>
    </row>
    <row r="15" spans="1:16">
      <c r="A15">
        <v>10</v>
      </c>
      <c r="B15">
        <v>898</v>
      </c>
      <c r="C15">
        <v>1.13201</v>
      </c>
      <c r="D15">
        <v>3.57</v>
      </c>
      <c r="E15">
        <v>5</v>
      </c>
      <c r="F15">
        <v>1.9898</v>
      </c>
      <c r="G15">
        <v>7.52</v>
      </c>
      <c r="H15">
        <v>4</v>
      </c>
      <c r="I15">
        <v>1.99387</v>
      </c>
      <c r="J15">
        <v>8.26</v>
      </c>
      <c r="K15">
        <v>7</v>
      </c>
      <c r="L15">
        <v>1.9817100000000001</v>
      </c>
      <c r="M15">
        <v>10.02</v>
      </c>
      <c r="N15">
        <v>4</v>
      </c>
      <c r="O15">
        <v>1</v>
      </c>
      <c r="P15">
        <v>8.9700000000000006</v>
      </c>
    </row>
    <row r="16" spans="1:16">
      <c r="A16">
        <v>11</v>
      </c>
      <c r="B16">
        <v>878</v>
      </c>
      <c r="C16">
        <v>1.026</v>
      </c>
      <c r="D16">
        <v>5.9</v>
      </c>
      <c r="E16">
        <v>5</v>
      </c>
      <c r="F16">
        <v>1.9898</v>
      </c>
      <c r="G16">
        <v>5.92</v>
      </c>
      <c r="H16">
        <v>4</v>
      </c>
      <c r="I16">
        <v>1.99387</v>
      </c>
      <c r="J16">
        <v>11.55</v>
      </c>
      <c r="K16">
        <v>7</v>
      </c>
      <c r="L16">
        <v>1.9817100000000001</v>
      </c>
      <c r="M16">
        <v>4.16</v>
      </c>
      <c r="N16">
        <v>4</v>
      </c>
      <c r="O16">
        <v>1</v>
      </c>
      <c r="P16">
        <v>5.03</v>
      </c>
    </row>
    <row r="17" spans="1:16">
      <c r="A17">
        <v>12</v>
      </c>
      <c r="B17">
        <v>714</v>
      </c>
      <c r="C17">
        <v>1.8986700000000001</v>
      </c>
      <c r="D17">
        <v>1.3</v>
      </c>
      <c r="E17">
        <v>5</v>
      </c>
      <c r="F17">
        <v>1.9898</v>
      </c>
      <c r="G17">
        <v>3.11</v>
      </c>
      <c r="H17">
        <v>5</v>
      </c>
      <c r="I17">
        <v>1.39771</v>
      </c>
      <c r="J17">
        <v>3.83</v>
      </c>
      <c r="K17">
        <v>43</v>
      </c>
      <c r="L17">
        <v>1.91279</v>
      </c>
      <c r="M17">
        <v>3.78</v>
      </c>
      <c r="N17">
        <v>5</v>
      </c>
      <c r="O17">
        <v>1.0041</v>
      </c>
      <c r="P17">
        <v>5</v>
      </c>
    </row>
    <row r="18" spans="1:16">
      <c r="A18">
        <v>13</v>
      </c>
      <c r="B18">
        <v>714</v>
      </c>
      <c r="C18">
        <v>1.8986700000000001</v>
      </c>
      <c r="D18">
        <v>1.29</v>
      </c>
      <c r="E18">
        <v>5</v>
      </c>
      <c r="F18">
        <v>1.9898</v>
      </c>
      <c r="G18">
        <v>2.75</v>
      </c>
      <c r="H18">
        <v>4</v>
      </c>
      <c r="I18">
        <v>1.99387</v>
      </c>
      <c r="J18">
        <v>3.88</v>
      </c>
      <c r="K18">
        <v>43</v>
      </c>
      <c r="L18">
        <v>1.91279</v>
      </c>
      <c r="M18">
        <v>3.64</v>
      </c>
      <c r="N18">
        <v>5</v>
      </c>
      <c r="O18">
        <v>1.0041</v>
      </c>
      <c r="P18">
        <v>4.96</v>
      </c>
    </row>
    <row r="19" spans="1:16">
      <c r="A19">
        <v>14</v>
      </c>
      <c r="B19">
        <v>898</v>
      </c>
      <c r="C19">
        <v>1.13201</v>
      </c>
      <c r="D19">
        <v>1.35</v>
      </c>
      <c r="E19">
        <v>5</v>
      </c>
      <c r="F19">
        <v>1.9898</v>
      </c>
      <c r="G19">
        <v>2.5299999999999998</v>
      </c>
      <c r="H19">
        <v>4</v>
      </c>
      <c r="I19">
        <v>1.99387</v>
      </c>
      <c r="J19">
        <v>3.67</v>
      </c>
      <c r="K19">
        <v>7</v>
      </c>
      <c r="L19">
        <v>1.9817100000000001</v>
      </c>
      <c r="M19">
        <v>3.64</v>
      </c>
      <c r="N19">
        <v>4</v>
      </c>
      <c r="O19">
        <v>1</v>
      </c>
      <c r="P19">
        <v>4.96</v>
      </c>
    </row>
    <row r="20" spans="1:16">
      <c r="A20">
        <v>15</v>
      </c>
      <c r="B20">
        <v>714</v>
      </c>
      <c r="C20">
        <v>1.8986700000000001</v>
      </c>
      <c r="D20">
        <v>1.31</v>
      </c>
      <c r="E20">
        <v>5</v>
      </c>
      <c r="F20">
        <v>1.9898</v>
      </c>
      <c r="G20">
        <v>2.56</v>
      </c>
      <c r="H20">
        <v>4</v>
      </c>
      <c r="I20">
        <v>1.99387</v>
      </c>
      <c r="J20">
        <v>3.69</v>
      </c>
      <c r="K20">
        <v>43</v>
      </c>
      <c r="L20">
        <v>1.91279</v>
      </c>
      <c r="M20">
        <v>3.57</v>
      </c>
      <c r="N20">
        <v>5</v>
      </c>
      <c r="O20">
        <v>1.0041</v>
      </c>
      <c r="P20">
        <v>4.91</v>
      </c>
    </row>
    <row r="21" spans="1:16">
      <c r="A21">
        <v>16</v>
      </c>
      <c r="B21">
        <v>908</v>
      </c>
      <c r="C21">
        <v>1.1410499999999999</v>
      </c>
      <c r="D21">
        <v>1.34</v>
      </c>
      <c r="E21">
        <v>5</v>
      </c>
      <c r="F21">
        <v>1.9898</v>
      </c>
      <c r="G21">
        <v>2.4700000000000002</v>
      </c>
      <c r="H21">
        <v>5</v>
      </c>
      <c r="I21">
        <v>1.7641500000000001</v>
      </c>
      <c r="J21">
        <v>3.28</v>
      </c>
      <c r="K21">
        <v>7</v>
      </c>
      <c r="L21">
        <v>1.9817100000000001</v>
      </c>
      <c r="M21">
        <v>3.66</v>
      </c>
      <c r="N21">
        <v>4</v>
      </c>
      <c r="O21">
        <v>1</v>
      </c>
      <c r="P21">
        <v>5.03</v>
      </c>
    </row>
    <row r="22" spans="1:16">
      <c r="A22">
        <v>17</v>
      </c>
      <c r="B22">
        <v>880</v>
      </c>
      <c r="C22">
        <v>1.10432</v>
      </c>
      <c r="D22">
        <v>1.52</v>
      </c>
      <c r="E22">
        <v>5</v>
      </c>
      <c r="F22">
        <v>1.9898</v>
      </c>
      <c r="G22">
        <v>3.63</v>
      </c>
      <c r="H22">
        <v>4</v>
      </c>
      <c r="I22">
        <v>1.99387</v>
      </c>
      <c r="J22">
        <v>9.9600000000000009</v>
      </c>
      <c r="K22">
        <v>10</v>
      </c>
      <c r="L22">
        <v>1.9757100000000001</v>
      </c>
      <c r="M22">
        <v>12.61</v>
      </c>
      <c r="N22">
        <v>4</v>
      </c>
      <c r="O22">
        <v>1</v>
      </c>
      <c r="P22">
        <v>12.02</v>
      </c>
    </row>
    <row r="23" spans="1:16">
      <c r="A23">
        <v>18</v>
      </c>
      <c r="B23">
        <v>908</v>
      </c>
      <c r="C23">
        <v>1.1410499999999999</v>
      </c>
      <c r="D23">
        <v>5.95</v>
      </c>
      <c r="E23">
        <v>5</v>
      </c>
      <c r="F23">
        <v>1.9898</v>
      </c>
      <c r="G23">
        <v>11.28</v>
      </c>
      <c r="H23">
        <v>4</v>
      </c>
      <c r="I23">
        <v>1.99387</v>
      </c>
      <c r="J23">
        <v>3.61</v>
      </c>
      <c r="K23">
        <v>7</v>
      </c>
      <c r="L23">
        <v>1.9817100000000001</v>
      </c>
      <c r="M23">
        <v>4.9800000000000004</v>
      </c>
      <c r="N23">
        <v>4</v>
      </c>
      <c r="O23">
        <v>1</v>
      </c>
      <c r="P23">
        <v>15.38</v>
      </c>
    </row>
    <row r="24" spans="1:16">
      <c r="A24">
        <v>19</v>
      </c>
      <c r="B24">
        <v>714</v>
      </c>
      <c r="C24">
        <v>1.8986700000000001</v>
      </c>
      <c r="D24">
        <v>5.34</v>
      </c>
      <c r="E24">
        <v>7</v>
      </c>
      <c r="F24">
        <v>1.9877800000000001</v>
      </c>
      <c r="G24">
        <v>5.96</v>
      </c>
      <c r="H24">
        <v>6</v>
      </c>
      <c r="I24">
        <v>1.97967</v>
      </c>
      <c r="J24">
        <v>4.18</v>
      </c>
      <c r="K24">
        <v>43</v>
      </c>
      <c r="L24">
        <v>1.91279</v>
      </c>
      <c r="M24">
        <v>10.91</v>
      </c>
      <c r="N24">
        <v>4</v>
      </c>
      <c r="O24">
        <v>1</v>
      </c>
      <c r="P24">
        <v>5.05</v>
      </c>
    </row>
    <row r="25" spans="1:16">
      <c r="A25">
        <v>20</v>
      </c>
      <c r="B25">
        <v>872</v>
      </c>
      <c r="C25">
        <v>1.0971200000000001</v>
      </c>
      <c r="D25">
        <v>1.51</v>
      </c>
      <c r="E25">
        <v>9</v>
      </c>
      <c r="F25">
        <v>1.51973</v>
      </c>
      <c r="G25">
        <v>5.83</v>
      </c>
      <c r="H25">
        <v>6</v>
      </c>
      <c r="I25">
        <v>1.7401899999999999</v>
      </c>
      <c r="J25">
        <v>3.75</v>
      </c>
      <c r="K25">
        <v>18</v>
      </c>
      <c r="L25">
        <v>1.50508</v>
      </c>
      <c r="M25">
        <v>3.81</v>
      </c>
      <c r="N25">
        <v>6</v>
      </c>
      <c r="O25">
        <v>1.15906</v>
      </c>
      <c r="P25">
        <v>5.75</v>
      </c>
    </row>
    <row r="26" spans="1:16">
      <c r="A26">
        <v>21</v>
      </c>
      <c r="B26">
        <v>868</v>
      </c>
      <c r="C26">
        <v>1.0173300000000001</v>
      </c>
      <c r="D26">
        <v>1.38</v>
      </c>
      <c r="E26">
        <v>5</v>
      </c>
      <c r="F26">
        <v>1.9898</v>
      </c>
      <c r="G26">
        <v>2.4500000000000002</v>
      </c>
      <c r="H26">
        <v>5</v>
      </c>
      <c r="I26">
        <v>1.7641500000000001</v>
      </c>
      <c r="J26">
        <v>3.61</v>
      </c>
      <c r="K26">
        <v>16</v>
      </c>
      <c r="L26">
        <v>1.9698199999999999</v>
      </c>
      <c r="M26">
        <v>4.6500000000000004</v>
      </c>
      <c r="N26">
        <v>4</v>
      </c>
      <c r="O26">
        <v>1</v>
      </c>
      <c r="P26">
        <v>5.83</v>
      </c>
    </row>
    <row r="27" spans="1:16">
      <c r="A27">
        <v>22</v>
      </c>
      <c r="B27">
        <v>868</v>
      </c>
      <c r="C27">
        <v>1.0173300000000001</v>
      </c>
      <c r="D27">
        <v>1.4</v>
      </c>
      <c r="E27">
        <v>5</v>
      </c>
      <c r="F27">
        <v>1.9898</v>
      </c>
      <c r="G27">
        <v>2.54</v>
      </c>
      <c r="H27">
        <v>4</v>
      </c>
      <c r="I27">
        <v>1.99387</v>
      </c>
      <c r="J27">
        <v>3.63</v>
      </c>
      <c r="K27">
        <v>16</v>
      </c>
      <c r="L27">
        <v>1.9698199999999999</v>
      </c>
      <c r="M27">
        <v>3.62</v>
      </c>
      <c r="N27">
        <v>4</v>
      </c>
      <c r="O27">
        <v>1</v>
      </c>
      <c r="P27">
        <v>5.84</v>
      </c>
    </row>
    <row r="28" spans="1:16">
      <c r="A28">
        <v>23</v>
      </c>
      <c r="B28">
        <v>842</v>
      </c>
      <c r="C28">
        <v>1.0052300000000001</v>
      </c>
      <c r="D28">
        <v>1.83</v>
      </c>
      <c r="E28">
        <v>9</v>
      </c>
      <c r="F28">
        <v>1.98577</v>
      </c>
      <c r="G28">
        <v>5.49</v>
      </c>
      <c r="H28">
        <v>7</v>
      </c>
      <c r="I28">
        <v>1.88212</v>
      </c>
      <c r="J28">
        <v>7.67</v>
      </c>
      <c r="K28">
        <v>30</v>
      </c>
      <c r="L28">
        <v>1.92157</v>
      </c>
      <c r="M28">
        <v>4.1399999999999997</v>
      </c>
      <c r="N28">
        <v>5</v>
      </c>
      <c r="O28">
        <v>1.7641500000000001</v>
      </c>
      <c r="P28">
        <v>4.9400000000000004</v>
      </c>
    </row>
    <row r="29" spans="1:16">
      <c r="A29">
        <v>24</v>
      </c>
      <c r="B29">
        <v>714</v>
      </c>
      <c r="C29">
        <v>1.8986700000000001</v>
      </c>
      <c r="D29">
        <v>1.26</v>
      </c>
      <c r="E29">
        <v>7</v>
      </c>
      <c r="F29">
        <v>1.9877800000000001</v>
      </c>
      <c r="G29">
        <v>4.63</v>
      </c>
      <c r="H29">
        <v>6</v>
      </c>
      <c r="I29">
        <v>1.90873</v>
      </c>
      <c r="J29">
        <v>4.04</v>
      </c>
      <c r="K29">
        <v>43</v>
      </c>
      <c r="L29">
        <v>1.91279</v>
      </c>
      <c r="M29">
        <v>4.9400000000000004</v>
      </c>
      <c r="N29">
        <v>5</v>
      </c>
      <c r="O29">
        <v>1.03755</v>
      </c>
      <c r="P29">
        <v>12.62</v>
      </c>
    </row>
    <row r="30" spans="1:16">
      <c r="A30">
        <v>25</v>
      </c>
      <c r="B30">
        <v>908</v>
      </c>
      <c r="C30">
        <v>1.1410499999999999</v>
      </c>
      <c r="D30">
        <v>3.31</v>
      </c>
      <c r="E30">
        <v>5</v>
      </c>
      <c r="F30">
        <v>1.9898</v>
      </c>
      <c r="G30">
        <v>3.89</v>
      </c>
      <c r="H30">
        <v>4</v>
      </c>
      <c r="I30">
        <v>1.99387</v>
      </c>
      <c r="J30">
        <v>8.44</v>
      </c>
      <c r="K30">
        <v>7</v>
      </c>
      <c r="L30">
        <v>1.9817100000000001</v>
      </c>
      <c r="M30">
        <v>15.86</v>
      </c>
      <c r="N30">
        <v>4</v>
      </c>
      <c r="O30">
        <v>1</v>
      </c>
      <c r="P30">
        <v>10.36</v>
      </c>
    </row>
    <row r="31" spans="1:16">
      <c r="A31">
        <v>26</v>
      </c>
      <c r="B31">
        <v>896</v>
      </c>
      <c r="C31">
        <v>1.1302000000000001</v>
      </c>
      <c r="D31">
        <v>5.14</v>
      </c>
      <c r="E31">
        <v>5</v>
      </c>
      <c r="F31">
        <v>1.9898</v>
      </c>
      <c r="G31">
        <v>5.0199999999999996</v>
      </c>
      <c r="H31">
        <v>4</v>
      </c>
      <c r="I31">
        <v>1.99387</v>
      </c>
      <c r="J31">
        <v>3.89</v>
      </c>
      <c r="K31">
        <v>10</v>
      </c>
      <c r="L31">
        <v>1.9757100000000001</v>
      </c>
      <c r="M31">
        <v>4.99</v>
      </c>
      <c r="N31">
        <v>4</v>
      </c>
      <c r="O31">
        <v>1</v>
      </c>
      <c r="P31">
        <v>12.33</v>
      </c>
    </row>
    <row r="32" spans="1:16">
      <c r="A32">
        <v>27</v>
      </c>
      <c r="B32">
        <v>714</v>
      </c>
      <c r="C32">
        <v>1.8986700000000001</v>
      </c>
      <c r="D32">
        <v>4.45</v>
      </c>
      <c r="E32">
        <v>5</v>
      </c>
      <c r="F32">
        <v>1.9898</v>
      </c>
      <c r="G32">
        <v>3.14</v>
      </c>
      <c r="H32">
        <v>4</v>
      </c>
      <c r="I32">
        <v>1.99387</v>
      </c>
      <c r="J32">
        <v>4.68</v>
      </c>
      <c r="K32">
        <v>43</v>
      </c>
      <c r="L32">
        <v>1.91279</v>
      </c>
      <c r="M32">
        <v>7.66</v>
      </c>
      <c r="N32">
        <v>5</v>
      </c>
      <c r="O32">
        <v>1.0041</v>
      </c>
      <c r="P32">
        <v>9.44</v>
      </c>
    </row>
    <row r="33" spans="1:16">
      <c r="A33">
        <v>28</v>
      </c>
      <c r="B33">
        <v>922</v>
      </c>
      <c r="C33">
        <v>1.25996</v>
      </c>
      <c r="D33">
        <v>1.31</v>
      </c>
      <c r="E33">
        <v>7</v>
      </c>
      <c r="F33">
        <v>1.9877800000000001</v>
      </c>
      <c r="G33">
        <v>2.38</v>
      </c>
      <c r="H33">
        <v>5</v>
      </c>
      <c r="I33">
        <v>1.91252</v>
      </c>
      <c r="J33">
        <v>5.61</v>
      </c>
      <c r="K33">
        <v>30</v>
      </c>
      <c r="L33">
        <v>1.92157</v>
      </c>
      <c r="M33">
        <v>3.96</v>
      </c>
      <c r="N33">
        <v>5</v>
      </c>
      <c r="O33">
        <v>1.7641500000000001</v>
      </c>
      <c r="P33">
        <v>6.5</v>
      </c>
    </row>
    <row r="34" spans="1:16">
      <c r="A34">
        <v>29</v>
      </c>
      <c r="B34">
        <v>714</v>
      </c>
      <c r="C34">
        <v>1.8986700000000001</v>
      </c>
      <c r="D34">
        <v>1.71</v>
      </c>
      <c r="E34">
        <v>5</v>
      </c>
      <c r="F34">
        <v>1.9898</v>
      </c>
      <c r="G34">
        <v>5.21</v>
      </c>
      <c r="H34">
        <v>5</v>
      </c>
      <c r="I34">
        <v>1.39771</v>
      </c>
      <c r="J34">
        <v>5.58</v>
      </c>
      <c r="K34">
        <v>43</v>
      </c>
      <c r="L34">
        <v>1.91279</v>
      </c>
      <c r="M34">
        <v>6.19</v>
      </c>
      <c r="N34">
        <v>5</v>
      </c>
      <c r="O34">
        <v>1.0041</v>
      </c>
      <c r="P34">
        <v>9.7200000000000006</v>
      </c>
    </row>
    <row r="35" spans="1:16">
      <c r="A35">
        <v>30</v>
      </c>
      <c r="B35">
        <v>872</v>
      </c>
      <c r="C35">
        <v>1.0971200000000001</v>
      </c>
      <c r="D35">
        <v>2.09</v>
      </c>
      <c r="E35">
        <v>5</v>
      </c>
      <c r="F35">
        <v>1.9898</v>
      </c>
      <c r="G35">
        <v>3.73</v>
      </c>
      <c r="H35">
        <v>5</v>
      </c>
      <c r="I35">
        <v>1.7641500000000001</v>
      </c>
      <c r="J35">
        <v>6.5</v>
      </c>
      <c r="K35">
        <v>16</v>
      </c>
      <c r="L35">
        <v>1.9698199999999999</v>
      </c>
      <c r="M35">
        <v>5.51</v>
      </c>
      <c r="N35">
        <v>4</v>
      </c>
      <c r="O35">
        <v>1</v>
      </c>
      <c r="P35">
        <v>7.67</v>
      </c>
    </row>
    <row r="36" spans="1:16">
      <c r="A36">
        <v>31</v>
      </c>
      <c r="B36">
        <v>882</v>
      </c>
      <c r="C36">
        <v>1.10612</v>
      </c>
      <c r="D36">
        <v>2.2200000000000002</v>
      </c>
      <c r="E36">
        <v>5</v>
      </c>
      <c r="F36">
        <v>1.9898</v>
      </c>
      <c r="G36">
        <v>3.6</v>
      </c>
      <c r="H36">
        <v>5</v>
      </c>
      <c r="I36">
        <v>1.7641500000000001</v>
      </c>
      <c r="J36">
        <v>5.13</v>
      </c>
      <c r="K36">
        <v>7</v>
      </c>
      <c r="L36">
        <v>1.9817100000000001</v>
      </c>
      <c r="M36">
        <v>7.72</v>
      </c>
      <c r="N36">
        <v>4</v>
      </c>
      <c r="O36">
        <v>1</v>
      </c>
      <c r="P36">
        <v>18.98</v>
      </c>
    </row>
    <row r="38" spans="1:16">
      <c r="C38" t="s">
        <v>4</v>
      </c>
      <c r="F38" t="s">
        <v>5</v>
      </c>
      <c r="I38" t="s">
        <v>19</v>
      </c>
      <c r="L38" t="s">
        <v>6</v>
      </c>
      <c r="O38" t="s">
        <v>6</v>
      </c>
    </row>
    <row r="39" spans="1:16">
      <c r="B39" t="s">
        <v>7</v>
      </c>
      <c r="C39" t="s">
        <v>8</v>
      </c>
      <c r="D39" t="s">
        <v>9</v>
      </c>
      <c r="E39" t="s">
        <v>7</v>
      </c>
      <c r="F39" t="s">
        <v>8</v>
      </c>
      <c r="G39" t="s">
        <v>9</v>
      </c>
      <c r="H39" t="s">
        <v>7</v>
      </c>
      <c r="I39" t="s">
        <v>8</v>
      </c>
      <c r="J39" t="s">
        <v>9</v>
      </c>
      <c r="K39" t="s">
        <v>7</v>
      </c>
      <c r="L39" t="s">
        <v>8</v>
      </c>
      <c r="M39" t="s">
        <v>10</v>
      </c>
      <c r="N39" t="s">
        <v>7</v>
      </c>
      <c r="O39" t="s">
        <v>8</v>
      </c>
      <c r="P39" t="s">
        <v>10</v>
      </c>
    </row>
    <row r="40" spans="1:16">
      <c r="A40" t="s">
        <v>11</v>
      </c>
      <c r="B40" s="1">
        <f>MAX(B5:B36)</f>
        <v>948</v>
      </c>
      <c r="C40" s="1">
        <f t="shared" ref="C40:P40" si="0">MAX(C5:C36)</f>
        <v>1.8986700000000001</v>
      </c>
      <c r="D40" s="1">
        <f t="shared" si="0"/>
        <v>5.95</v>
      </c>
      <c r="E40" s="1">
        <f t="shared" si="0"/>
        <v>10</v>
      </c>
      <c r="F40" s="1">
        <f t="shared" si="0"/>
        <v>1.9898</v>
      </c>
      <c r="G40" s="1">
        <f t="shared" si="0"/>
        <v>11.28</v>
      </c>
      <c r="H40" s="1">
        <f t="shared" si="0"/>
        <v>7</v>
      </c>
      <c r="I40" s="1">
        <f t="shared" si="0"/>
        <v>1.99387</v>
      </c>
      <c r="J40" s="1">
        <f t="shared" si="0"/>
        <v>18.43</v>
      </c>
      <c r="K40" s="1">
        <f t="shared" si="0"/>
        <v>47</v>
      </c>
      <c r="L40" s="1">
        <f t="shared" si="0"/>
        <v>1.9817100000000001</v>
      </c>
      <c r="M40" s="1">
        <f t="shared" si="0"/>
        <v>15.86</v>
      </c>
      <c r="N40" s="1">
        <f t="shared" si="0"/>
        <v>6</v>
      </c>
      <c r="O40" s="1">
        <f t="shared" si="0"/>
        <v>1.9655899999999999</v>
      </c>
      <c r="P40" s="1">
        <f t="shared" si="0"/>
        <v>18.98</v>
      </c>
    </row>
    <row r="41" spans="1:16">
      <c r="A41" t="s">
        <v>12</v>
      </c>
      <c r="B41" s="1">
        <f>MIN(B5:B36)</f>
        <v>714</v>
      </c>
      <c r="C41" s="1">
        <f t="shared" ref="C41:P41" si="1">MIN(C5:C36)</f>
        <v>1.0052300000000001</v>
      </c>
      <c r="D41" s="1">
        <f t="shared" si="1"/>
        <v>1.26</v>
      </c>
      <c r="E41" s="1">
        <f t="shared" si="1"/>
        <v>5</v>
      </c>
      <c r="F41" s="1">
        <f t="shared" si="1"/>
        <v>1.51973</v>
      </c>
      <c r="G41" s="1">
        <f t="shared" si="1"/>
        <v>2.38</v>
      </c>
      <c r="H41" s="1">
        <f t="shared" si="1"/>
        <v>4</v>
      </c>
      <c r="I41" s="1">
        <f t="shared" si="1"/>
        <v>1.39771</v>
      </c>
      <c r="J41" s="1">
        <f t="shared" si="1"/>
        <v>3.28</v>
      </c>
      <c r="K41" s="1">
        <f t="shared" si="1"/>
        <v>7</v>
      </c>
      <c r="L41" s="1">
        <f t="shared" si="1"/>
        <v>1.50508</v>
      </c>
      <c r="M41" s="1">
        <f t="shared" si="1"/>
        <v>3.57</v>
      </c>
      <c r="N41" s="1">
        <f t="shared" si="1"/>
        <v>4</v>
      </c>
      <c r="O41" s="1">
        <f t="shared" si="1"/>
        <v>1</v>
      </c>
      <c r="P41" s="1">
        <f t="shared" si="1"/>
        <v>4.91</v>
      </c>
    </row>
    <row r="42" spans="1:16">
      <c r="A42" t="s">
        <v>13</v>
      </c>
      <c r="B42" s="1">
        <f>MEDIAN(B5:B36)</f>
        <v>872</v>
      </c>
      <c r="C42" s="1">
        <f t="shared" ref="C42:P42" si="2">MEDIAN(C5:C36)</f>
        <v>1.1410499999999999</v>
      </c>
      <c r="D42" s="1">
        <f t="shared" si="2"/>
        <v>1.77</v>
      </c>
      <c r="E42" s="1">
        <f t="shared" si="2"/>
        <v>5</v>
      </c>
      <c r="F42" s="1">
        <f t="shared" si="2"/>
        <v>1.9898</v>
      </c>
      <c r="G42" s="1">
        <f t="shared" si="2"/>
        <v>3.6150000000000002</v>
      </c>
      <c r="H42" s="1">
        <f t="shared" si="2"/>
        <v>5</v>
      </c>
      <c r="I42" s="1">
        <f t="shared" si="2"/>
        <v>1.96062</v>
      </c>
      <c r="J42" s="1">
        <f t="shared" si="2"/>
        <v>4.43</v>
      </c>
      <c r="K42" s="1">
        <f t="shared" si="2"/>
        <v>16</v>
      </c>
      <c r="L42" s="1">
        <f t="shared" si="2"/>
        <v>1.9668399999999999</v>
      </c>
      <c r="M42" s="1">
        <f t="shared" si="2"/>
        <v>4.62</v>
      </c>
      <c r="N42" s="1">
        <f t="shared" si="2"/>
        <v>5</v>
      </c>
      <c r="O42" s="1">
        <f t="shared" si="2"/>
        <v>1.0041</v>
      </c>
      <c r="P42" s="1">
        <f t="shared" si="2"/>
        <v>8.2100000000000009</v>
      </c>
    </row>
    <row r="43" spans="1:16">
      <c r="A43" t="s">
        <v>14</v>
      </c>
      <c r="B43" s="1">
        <f>AVERAGE(B5:B36)</f>
        <v>837</v>
      </c>
      <c r="C43" s="1">
        <f t="shared" ref="C43:P43" si="3">AVERAGE(C5:C36)</f>
        <v>1.3444425000000002</v>
      </c>
      <c r="D43" s="1">
        <f t="shared" si="3"/>
        <v>2.5806250000000004</v>
      </c>
      <c r="E43" s="1">
        <f t="shared" si="3"/>
        <v>6.1875</v>
      </c>
      <c r="F43" s="1">
        <f t="shared" si="3"/>
        <v>1.9685693750000008</v>
      </c>
      <c r="G43" s="1">
        <f t="shared" si="3"/>
        <v>4.3621874999999992</v>
      </c>
      <c r="H43" s="1">
        <f t="shared" si="3"/>
        <v>4.96875</v>
      </c>
      <c r="I43" s="1">
        <f t="shared" si="3"/>
        <v>1.8848306250000002</v>
      </c>
      <c r="J43" s="1">
        <f t="shared" si="3"/>
        <v>5.8715624999999996</v>
      </c>
      <c r="K43" s="1">
        <f t="shared" si="3"/>
        <v>21.75</v>
      </c>
      <c r="L43" s="1">
        <f t="shared" si="3"/>
        <v>1.9328262500000002</v>
      </c>
      <c r="M43" s="1">
        <f t="shared" si="3"/>
        <v>6.1662499999999989</v>
      </c>
      <c r="N43" s="1">
        <f t="shared" si="3"/>
        <v>4.59375</v>
      </c>
      <c r="O43" s="1">
        <f t="shared" si="3"/>
        <v>1.166759375</v>
      </c>
      <c r="P43" s="1">
        <f t="shared" si="3"/>
        <v>8.4540625000000009</v>
      </c>
    </row>
    <row r="44" spans="1:16">
      <c r="A44" t="s">
        <v>15</v>
      </c>
      <c r="B44" s="1">
        <f>STDEV(B5:B36)</f>
        <v>81.160931329017828</v>
      </c>
      <c r="C44" s="1">
        <f t="shared" ref="C44:P44" si="4">STDEV(C5:C36)</f>
        <v>0.36264414033061138</v>
      </c>
      <c r="D44" s="1">
        <f t="shared" si="4"/>
        <v>1.5708389734931973</v>
      </c>
      <c r="E44" s="1">
        <f t="shared" si="4"/>
        <v>1.6151999776318522</v>
      </c>
      <c r="F44" s="1">
        <f t="shared" si="4"/>
        <v>8.5831213659754643E-2</v>
      </c>
      <c r="G44" s="1">
        <f t="shared" si="4"/>
        <v>2.2061391386749754</v>
      </c>
      <c r="H44" s="1">
        <f t="shared" si="4"/>
        <v>0.99949584065361219</v>
      </c>
      <c r="I44" s="1">
        <f t="shared" si="4"/>
        <v>0.15740164759021077</v>
      </c>
      <c r="J44" s="1">
        <f t="shared" si="4"/>
        <v>3.1804332321799875</v>
      </c>
      <c r="K44" s="1">
        <f t="shared" si="4"/>
        <v>15.485685377564121</v>
      </c>
      <c r="L44" s="1">
        <f t="shared" si="4"/>
        <v>8.6359751032452026E-2</v>
      </c>
      <c r="M44" s="1">
        <f t="shared" si="4"/>
        <v>3.2475198973787669</v>
      </c>
      <c r="N44" s="1">
        <f t="shared" si="4"/>
        <v>0.6148367210474559</v>
      </c>
      <c r="O44" s="1">
        <f t="shared" si="4"/>
        <v>0.3101679409603722</v>
      </c>
      <c r="P44" s="1">
        <f t="shared" si="4"/>
        <v>3.5917754252799767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5C73D-F5B1-0F46-A2D6-C16FF6F3CD2C}">
  <sheetPr codeName="Sheet8"/>
  <dimension ref="A1:P44"/>
  <sheetViews>
    <sheetView workbookViewId="0">
      <selection sqref="A1:P36"/>
    </sheetView>
  </sheetViews>
  <sheetFormatPr baseColWidth="10" defaultRowHeight="16"/>
  <sheetData>
    <row r="1" spans="1:16">
      <c r="A1" t="s">
        <v>0</v>
      </c>
      <c r="B1" t="s">
        <v>21</v>
      </c>
      <c r="C1" t="s">
        <v>1</v>
      </c>
      <c r="D1">
        <v>4376</v>
      </c>
    </row>
    <row r="2" spans="1:16">
      <c r="A2" t="s">
        <v>2</v>
      </c>
      <c r="B2" t="s">
        <v>3</v>
      </c>
    </row>
    <row r="3" spans="1:16">
      <c r="C3" t="s">
        <v>4</v>
      </c>
      <c r="F3" t="s">
        <v>5</v>
      </c>
      <c r="I3" t="s">
        <v>19</v>
      </c>
      <c r="L3" t="s">
        <v>6</v>
      </c>
      <c r="O3" t="s">
        <v>20</v>
      </c>
    </row>
    <row r="4" spans="1:16">
      <c r="B4" t="s">
        <v>7</v>
      </c>
      <c r="C4" t="s">
        <v>8</v>
      </c>
      <c r="D4" t="s">
        <v>9</v>
      </c>
      <c r="E4" t="s">
        <v>7</v>
      </c>
      <c r="F4" t="s">
        <v>8</v>
      </c>
      <c r="G4" t="s">
        <v>9</v>
      </c>
      <c r="H4" t="s">
        <v>7</v>
      </c>
      <c r="I4" t="s">
        <v>8</v>
      </c>
      <c r="J4" t="s">
        <v>9</v>
      </c>
      <c r="K4" t="s">
        <v>7</v>
      </c>
      <c r="L4" t="s">
        <v>8</v>
      </c>
      <c r="M4" t="s">
        <v>10</v>
      </c>
      <c r="N4" t="s">
        <v>7</v>
      </c>
      <c r="O4" t="s">
        <v>8</v>
      </c>
      <c r="P4" t="s">
        <v>10</v>
      </c>
    </row>
    <row r="5" spans="1:16">
      <c r="A5">
        <v>0</v>
      </c>
      <c r="B5">
        <v>2540</v>
      </c>
      <c r="C5">
        <v>1.1059699999999999</v>
      </c>
      <c r="D5">
        <v>22.05</v>
      </c>
      <c r="E5">
        <v>11</v>
      </c>
      <c r="F5">
        <v>1.5446599999999999</v>
      </c>
      <c r="G5">
        <v>27.67</v>
      </c>
      <c r="H5">
        <v>7</v>
      </c>
      <c r="I5">
        <v>1.77054</v>
      </c>
      <c r="J5">
        <v>18.61</v>
      </c>
      <c r="K5">
        <v>11</v>
      </c>
      <c r="L5">
        <v>1.5446599999999999</v>
      </c>
      <c r="M5">
        <v>27.08</v>
      </c>
      <c r="N5">
        <v>6</v>
      </c>
      <c r="O5">
        <v>1</v>
      </c>
      <c r="P5">
        <v>32.93</v>
      </c>
    </row>
    <row r="6" spans="1:16">
      <c r="A6">
        <v>1</v>
      </c>
      <c r="B6">
        <v>2288</v>
      </c>
      <c r="C6">
        <v>1.3868199999999999</v>
      </c>
      <c r="D6">
        <v>17.399999999999999</v>
      </c>
      <c r="E6">
        <v>5</v>
      </c>
      <c r="F6">
        <v>1.99658</v>
      </c>
      <c r="G6">
        <v>14.08</v>
      </c>
      <c r="H6">
        <v>5</v>
      </c>
      <c r="I6">
        <v>1.76753</v>
      </c>
      <c r="J6">
        <v>14.64</v>
      </c>
      <c r="K6">
        <v>68</v>
      </c>
      <c r="L6">
        <v>1.9450000000000001</v>
      </c>
      <c r="M6">
        <v>25.65</v>
      </c>
      <c r="N6">
        <v>4</v>
      </c>
      <c r="O6">
        <v>1</v>
      </c>
      <c r="P6">
        <v>49.03</v>
      </c>
    </row>
    <row r="7" spans="1:16">
      <c r="A7">
        <v>2</v>
      </c>
      <c r="B7">
        <v>2680</v>
      </c>
      <c r="C7">
        <v>1.0114000000000001</v>
      </c>
      <c r="D7">
        <v>13.83</v>
      </c>
      <c r="E7">
        <v>9</v>
      </c>
      <c r="F7">
        <v>1.99522</v>
      </c>
      <c r="G7">
        <v>31.16</v>
      </c>
      <c r="H7">
        <v>7</v>
      </c>
      <c r="I7">
        <v>1.92005</v>
      </c>
      <c r="J7">
        <v>22.29</v>
      </c>
      <c r="K7">
        <v>56</v>
      </c>
      <c r="L7">
        <v>1.8667499999999999</v>
      </c>
      <c r="M7">
        <v>17.39</v>
      </c>
      <c r="N7">
        <v>5</v>
      </c>
      <c r="O7">
        <v>1.39923</v>
      </c>
      <c r="P7">
        <v>26.1</v>
      </c>
    </row>
    <row r="8" spans="1:16">
      <c r="A8">
        <v>3</v>
      </c>
      <c r="B8">
        <v>2540</v>
      </c>
      <c r="C8">
        <v>1.1059699999999999</v>
      </c>
      <c r="D8">
        <v>6</v>
      </c>
      <c r="E8">
        <v>10</v>
      </c>
      <c r="F8">
        <v>1.99386</v>
      </c>
      <c r="G8">
        <v>17.62</v>
      </c>
      <c r="H8">
        <v>7</v>
      </c>
      <c r="I8">
        <v>1.75834</v>
      </c>
      <c r="J8">
        <v>17.02</v>
      </c>
      <c r="K8">
        <v>11</v>
      </c>
      <c r="L8">
        <v>1.9924999999999999</v>
      </c>
      <c r="M8">
        <v>33.58</v>
      </c>
      <c r="N8">
        <v>5</v>
      </c>
      <c r="O8">
        <v>1.39923</v>
      </c>
      <c r="P8">
        <v>46.29</v>
      </c>
    </row>
    <row r="9" spans="1:16">
      <c r="A9">
        <v>4</v>
      </c>
      <c r="B9">
        <v>2300</v>
      </c>
      <c r="C9">
        <v>1.24177</v>
      </c>
      <c r="D9">
        <v>12.53</v>
      </c>
      <c r="E9">
        <v>5</v>
      </c>
      <c r="F9">
        <v>1.99658</v>
      </c>
      <c r="G9">
        <v>28.06</v>
      </c>
      <c r="H9">
        <v>5</v>
      </c>
      <c r="I9">
        <v>1.76753</v>
      </c>
      <c r="J9">
        <v>15.33</v>
      </c>
      <c r="K9">
        <v>92</v>
      </c>
      <c r="L9">
        <v>1.93947</v>
      </c>
      <c r="M9">
        <v>15.66</v>
      </c>
      <c r="N9">
        <v>4</v>
      </c>
      <c r="O9">
        <v>1</v>
      </c>
      <c r="P9">
        <v>23.97</v>
      </c>
    </row>
    <row r="10" spans="1:16">
      <c r="A10">
        <v>5</v>
      </c>
      <c r="B10">
        <v>2300</v>
      </c>
      <c r="C10">
        <v>1.24177</v>
      </c>
      <c r="D10">
        <v>6.11</v>
      </c>
      <c r="E10">
        <v>10</v>
      </c>
      <c r="F10">
        <v>1.99386</v>
      </c>
      <c r="G10">
        <v>13.02</v>
      </c>
      <c r="H10">
        <v>7</v>
      </c>
      <c r="I10">
        <v>1.8873500000000001</v>
      </c>
      <c r="J10">
        <v>21.67</v>
      </c>
      <c r="K10">
        <v>99</v>
      </c>
      <c r="L10">
        <v>1.89832</v>
      </c>
      <c r="M10">
        <v>38.17</v>
      </c>
      <c r="N10">
        <v>5</v>
      </c>
      <c r="O10">
        <v>1.76753</v>
      </c>
      <c r="P10">
        <v>51.64</v>
      </c>
    </row>
    <row r="11" spans="1:16">
      <c r="A11">
        <v>6</v>
      </c>
      <c r="B11">
        <v>2368</v>
      </c>
      <c r="C11">
        <v>1.2737700000000001</v>
      </c>
      <c r="D11">
        <v>8.85</v>
      </c>
      <c r="E11">
        <v>9</v>
      </c>
      <c r="F11">
        <v>1.99522</v>
      </c>
      <c r="G11">
        <v>21.1</v>
      </c>
      <c r="H11">
        <v>7</v>
      </c>
      <c r="I11">
        <v>1.9735400000000001</v>
      </c>
      <c r="J11">
        <v>17.62</v>
      </c>
      <c r="K11">
        <v>67</v>
      </c>
      <c r="L11">
        <v>1.9001300000000001</v>
      </c>
      <c r="M11">
        <v>16.48</v>
      </c>
      <c r="N11">
        <v>5</v>
      </c>
      <c r="O11">
        <v>1.39923</v>
      </c>
      <c r="P11">
        <v>27.5</v>
      </c>
    </row>
    <row r="12" spans="1:16">
      <c r="A12">
        <v>7</v>
      </c>
      <c r="B12">
        <v>2748</v>
      </c>
      <c r="C12">
        <v>1.01471</v>
      </c>
      <c r="D12">
        <v>6.18</v>
      </c>
      <c r="E12">
        <v>9</v>
      </c>
      <c r="F12">
        <v>1.99522</v>
      </c>
      <c r="G12">
        <v>15.1</v>
      </c>
      <c r="H12">
        <v>7</v>
      </c>
      <c r="I12">
        <v>1.98366</v>
      </c>
      <c r="J12">
        <v>42.03</v>
      </c>
      <c r="K12">
        <v>31</v>
      </c>
      <c r="L12">
        <v>1.9676800000000001</v>
      </c>
      <c r="M12">
        <v>44.96</v>
      </c>
      <c r="N12">
        <v>5</v>
      </c>
      <c r="O12">
        <v>1.9167799999999999</v>
      </c>
      <c r="P12">
        <v>40.549999999999997</v>
      </c>
    </row>
    <row r="13" spans="1:16">
      <c r="A13">
        <v>8</v>
      </c>
      <c r="B13">
        <v>2300</v>
      </c>
      <c r="C13">
        <v>1.24177</v>
      </c>
      <c r="D13">
        <v>5.76</v>
      </c>
      <c r="E13">
        <v>5</v>
      </c>
      <c r="F13">
        <v>1.99658</v>
      </c>
      <c r="G13">
        <v>12.05</v>
      </c>
      <c r="H13">
        <v>4</v>
      </c>
      <c r="I13">
        <v>1.9979499999999999</v>
      </c>
      <c r="J13">
        <v>18.52</v>
      </c>
      <c r="K13">
        <v>101</v>
      </c>
      <c r="L13">
        <v>1.92232</v>
      </c>
      <c r="M13">
        <v>16.809999999999999</v>
      </c>
      <c r="N13">
        <v>4</v>
      </c>
      <c r="O13">
        <v>1</v>
      </c>
      <c r="P13">
        <v>24.29</v>
      </c>
    </row>
    <row r="14" spans="1:16">
      <c r="A14">
        <v>9</v>
      </c>
      <c r="B14">
        <v>2402</v>
      </c>
      <c r="C14">
        <v>1.2852300000000001</v>
      </c>
      <c r="D14">
        <v>14.26</v>
      </c>
      <c r="E14">
        <v>5</v>
      </c>
      <c r="F14">
        <v>1.99658</v>
      </c>
      <c r="G14">
        <v>33.01</v>
      </c>
      <c r="H14">
        <v>4</v>
      </c>
      <c r="I14">
        <v>1.9979499999999999</v>
      </c>
      <c r="J14">
        <v>35.979999999999997</v>
      </c>
      <c r="K14">
        <v>46</v>
      </c>
      <c r="L14">
        <v>1.9677899999999999</v>
      </c>
      <c r="M14">
        <v>30.15</v>
      </c>
      <c r="N14">
        <v>4</v>
      </c>
      <c r="O14">
        <v>1</v>
      </c>
      <c r="P14">
        <v>39.36</v>
      </c>
    </row>
    <row r="15" spans="1:16">
      <c r="A15">
        <v>10</v>
      </c>
      <c r="B15">
        <v>2354</v>
      </c>
      <c r="C15">
        <v>1.45262</v>
      </c>
      <c r="D15">
        <v>5.91</v>
      </c>
      <c r="E15">
        <v>5</v>
      </c>
      <c r="F15">
        <v>1.99658</v>
      </c>
      <c r="G15">
        <v>12.72</v>
      </c>
      <c r="H15">
        <v>4</v>
      </c>
      <c r="I15">
        <v>1.9979499999999999</v>
      </c>
      <c r="J15">
        <v>16.61</v>
      </c>
      <c r="K15">
        <v>43</v>
      </c>
      <c r="L15">
        <v>1.96976</v>
      </c>
      <c r="M15">
        <v>16.7</v>
      </c>
      <c r="N15">
        <v>4</v>
      </c>
      <c r="O15">
        <v>1</v>
      </c>
      <c r="P15">
        <v>59.89</v>
      </c>
    </row>
    <row r="16" spans="1:16">
      <c r="A16">
        <v>11</v>
      </c>
      <c r="B16">
        <v>2540</v>
      </c>
      <c r="C16">
        <v>1.1059699999999999</v>
      </c>
      <c r="D16">
        <v>10.59</v>
      </c>
      <c r="E16">
        <v>11</v>
      </c>
      <c r="F16">
        <v>1.5625</v>
      </c>
      <c r="G16">
        <v>29.49</v>
      </c>
      <c r="H16">
        <v>7</v>
      </c>
      <c r="I16">
        <v>1.79172</v>
      </c>
      <c r="J16">
        <v>31.84</v>
      </c>
      <c r="K16">
        <v>11</v>
      </c>
      <c r="L16">
        <v>1.5625</v>
      </c>
      <c r="M16">
        <v>17.68</v>
      </c>
      <c r="N16">
        <v>6</v>
      </c>
      <c r="O16">
        <v>1</v>
      </c>
      <c r="P16">
        <v>24.75</v>
      </c>
    </row>
    <row r="17" spans="1:16">
      <c r="A17">
        <v>12</v>
      </c>
      <c r="B17">
        <v>2368</v>
      </c>
      <c r="C17">
        <v>1.2737700000000001</v>
      </c>
      <c r="D17">
        <v>7.71</v>
      </c>
      <c r="E17">
        <v>9</v>
      </c>
      <c r="F17">
        <v>1.99522</v>
      </c>
      <c r="G17">
        <v>11.99</v>
      </c>
      <c r="H17">
        <v>7</v>
      </c>
      <c r="I17">
        <v>1.9735400000000001</v>
      </c>
      <c r="J17">
        <v>16.73</v>
      </c>
      <c r="K17">
        <v>67</v>
      </c>
      <c r="L17">
        <v>1.9001300000000001</v>
      </c>
      <c r="M17">
        <v>35.28</v>
      </c>
      <c r="N17">
        <v>5</v>
      </c>
      <c r="O17">
        <v>1.39923</v>
      </c>
      <c r="P17">
        <v>48.69</v>
      </c>
    </row>
    <row r="18" spans="1:16">
      <c r="A18">
        <v>13</v>
      </c>
      <c r="B18">
        <v>2342</v>
      </c>
      <c r="C18">
        <v>1.44825</v>
      </c>
      <c r="D18">
        <v>11.69</v>
      </c>
      <c r="E18">
        <v>5</v>
      </c>
      <c r="F18">
        <v>1.99658</v>
      </c>
      <c r="G18">
        <v>21.28</v>
      </c>
      <c r="H18">
        <v>4</v>
      </c>
      <c r="I18">
        <v>1.9979499999999999</v>
      </c>
      <c r="J18">
        <v>19.309999999999999</v>
      </c>
      <c r="K18">
        <v>46</v>
      </c>
      <c r="L18">
        <v>1.9677899999999999</v>
      </c>
      <c r="M18">
        <v>16.75</v>
      </c>
      <c r="N18">
        <v>4</v>
      </c>
      <c r="O18">
        <v>1</v>
      </c>
      <c r="P18">
        <v>23.22</v>
      </c>
    </row>
    <row r="19" spans="1:16">
      <c r="A19">
        <v>14</v>
      </c>
      <c r="B19">
        <v>2540</v>
      </c>
      <c r="C19">
        <v>1.1059699999999999</v>
      </c>
      <c r="D19">
        <v>6.02</v>
      </c>
      <c r="E19">
        <v>11</v>
      </c>
      <c r="F19">
        <v>1.52271</v>
      </c>
      <c r="G19">
        <v>14.25</v>
      </c>
      <c r="H19">
        <v>7</v>
      </c>
      <c r="I19">
        <v>1.7445200000000001</v>
      </c>
      <c r="J19">
        <v>36.32</v>
      </c>
      <c r="K19">
        <v>11</v>
      </c>
      <c r="L19">
        <v>1.52271</v>
      </c>
      <c r="M19">
        <v>35.840000000000003</v>
      </c>
      <c r="N19">
        <v>6</v>
      </c>
      <c r="O19">
        <v>1</v>
      </c>
      <c r="P19">
        <v>50.73</v>
      </c>
    </row>
    <row r="20" spans="1:16">
      <c r="A20">
        <v>15</v>
      </c>
      <c r="B20">
        <v>2540</v>
      </c>
      <c r="C20">
        <v>1.1059699999999999</v>
      </c>
      <c r="D20">
        <v>7.84</v>
      </c>
      <c r="E20">
        <v>10</v>
      </c>
      <c r="F20">
        <v>1.83883</v>
      </c>
      <c r="G20">
        <v>16.489999999999998</v>
      </c>
      <c r="H20">
        <v>7</v>
      </c>
      <c r="I20">
        <v>1.7565999999999999</v>
      </c>
      <c r="J20">
        <v>14.83</v>
      </c>
      <c r="K20">
        <v>13</v>
      </c>
      <c r="L20">
        <v>1.83527</v>
      </c>
      <c r="M20">
        <v>15.26</v>
      </c>
      <c r="N20">
        <v>5</v>
      </c>
      <c r="O20">
        <v>1.39923</v>
      </c>
      <c r="P20">
        <v>23.8</v>
      </c>
    </row>
    <row r="21" spans="1:16">
      <c r="A21">
        <v>16</v>
      </c>
      <c r="B21">
        <v>2368</v>
      </c>
      <c r="C21">
        <v>1.2737700000000001</v>
      </c>
      <c r="D21">
        <v>5.69</v>
      </c>
      <c r="E21">
        <v>9</v>
      </c>
      <c r="F21">
        <v>1.99522</v>
      </c>
      <c r="G21">
        <v>12.37</v>
      </c>
      <c r="H21">
        <v>7</v>
      </c>
      <c r="I21">
        <v>1.9735400000000001</v>
      </c>
      <c r="J21">
        <v>19.260000000000002</v>
      </c>
      <c r="K21">
        <v>67</v>
      </c>
      <c r="L21">
        <v>1.9001300000000001</v>
      </c>
      <c r="M21">
        <v>33.31</v>
      </c>
      <c r="N21">
        <v>5</v>
      </c>
      <c r="O21">
        <v>1.39923</v>
      </c>
      <c r="P21">
        <v>52.17</v>
      </c>
    </row>
    <row r="22" spans="1:16">
      <c r="A22">
        <v>17</v>
      </c>
      <c r="B22">
        <v>2540</v>
      </c>
      <c r="C22">
        <v>1.1059699999999999</v>
      </c>
      <c r="D22">
        <v>13.81</v>
      </c>
      <c r="E22">
        <v>9</v>
      </c>
      <c r="F22">
        <v>1.54203</v>
      </c>
      <c r="G22">
        <v>26.8</v>
      </c>
      <c r="H22">
        <v>5</v>
      </c>
      <c r="I22">
        <v>1.76753</v>
      </c>
      <c r="J22">
        <v>19.21</v>
      </c>
      <c r="K22">
        <v>14</v>
      </c>
      <c r="L22">
        <v>1.5449299999999999</v>
      </c>
      <c r="M22">
        <v>16.190000000000001</v>
      </c>
      <c r="N22">
        <v>6</v>
      </c>
      <c r="O22">
        <v>1</v>
      </c>
      <c r="P22">
        <v>24.91</v>
      </c>
    </row>
    <row r="23" spans="1:16">
      <c r="A23">
        <v>18</v>
      </c>
      <c r="B23">
        <v>2300</v>
      </c>
      <c r="C23">
        <v>1.24177</v>
      </c>
      <c r="D23">
        <v>5.67</v>
      </c>
      <c r="E23">
        <v>10</v>
      </c>
      <c r="F23">
        <v>1.7936300000000001</v>
      </c>
      <c r="G23">
        <v>12.23</v>
      </c>
      <c r="H23">
        <v>6</v>
      </c>
      <c r="I23">
        <v>1.69828</v>
      </c>
      <c r="J23">
        <v>26.11</v>
      </c>
      <c r="K23">
        <v>90</v>
      </c>
      <c r="L23">
        <v>1.7449300000000001</v>
      </c>
      <c r="M23">
        <v>20.87</v>
      </c>
      <c r="N23">
        <v>6</v>
      </c>
      <c r="O23">
        <v>1.24949</v>
      </c>
      <c r="P23">
        <v>60.6</v>
      </c>
    </row>
    <row r="24" spans="1:16">
      <c r="A24">
        <v>19</v>
      </c>
      <c r="B24">
        <v>2300</v>
      </c>
      <c r="C24">
        <v>1.24177</v>
      </c>
      <c r="D24">
        <v>9.76</v>
      </c>
      <c r="E24">
        <v>12</v>
      </c>
      <c r="F24">
        <v>1.7825</v>
      </c>
      <c r="G24">
        <v>16.149999999999999</v>
      </c>
      <c r="H24">
        <v>8</v>
      </c>
      <c r="I24">
        <v>1.6879200000000001</v>
      </c>
      <c r="J24">
        <v>20.28</v>
      </c>
      <c r="K24">
        <v>101</v>
      </c>
      <c r="L24">
        <v>1.7232400000000001</v>
      </c>
      <c r="M24">
        <v>15.85</v>
      </c>
      <c r="N24">
        <v>6</v>
      </c>
      <c r="O24">
        <v>1.24949</v>
      </c>
      <c r="P24">
        <v>28.1</v>
      </c>
    </row>
    <row r="25" spans="1:16">
      <c r="A25">
        <v>20</v>
      </c>
      <c r="B25">
        <v>2342</v>
      </c>
      <c r="C25">
        <v>1.44825</v>
      </c>
      <c r="D25">
        <v>9.92</v>
      </c>
      <c r="E25">
        <v>5</v>
      </c>
      <c r="F25">
        <v>1.99658</v>
      </c>
      <c r="G25">
        <v>35.22</v>
      </c>
      <c r="H25">
        <v>5</v>
      </c>
      <c r="I25">
        <v>1.76753</v>
      </c>
      <c r="J25">
        <v>35.26</v>
      </c>
      <c r="K25">
        <v>46</v>
      </c>
      <c r="L25">
        <v>1.9677899999999999</v>
      </c>
      <c r="M25">
        <v>32.94</v>
      </c>
      <c r="N25">
        <v>4</v>
      </c>
      <c r="O25">
        <v>1</v>
      </c>
      <c r="P25">
        <v>29.37</v>
      </c>
    </row>
    <row r="26" spans="1:16">
      <c r="A26">
        <v>21</v>
      </c>
      <c r="B26">
        <v>2326</v>
      </c>
      <c r="C26">
        <v>1.43709</v>
      </c>
      <c r="D26">
        <v>5.7</v>
      </c>
      <c r="E26">
        <v>5</v>
      </c>
      <c r="F26">
        <v>1.99658</v>
      </c>
      <c r="G26">
        <v>12.47</v>
      </c>
      <c r="H26">
        <v>5</v>
      </c>
      <c r="I26">
        <v>1.76753</v>
      </c>
      <c r="J26">
        <v>15.6</v>
      </c>
      <c r="K26">
        <v>46</v>
      </c>
      <c r="L26">
        <v>1.9677899999999999</v>
      </c>
      <c r="M26">
        <v>15.02</v>
      </c>
      <c r="N26">
        <v>4</v>
      </c>
      <c r="O26">
        <v>1</v>
      </c>
      <c r="P26">
        <v>26.43</v>
      </c>
    </row>
    <row r="27" spans="1:16">
      <c r="A27">
        <v>22</v>
      </c>
      <c r="B27">
        <v>2300</v>
      </c>
      <c r="C27">
        <v>1.24177</v>
      </c>
      <c r="D27">
        <v>17.649999999999999</v>
      </c>
      <c r="E27">
        <v>7</v>
      </c>
      <c r="F27">
        <v>1.9959</v>
      </c>
      <c r="G27">
        <v>28.38</v>
      </c>
      <c r="H27">
        <v>5</v>
      </c>
      <c r="I27">
        <v>1.9167799999999999</v>
      </c>
      <c r="J27">
        <v>35.19</v>
      </c>
      <c r="K27">
        <v>92</v>
      </c>
      <c r="L27">
        <v>1.8242700000000001</v>
      </c>
      <c r="M27">
        <v>31.76</v>
      </c>
      <c r="N27">
        <v>5</v>
      </c>
      <c r="O27">
        <v>1.39923</v>
      </c>
      <c r="P27">
        <v>22.81</v>
      </c>
    </row>
    <row r="28" spans="1:16">
      <c r="A28">
        <v>23</v>
      </c>
      <c r="B28">
        <v>2354</v>
      </c>
      <c r="C28">
        <v>1.45262</v>
      </c>
      <c r="D28">
        <v>5.87</v>
      </c>
      <c r="E28">
        <v>5</v>
      </c>
      <c r="F28">
        <v>1.99658</v>
      </c>
      <c r="G28">
        <v>21.21</v>
      </c>
      <c r="H28">
        <v>4</v>
      </c>
      <c r="I28">
        <v>1.9979499999999999</v>
      </c>
      <c r="J28">
        <v>19.78</v>
      </c>
      <c r="K28">
        <v>43</v>
      </c>
      <c r="L28">
        <v>1.96976</v>
      </c>
      <c r="M28">
        <v>16.010000000000002</v>
      </c>
      <c r="N28">
        <v>4</v>
      </c>
      <c r="O28">
        <v>1</v>
      </c>
      <c r="P28">
        <v>44.56</v>
      </c>
    </row>
    <row r="29" spans="1:16">
      <c r="A29">
        <v>24</v>
      </c>
      <c r="B29">
        <v>2292</v>
      </c>
      <c r="C29">
        <v>1.51433</v>
      </c>
      <c r="D29">
        <v>16.420000000000002</v>
      </c>
      <c r="E29">
        <v>8</v>
      </c>
      <c r="F29">
        <v>1.85046</v>
      </c>
      <c r="G29">
        <v>31.4</v>
      </c>
      <c r="H29">
        <v>8</v>
      </c>
      <c r="I29">
        <v>1.7782</v>
      </c>
      <c r="J29">
        <v>29.54</v>
      </c>
      <c r="K29">
        <v>33</v>
      </c>
      <c r="L29">
        <v>1.81366</v>
      </c>
      <c r="M29">
        <v>17.510000000000002</v>
      </c>
      <c r="N29">
        <v>5</v>
      </c>
      <c r="O29">
        <v>1.39923</v>
      </c>
      <c r="P29">
        <v>22.92</v>
      </c>
    </row>
    <row r="30" spans="1:16">
      <c r="A30">
        <v>25</v>
      </c>
      <c r="B30">
        <v>2288</v>
      </c>
      <c r="C30">
        <v>1.3868199999999999</v>
      </c>
      <c r="D30">
        <v>5.63</v>
      </c>
      <c r="E30">
        <v>10</v>
      </c>
      <c r="F30">
        <v>1.8425100000000001</v>
      </c>
      <c r="G30">
        <v>12.09</v>
      </c>
      <c r="H30">
        <v>6</v>
      </c>
      <c r="I30">
        <v>1.7438899999999999</v>
      </c>
      <c r="J30">
        <v>14.77</v>
      </c>
      <c r="K30">
        <v>68</v>
      </c>
      <c r="L30">
        <v>1.7967299999999999</v>
      </c>
      <c r="M30">
        <v>15.15</v>
      </c>
      <c r="N30">
        <v>6</v>
      </c>
      <c r="O30">
        <v>1.15968</v>
      </c>
      <c r="P30">
        <v>22.36</v>
      </c>
    </row>
    <row r="31" spans="1:16">
      <c r="A31">
        <v>26</v>
      </c>
      <c r="B31">
        <v>2540</v>
      </c>
      <c r="C31">
        <v>1.1059699999999999</v>
      </c>
      <c r="D31">
        <v>5.81</v>
      </c>
      <c r="E31">
        <v>9</v>
      </c>
      <c r="F31">
        <v>1.54203</v>
      </c>
      <c r="G31">
        <v>13.72</v>
      </c>
      <c r="H31">
        <v>5</v>
      </c>
      <c r="I31">
        <v>1.76753</v>
      </c>
      <c r="J31">
        <v>38.619999999999997</v>
      </c>
      <c r="K31">
        <v>11</v>
      </c>
      <c r="L31">
        <v>1.5431900000000001</v>
      </c>
      <c r="M31">
        <v>37.96</v>
      </c>
      <c r="N31">
        <v>6</v>
      </c>
      <c r="O31">
        <v>1</v>
      </c>
      <c r="P31">
        <v>46.04</v>
      </c>
    </row>
    <row r="32" spans="1:16">
      <c r="A32">
        <v>27</v>
      </c>
      <c r="B32">
        <v>2680</v>
      </c>
      <c r="C32">
        <v>1.0114000000000001</v>
      </c>
      <c r="D32">
        <v>5.77</v>
      </c>
      <c r="E32">
        <v>10</v>
      </c>
      <c r="F32">
        <v>1.98367</v>
      </c>
      <c r="G32">
        <v>12.71</v>
      </c>
      <c r="H32">
        <v>7</v>
      </c>
      <c r="I32">
        <v>1.89307</v>
      </c>
      <c r="J32">
        <v>14.95</v>
      </c>
      <c r="K32">
        <v>63</v>
      </c>
      <c r="L32">
        <v>1.94754</v>
      </c>
      <c r="M32">
        <v>14.92</v>
      </c>
      <c r="N32">
        <v>5</v>
      </c>
      <c r="O32">
        <v>1.76753</v>
      </c>
      <c r="P32">
        <v>22.71</v>
      </c>
    </row>
    <row r="33" spans="1:16">
      <c r="A33">
        <v>28</v>
      </c>
      <c r="B33">
        <v>2300</v>
      </c>
      <c r="C33">
        <v>1.24177</v>
      </c>
      <c r="D33">
        <v>11.3</v>
      </c>
      <c r="E33">
        <v>5</v>
      </c>
      <c r="F33">
        <v>1.99658</v>
      </c>
      <c r="G33">
        <v>26.25</v>
      </c>
      <c r="H33">
        <v>4</v>
      </c>
      <c r="I33">
        <v>1.9979499999999999</v>
      </c>
      <c r="J33">
        <v>36.39</v>
      </c>
      <c r="K33">
        <v>102</v>
      </c>
      <c r="L33">
        <v>1.9268000000000001</v>
      </c>
      <c r="M33">
        <v>37.25</v>
      </c>
      <c r="N33">
        <v>4</v>
      </c>
      <c r="O33">
        <v>1</v>
      </c>
      <c r="P33">
        <v>45</v>
      </c>
    </row>
    <row r="34" spans="1:16">
      <c r="A34">
        <v>29</v>
      </c>
      <c r="B34">
        <v>2340</v>
      </c>
      <c r="C34">
        <v>1.4874099999999999</v>
      </c>
      <c r="D34">
        <v>5.94</v>
      </c>
      <c r="E34">
        <v>5</v>
      </c>
      <c r="F34">
        <v>1.99658</v>
      </c>
      <c r="G34">
        <v>12.39</v>
      </c>
      <c r="H34">
        <v>4</v>
      </c>
      <c r="I34">
        <v>1.9979499999999999</v>
      </c>
      <c r="J34">
        <v>16.14</v>
      </c>
      <c r="K34">
        <v>7</v>
      </c>
      <c r="L34">
        <v>1.9938499999999999</v>
      </c>
      <c r="M34">
        <v>15.18</v>
      </c>
      <c r="N34">
        <v>5</v>
      </c>
      <c r="O34">
        <v>1.0013700000000001</v>
      </c>
      <c r="P34">
        <v>29.64</v>
      </c>
    </row>
    <row r="35" spans="1:16">
      <c r="A35">
        <v>30</v>
      </c>
      <c r="B35">
        <v>2354</v>
      </c>
      <c r="C35">
        <v>1.45262</v>
      </c>
      <c r="D35">
        <v>13.82</v>
      </c>
      <c r="E35">
        <v>5</v>
      </c>
      <c r="F35">
        <v>1.99658</v>
      </c>
      <c r="G35">
        <v>23.74</v>
      </c>
      <c r="H35">
        <v>5</v>
      </c>
      <c r="I35">
        <v>1.76753</v>
      </c>
      <c r="J35">
        <v>32.049999999999997</v>
      </c>
      <c r="K35">
        <v>43</v>
      </c>
      <c r="L35">
        <v>1.96976</v>
      </c>
      <c r="M35">
        <v>31.02</v>
      </c>
      <c r="N35">
        <v>4</v>
      </c>
      <c r="O35">
        <v>1</v>
      </c>
      <c r="P35">
        <v>26.48</v>
      </c>
    </row>
    <row r="36" spans="1:16">
      <c r="A36">
        <v>31</v>
      </c>
      <c r="B36">
        <v>2368</v>
      </c>
      <c r="C36">
        <v>1.2737700000000001</v>
      </c>
      <c r="D36">
        <v>5.73</v>
      </c>
      <c r="E36">
        <v>9</v>
      </c>
      <c r="F36">
        <v>1.99522</v>
      </c>
      <c r="G36">
        <v>12.13</v>
      </c>
      <c r="H36">
        <v>7</v>
      </c>
      <c r="I36">
        <v>1.98366</v>
      </c>
      <c r="J36">
        <v>14.52</v>
      </c>
      <c r="K36">
        <v>67</v>
      </c>
      <c r="L36">
        <v>1.9211</v>
      </c>
      <c r="M36">
        <v>15.09</v>
      </c>
      <c r="N36">
        <v>5</v>
      </c>
      <c r="O36">
        <v>1.9167799999999999</v>
      </c>
      <c r="P36">
        <v>22.53</v>
      </c>
    </row>
    <row r="38" spans="1:16">
      <c r="C38" t="s">
        <v>4</v>
      </c>
      <c r="F38" t="s">
        <v>5</v>
      </c>
      <c r="I38" t="s">
        <v>19</v>
      </c>
      <c r="L38" t="s">
        <v>6</v>
      </c>
      <c r="O38" t="s">
        <v>6</v>
      </c>
    </row>
    <row r="39" spans="1:16">
      <c r="B39" t="s">
        <v>7</v>
      </c>
      <c r="C39" t="s">
        <v>8</v>
      </c>
      <c r="D39" t="s">
        <v>9</v>
      </c>
      <c r="E39" t="s">
        <v>7</v>
      </c>
      <c r="F39" t="s">
        <v>8</v>
      </c>
      <c r="G39" t="s">
        <v>9</v>
      </c>
      <c r="H39" t="s">
        <v>7</v>
      </c>
      <c r="I39" t="s">
        <v>8</v>
      </c>
      <c r="J39" t="s">
        <v>9</v>
      </c>
      <c r="K39" t="s">
        <v>7</v>
      </c>
      <c r="L39" t="s">
        <v>8</v>
      </c>
      <c r="M39" t="s">
        <v>10</v>
      </c>
      <c r="N39" t="s">
        <v>7</v>
      </c>
      <c r="O39" t="s">
        <v>8</v>
      </c>
      <c r="P39" t="s">
        <v>10</v>
      </c>
    </row>
    <row r="40" spans="1:16">
      <c r="A40" t="s">
        <v>11</v>
      </c>
      <c r="B40" s="1">
        <f>MAX(B5:B36)</f>
        <v>2748</v>
      </c>
      <c r="C40" s="1">
        <f t="shared" ref="C40:P40" si="0">MAX(C5:C36)</f>
        <v>1.51433</v>
      </c>
      <c r="D40" s="1">
        <f t="shared" si="0"/>
        <v>22.05</v>
      </c>
      <c r="E40" s="1">
        <f t="shared" si="0"/>
        <v>12</v>
      </c>
      <c r="F40" s="1">
        <f t="shared" si="0"/>
        <v>1.99658</v>
      </c>
      <c r="G40" s="1">
        <f t="shared" si="0"/>
        <v>35.22</v>
      </c>
      <c r="H40" s="1">
        <f t="shared" si="0"/>
        <v>8</v>
      </c>
      <c r="I40" s="1">
        <f t="shared" si="0"/>
        <v>1.9979499999999999</v>
      </c>
      <c r="J40" s="1">
        <f t="shared" si="0"/>
        <v>42.03</v>
      </c>
      <c r="K40" s="1">
        <f t="shared" si="0"/>
        <v>102</v>
      </c>
      <c r="L40" s="1">
        <f t="shared" si="0"/>
        <v>1.9938499999999999</v>
      </c>
      <c r="M40" s="1">
        <f t="shared" si="0"/>
        <v>44.96</v>
      </c>
      <c r="N40" s="1">
        <f t="shared" si="0"/>
        <v>6</v>
      </c>
      <c r="O40" s="1">
        <f t="shared" si="0"/>
        <v>1.9167799999999999</v>
      </c>
      <c r="P40" s="1">
        <f t="shared" si="0"/>
        <v>60.6</v>
      </c>
    </row>
    <row r="41" spans="1:16">
      <c r="A41" t="s">
        <v>12</v>
      </c>
      <c r="B41" s="1">
        <f>MIN(B5:B36)</f>
        <v>2288</v>
      </c>
      <c r="C41" s="1">
        <f t="shared" ref="C41:P41" si="1">MIN(C5:C36)</f>
        <v>1.0114000000000001</v>
      </c>
      <c r="D41" s="1">
        <f t="shared" si="1"/>
        <v>5.63</v>
      </c>
      <c r="E41" s="1">
        <f t="shared" si="1"/>
        <v>5</v>
      </c>
      <c r="F41" s="1">
        <f t="shared" si="1"/>
        <v>1.52271</v>
      </c>
      <c r="G41" s="1">
        <f t="shared" si="1"/>
        <v>11.99</v>
      </c>
      <c r="H41" s="1">
        <f t="shared" si="1"/>
        <v>4</v>
      </c>
      <c r="I41" s="1">
        <f t="shared" si="1"/>
        <v>1.6879200000000001</v>
      </c>
      <c r="J41" s="1">
        <f t="shared" si="1"/>
        <v>14.52</v>
      </c>
      <c r="K41" s="1">
        <f t="shared" si="1"/>
        <v>7</v>
      </c>
      <c r="L41" s="1">
        <f t="shared" si="1"/>
        <v>1.52271</v>
      </c>
      <c r="M41" s="1">
        <f t="shared" si="1"/>
        <v>14.92</v>
      </c>
      <c r="N41" s="1">
        <f t="shared" si="1"/>
        <v>4</v>
      </c>
      <c r="O41" s="1">
        <f t="shared" si="1"/>
        <v>1</v>
      </c>
      <c r="P41" s="1">
        <f t="shared" si="1"/>
        <v>22.36</v>
      </c>
    </row>
    <row r="42" spans="1:16">
      <c r="A42" t="s">
        <v>13</v>
      </c>
      <c r="B42" s="1">
        <f>MEDIAN(B5:B36)</f>
        <v>2354</v>
      </c>
      <c r="C42" s="1">
        <f t="shared" ref="C42:P42" si="2">MEDIAN(C5:C36)</f>
        <v>1.24177</v>
      </c>
      <c r="D42" s="1">
        <f t="shared" si="2"/>
        <v>7.7750000000000004</v>
      </c>
      <c r="E42" s="1">
        <f t="shared" si="2"/>
        <v>9</v>
      </c>
      <c r="F42" s="1">
        <f t="shared" si="2"/>
        <v>1.99522</v>
      </c>
      <c r="G42" s="1">
        <f t="shared" si="2"/>
        <v>16.32</v>
      </c>
      <c r="H42" s="1">
        <f t="shared" si="2"/>
        <v>6</v>
      </c>
      <c r="I42" s="1">
        <f t="shared" si="2"/>
        <v>1.8395350000000001</v>
      </c>
      <c r="J42" s="1">
        <f t="shared" si="2"/>
        <v>19.285</v>
      </c>
      <c r="K42" s="1">
        <f t="shared" si="2"/>
        <v>46</v>
      </c>
      <c r="L42" s="1">
        <f t="shared" si="2"/>
        <v>1.910615</v>
      </c>
      <c r="M42" s="1">
        <f t="shared" si="2"/>
        <v>17.594999999999999</v>
      </c>
      <c r="N42" s="1">
        <f t="shared" si="2"/>
        <v>5</v>
      </c>
      <c r="O42" s="1">
        <f t="shared" si="2"/>
        <v>1.000685</v>
      </c>
      <c r="P42" s="1">
        <f t="shared" si="2"/>
        <v>28.734999999999999</v>
      </c>
    </row>
    <row r="43" spans="1:16">
      <c r="A43" t="s">
        <v>14</v>
      </c>
      <c r="B43" s="1">
        <f>AVERAGE(B5:B36)</f>
        <v>2410.6875</v>
      </c>
      <c r="C43" s="1">
        <f t="shared" ref="C43:P43" si="3">AVERAGE(C5:C36)</f>
        <v>1.2599634374999999</v>
      </c>
      <c r="D43" s="1">
        <f t="shared" si="3"/>
        <v>9.6006249999999991</v>
      </c>
      <c r="E43" s="1">
        <f t="shared" si="3"/>
        <v>7.875</v>
      </c>
      <c r="F43" s="1">
        <f t="shared" si="3"/>
        <v>1.8974821875000003</v>
      </c>
      <c r="G43" s="1">
        <f t="shared" si="3"/>
        <v>19.635937500000004</v>
      </c>
      <c r="H43" s="1">
        <f t="shared" si="3"/>
        <v>5.84375</v>
      </c>
      <c r="I43" s="1">
        <f t="shared" si="3"/>
        <v>1.8622987500000003</v>
      </c>
      <c r="J43" s="1">
        <f t="shared" si="3"/>
        <v>23.344374999999996</v>
      </c>
      <c r="K43" s="1">
        <f t="shared" si="3"/>
        <v>52.0625</v>
      </c>
      <c r="L43" s="1">
        <f t="shared" si="3"/>
        <v>1.8518203124999999</v>
      </c>
      <c r="M43" s="1">
        <f t="shared" si="3"/>
        <v>24.045937500000001</v>
      </c>
      <c r="N43" s="1">
        <f t="shared" si="3"/>
        <v>4.90625</v>
      </c>
      <c r="O43" s="1">
        <f t="shared" si="3"/>
        <v>1.2257028125000002</v>
      </c>
      <c r="P43" s="1">
        <f t="shared" si="3"/>
        <v>34.980312499999997</v>
      </c>
    </row>
    <row r="44" spans="1:16">
      <c r="A44" t="s">
        <v>15</v>
      </c>
      <c r="B44" s="1">
        <f>STDEV(B5:B36)</f>
        <v>132.52545403710917</v>
      </c>
      <c r="C44" s="1">
        <f t="shared" ref="C44:P44" si="4">STDEV(C5:C36)</f>
        <v>0.15194217390304435</v>
      </c>
      <c r="D44" s="1">
        <f t="shared" si="4"/>
        <v>4.5348776968961841</v>
      </c>
      <c r="E44" s="1">
        <f t="shared" si="4"/>
        <v>2.4329724286784833</v>
      </c>
      <c r="F44" s="1">
        <f t="shared" si="4"/>
        <v>0.16784929147869285</v>
      </c>
      <c r="G44" s="1">
        <f t="shared" si="4"/>
        <v>7.7108009120742436</v>
      </c>
      <c r="H44" s="1">
        <f t="shared" si="4"/>
        <v>1.3466655355046884</v>
      </c>
      <c r="I44" s="1">
        <f t="shared" si="4"/>
        <v>0.11270734082483909</v>
      </c>
      <c r="J44" s="1">
        <f t="shared" si="4"/>
        <v>8.7746948986569464</v>
      </c>
      <c r="K44" s="1">
        <f t="shared" si="4"/>
        <v>31.25745072469045</v>
      </c>
      <c r="L44" s="1">
        <f t="shared" si="4"/>
        <v>0.15117834147839185</v>
      </c>
      <c r="M44" s="1">
        <f t="shared" si="4"/>
        <v>9.4719599291378671</v>
      </c>
      <c r="N44" s="1">
        <f t="shared" si="4"/>
        <v>0.77706540597384099</v>
      </c>
      <c r="O44" s="1">
        <f t="shared" si="4"/>
        <v>0.29260268531427464</v>
      </c>
      <c r="P44" s="1">
        <f t="shared" si="4"/>
        <v>12.483404850976642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874BB6-831E-4242-A1E6-B2A0EDF88EF9}">
  <sheetPr codeName="Sheet9"/>
  <dimension ref="A1:P44"/>
  <sheetViews>
    <sheetView workbookViewId="0">
      <selection sqref="A1:P36"/>
    </sheetView>
  </sheetViews>
  <sheetFormatPr baseColWidth="10" defaultRowHeight="16"/>
  <sheetData>
    <row r="1" spans="1:16">
      <c r="A1" t="s">
        <v>0</v>
      </c>
      <c r="B1" t="s">
        <v>21</v>
      </c>
      <c r="C1" t="s">
        <v>1</v>
      </c>
      <c r="D1">
        <v>13124</v>
      </c>
    </row>
    <row r="2" spans="1:16">
      <c r="A2" t="s">
        <v>2</v>
      </c>
      <c r="B2" t="s">
        <v>3</v>
      </c>
    </row>
    <row r="3" spans="1:16">
      <c r="C3" t="s">
        <v>4</v>
      </c>
      <c r="F3" t="s">
        <v>5</v>
      </c>
      <c r="I3" t="s">
        <v>19</v>
      </c>
      <c r="L3" t="s">
        <v>6</v>
      </c>
      <c r="O3" t="s">
        <v>20</v>
      </c>
    </row>
    <row r="4" spans="1:16">
      <c r="B4" t="s">
        <v>7</v>
      </c>
      <c r="C4" t="s">
        <v>8</v>
      </c>
      <c r="D4" t="s">
        <v>9</v>
      </c>
      <c r="E4" t="s">
        <v>7</v>
      </c>
      <c r="F4" t="s">
        <v>8</v>
      </c>
      <c r="G4" t="s">
        <v>9</v>
      </c>
      <c r="H4" t="s">
        <v>7</v>
      </c>
      <c r="I4" t="s">
        <v>8</v>
      </c>
      <c r="J4" t="s">
        <v>9</v>
      </c>
      <c r="K4" t="s">
        <v>7</v>
      </c>
      <c r="L4" t="s">
        <v>8</v>
      </c>
      <c r="M4" t="s">
        <v>10</v>
      </c>
      <c r="N4" t="s">
        <v>7</v>
      </c>
      <c r="O4" t="s">
        <v>8</v>
      </c>
      <c r="P4" t="s">
        <v>10</v>
      </c>
    </row>
    <row r="5" spans="1:16">
      <c r="A5">
        <v>0</v>
      </c>
      <c r="B5">
        <v>7058</v>
      </c>
      <c r="C5">
        <v>1.12442</v>
      </c>
      <c r="D5">
        <v>35.33</v>
      </c>
      <c r="E5">
        <v>9</v>
      </c>
      <c r="F5">
        <v>1.8699699999999999</v>
      </c>
      <c r="G5">
        <v>65.89</v>
      </c>
      <c r="H5">
        <v>5</v>
      </c>
      <c r="I5">
        <v>1.7686599999999999</v>
      </c>
      <c r="J5">
        <v>81.41</v>
      </c>
      <c r="K5">
        <v>86</v>
      </c>
      <c r="L5">
        <v>1.8384199999999999</v>
      </c>
      <c r="M5">
        <v>85.08</v>
      </c>
      <c r="N5">
        <v>5</v>
      </c>
      <c r="O5">
        <v>1.39974</v>
      </c>
      <c r="P5">
        <v>124.55</v>
      </c>
    </row>
    <row r="6" spans="1:16">
      <c r="A6">
        <v>1</v>
      </c>
      <c r="B6">
        <v>5788</v>
      </c>
      <c r="C6">
        <v>1.8671899999999999</v>
      </c>
      <c r="D6">
        <v>35.33</v>
      </c>
      <c r="E6">
        <v>5</v>
      </c>
      <c r="F6">
        <v>1.9988600000000001</v>
      </c>
      <c r="G6">
        <v>67.91</v>
      </c>
      <c r="H6">
        <v>5</v>
      </c>
      <c r="I6">
        <v>1.7686599999999999</v>
      </c>
      <c r="J6">
        <v>87.12</v>
      </c>
      <c r="K6">
        <v>10</v>
      </c>
      <c r="L6">
        <v>1.99726</v>
      </c>
      <c r="M6">
        <v>148.5</v>
      </c>
      <c r="N6">
        <v>4</v>
      </c>
      <c r="O6">
        <v>1</v>
      </c>
      <c r="P6">
        <v>100.92</v>
      </c>
    </row>
    <row r="7" spans="1:16">
      <c r="A7">
        <v>2</v>
      </c>
      <c r="B7">
        <v>5788</v>
      </c>
      <c r="C7">
        <v>1.8671899999999999</v>
      </c>
      <c r="D7">
        <v>25.35</v>
      </c>
      <c r="E7">
        <v>5</v>
      </c>
      <c r="F7">
        <v>1.9988600000000001</v>
      </c>
      <c r="G7">
        <v>56.13</v>
      </c>
      <c r="H7">
        <v>4</v>
      </c>
      <c r="I7">
        <v>1.9993099999999999</v>
      </c>
      <c r="J7">
        <v>75.53</v>
      </c>
      <c r="K7">
        <v>10</v>
      </c>
      <c r="L7">
        <v>1.99726</v>
      </c>
      <c r="M7">
        <v>69.010000000000005</v>
      </c>
      <c r="N7">
        <v>4</v>
      </c>
      <c r="O7">
        <v>1</v>
      </c>
      <c r="P7">
        <v>112</v>
      </c>
    </row>
    <row r="8" spans="1:16">
      <c r="A8">
        <v>3</v>
      </c>
      <c r="B8">
        <v>5830</v>
      </c>
      <c r="C8">
        <v>1.78244</v>
      </c>
      <c r="D8">
        <v>29.67</v>
      </c>
      <c r="E8">
        <v>12</v>
      </c>
      <c r="F8">
        <v>1.85876</v>
      </c>
      <c r="G8">
        <v>55.81</v>
      </c>
      <c r="H8">
        <v>8</v>
      </c>
      <c r="I8">
        <v>1.75824</v>
      </c>
      <c r="J8">
        <v>63.7</v>
      </c>
      <c r="K8">
        <v>33</v>
      </c>
      <c r="L8">
        <v>1.8540099999999999</v>
      </c>
      <c r="M8">
        <v>74.52</v>
      </c>
      <c r="N8">
        <v>6</v>
      </c>
      <c r="O8">
        <v>1.1314900000000001</v>
      </c>
      <c r="P8">
        <v>154.37</v>
      </c>
    </row>
    <row r="9" spans="1:16">
      <c r="A9">
        <v>4</v>
      </c>
      <c r="B9">
        <v>5830</v>
      </c>
      <c r="C9">
        <v>1.78244</v>
      </c>
      <c r="D9">
        <v>48.46</v>
      </c>
      <c r="E9">
        <v>5</v>
      </c>
      <c r="F9">
        <v>1.9988600000000001</v>
      </c>
      <c r="G9">
        <v>98.36</v>
      </c>
      <c r="H9">
        <v>4</v>
      </c>
      <c r="I9">
        <v>1.9993099999999999</v>
      </c>
      <c r="J9">
        <v>71.02</v>
      </c>
      <c r="K9">
        <v>32</v>
      </c>
      <c r="L9">
        <v>1.98932</v>
      </c>
      <c r="M9">
        <v>74.86</v>
      </c>
      <c r="N9">
        <v>4</v>
      </c>
      <c r="O9">
        <v>1</v>
      </c>
      <c r="P9">
        <v>105.73</v>
      </c>
    </row>
    <row r="10" spans="1:16">
      <c r="A10">
        <v>5</v>
      </c>
      <c r="B10">
        <v>7074</v>
      </c>
      <c r="C10">
        <v>1.1873499999999999</v>
      </c>
      <c r="D10">
        <v>24.43</v>
      </c>
      <c r="E10">
        <v>5</v>
      </c>
      <c r="F10">
        <v>1.9988600000000001</v>
      </c>
      <c r="G10">
        <v>49.7</v>
      </c>
      <c r="H10">
        <v>5</v>
      </c>
      <c r="I10">
        <v>1.39974</v>
      </c>
      <c r="J10">
        <v>73.760000000000005</v>
      </c>
      <c r="K10">
        <v>7</v>
      </c>
      <c r="L10">
        <v>1.9979499999999999</v>
      </c>
      <c r="M10">
        <v>77.680000000000007</v>
      </c>
      <c r="N10">
        <v>5</v>
      </c>
      <c r="O10">
        <v>1.0004599999999999</v>
      </c>
      <c r="P10">
        <v>97.23</v>
      </c>
    </row>
    <row r="11" spans="1:16">
      <c r="A11">
        <v>6</v>
      </c>
      <c r="B11">
        <v>5804</v>
      </c>
      <c r="C11">
        <v>1.8722300000000001</v>
      </c>
      <c r="D11">
        <v>25.89</v>
      </c>
      <c r="E11">
        <v>5</v>
      </c>
      <c r="F11">
        <v>1.9988600000000001</v>
      </c>
      <c r="G11">
        <v>62.57</v>
      </c>
      <c r="H11">
        <v>5</v>
      </c>
      <c r="I11">
        <v>1.7686599999999999</v>
      </c>
      <c r="J11">
        <v>75.95</v>
      </c>
      <c r="K11">
        <v>10</v>
      </c>
      <c r="L11">
        <v>1.99726</v>
      </c>
      <c r="M11">
        <v>111.05</v>
      </c>
      <c r="N11">
        <v>4</v>
      </c>
      <c r="O11">
        <v>1</v>
      </c>
      <c r="P11">
        <v>132.12</v>
      </c>
    </row>
    <row r="12" spans="1:16">
      <c r="A12">
        <v>7</v>
      </c>
      <c r="B12">
        <v>6142</v>
      </c>
      <c r="C12">
        <v>1.6056299999999999</v>
      </c>
      <c r="D12">
        <v>32.229999999999997</v>
      </c>
      <c r="E12">
        <v>7</v>
      </c>
      <c r="F12">
        <v>1.9986299999999999</v>
      </c>
      <c r="G12">
        <v>58.63</v>
      </c>
      <c r="H12">
        <v>5</v>
      </c>
      <c r="I12">
        <v>1.9717100000000001</v>
      </c>
      <c r="J12">
        <v>69.45</v>
      </c>
      <c r="K12">
        <v>54</v>
      </c>
      <c r="L12">
        <v>1.9855</v>
      </c>
      <c r="M12">
        <v>70.540000000000006</v>
      </c>
      <c r="N12">
        <v>5</v>
      </c>
      <c r="O12">
        <v>1.9181999999999999</v>
      </c>
      <c r="P12">
        <v>111.41</v>
      </c>
    </row>
    <row r="13" spans="1:16">
      <c r="A13">
        <v>8</v>
      </c>
      <c r="B13">
        <v>5788</v>
      </c>
      <c r="C13">
        <v>1.8671899999999999</v>
      </c>
      <c r="D13">
        <v>28.48</v>
      </c>
      <c r="E13">
        <v>8</v>
      </c>
      <c r="F13">
        <v>1.99817</v>
      </c>
      <c r="G13">
        <v>54.99</v>
      </c>
      <c r="H13">
        <v>6</v>
      </c>
      <c r="I13">
        <v>1.97261</v>
      </c>
      <c r="J13">
        <v>70.040000000000006</v>
      </c>
      <c r="K13">
        <v>11</v>
      </c>
      <c r="L13">
        <v>1.99681</v>
      </c>
      <c r="M13">
        <v>72.86</v>
      </c>
      <c r="N13">
        <v>6</v>
      </c>
      <c r="O13">
        <v>1.0110300000000001</v>
      </c>
      <c r="P13">
        <v>115.88</v>
      </c>
    </row>
    <row r="14" spans="1:16">
      <c r="A14">
        <v>9</v>
      </c>
      <c r="B14">
        <v>5750</v>
      </c>
      <c r="C14">
        <v>1.8433299999999999</v>
      </c>
      <c r="D14">
        <v>25.09</v>
      </c>
      <c r="E14">
        <v>5</v>
      </c>
      <c r="F14">
        <v>1.9988600000000001</v>
      </c>
      <c r="G14">
        <v>61.43</v>
      </c>
      <c r="H14">
        <v>5</v>
      </c>
      <c r="I14">
        <v>1.7686599999999999</v>
      </c>
      <c r="J14">
        <v>81.58</v>
      </c>
      <c r="K14">
        <v>32</v>
      </c>
      <c r="L14">
        <v>1.99272</v>
      </c>
      <c r="M14">
        <v>96.44</v>
      </c>
      <c r="N14">
        <v>4</v>
      </c>
      <c r="O14">
        <v>1</v>
      </c>
      <c r="P14">
        <v>129.27000000000001</v>
      </c>
    </row>
    <row r="15" spans="1:16">
      <c r="A15">
        <v>10</v>
      </c>
      <c r="B15">
        <v>6142</v>
      </c>
      <c r="C15">
        <v>1.6056299999999999</v>
      </c>
      <c r="D15">
        <v>25.84</v>
      </c>
      <c r="E15">
        <v>5</v>
      </c>
      <c r="F15">
        <v>1.9988600000000001</v>
      </c>
      <c r="G15">
        <v>51.76</v>
      </c>
      <c r="H15">
        <v>5</v>
      </c>
      <c r="I15">
        <v>1.7686599999999999</v>
      </c>
      <c r="J15">
        <v>67.349999999999994</v>
      </c>
      <c r="K15">
        <v>56</v>
      </c>
      <c r="L15">
        <v>1.9866299999999999</v>
      </c>
      <c r="M15">
        <v>76.39</v>
      </c>
      <c r="N15">
        <v>4</v>
      </c>
      <c r="O15">
        <v>1</v>
      </c>
      <c r="P15">
        <v>115.78</v>
      </c>
    </row>
    <row r="16" spans="1:16">
      <c r="A16">
        <v>11</v>
      </c>
      <c r="B16">
        <v>6840</v>
      </c>
      <c r="C16">
        <v>1.2182200000000001</v>
      </c>
      <c r="D16">
        <v>26.34</v>
      </c>
      <c r="E16">
        <v>5</v>
      </c>
      <c r="F16">
        <v>1.9988600000000001</v>
      </c>
      <c r="G16">
        <v>52.58</v>
      </c>
      <c r="H16">
        <v>4</v>
      </c>
      <c r="I16">
        <v>1.9993099999999999</v>
      </c>
      <c r="J16">
        <v>76.94</v>
      </c>
      <c r="K16">
        <v>65</v>
      </c>
      <c r="L16">
        <v>1.9812399999999999</v>
      </c>
      <c r="M16">
        <v>72.27</v>
      </c>
      <c r="N16">
        <v>5</v>
      </c>
      <c r="O16">
        <v>1.0004599999999999</v>
      </c>
      <c r="P16">
        <v>99.2</v>
      </c>
    </row>
    <row r="17" spans="1:16">
      <c r="A17">
        <v>12</v>
      </c>
      <c r="B17">
        <v>6852</v>
      </c>
      <c r="C17">
        <v>1.2165999999999999</v>
      </c>
      <c r="D17">
        <v>24.65</v>
      </c>
      <c r="E17">
        <v>5</v>
      </c>
      <c r="F17">
        <v>1.9988600000000001</v>
      </c>
      <c r="G17">
        <v>57.1</v>
      </c>
      <c r="H17">
        <v>4</v>
      </c>
      <c r="I17">
        <v>1.9993099999999999</v>
      </c>
      <c r="J17">
        <v>75.31</v>
      </c>
      <c r="K17">
        <v>10</v>
      </c>
      <c r="L17">
        <v>1.99726</v>
      </c>
      <c r="M17">
        <v>72.13</v>
      </c>
      <c r="N17">
        <v>5</v>
      </c>
      <c r="O17">
        <v>1.0004599999999999</v>
      </c>
      <c r="P17">
        <v>118.46</v>
      </c>
    </row>
    <row r="18" spans="1:16">
      <c r="A18">
        <v>13</v>
      </c>
      <c r="B18">
        <v>6002</v>
      </c>
      <c r="C18">
        <v>1.5576399999999999</v>
      </c>
      <c r="D18">
        <v>28.24</v>
      </c>
      <c r="E18">
        <v>7</v>
      </c>
      <c r="F18">
        <v>1.9986299999999999</v>
      </c>
      <c r="G18">
        <v>53.99</v>
      </c>
      <c r="H18">
        <v>5</v>
      </c>
      <c r="I18">
        <v>1.9181999999999999</v>
      </c>
      <c r="J18">
        <v>63.97</v>
      </c>
      <c r="K18">
        <v>112</v>
      </c>
      <c r="L18">
        <v>1.97305</v>
      </c>
      <c r="M18">
        <v>75.02</v>
      </c>
      <c r="N18">
        <v>5</v>
      </c>
      <c r="O18">
        <v>1.7686599999999999</v>
      </c>
      <c r="P18">
        <v>115.76</v>
      </c>
    </row>
    <row r="19" spans="1:16">
      <c r="A19">
        <v>14</v>
      </c>
      <c r="B19">
        <v>7252</v>
      </c>
      <c r="C19">
        <v>1.23519</v>
      </c>
      <c r="D19">
        <v>25.53</v>
      </c>
      <c r="E19">
        <v>7</v>
      </c>
      <c r="F19">
        <v>1.9986299999999999</v>
      </c>
      <c r="G19">
        <v>49.65</v>
      </c>
      <c r="H19">
        <v>5</v>
      </c>
      <c r="I19">
        <v>1.9717100000000001</v>
      </c>
      <c r="J19">
        <v>67.94</v>
      </c>
      <c r="K19">
        <v>81</v>
      </c>
      <c r="L19">
        <v>1.9654199999999999</v>
      </c>
      <c r="M19">
        <v>74.97</v>
      </c>
      <c r="N19">
        <v>5</v>
      </c>
      <c r="O19">
        <v>1.9181999999999999</v>
      </c>
      <c r="P19">
        <v>106.95</v>
      </c>
    </row>
    <row r="20" spans="1:16">
      <c r="A20">
        <v>15</v>
      </c>
      <c r="B20">
        <v>6852</v>
      </c>
      <c r="C20">
        <v>1.2165999999999999</v>
      </c>
      <c r="D20">
        <v>25.23</v>
      </c>
      <c r="E20">
        <v>5</v>
      </c>
      <c r="F20">
        <v>1.9988600000000001</v>
      </c>
      <c r="G20">
        <v>51.77</v>
      </c>
      <c r="H20">
        <v>4</v>
      </c>
      <c r="I20">
        <v>1.9993099999999999</v>
      </c>
      <c r="J20">
        <v>64.849999999999994</v>
      </c>
      <c r="K20">
        <v>32</v>
      </c>
      <c r="L20">
        <v>1.98932</v>
      </c>
      <c r="M20">
        <v>63.99</v>
      </c>
      <c r="N20">
        <v>5</v>
      </c>
      <c r="O20">
        <v>1.0004599999999999</v>
      </c>
      <c r="P20">
        <v>112.68</v>
      </c>
    </row>
    <row r="21" spans="1:16">
      <c r="A21">
        <v>16</v>
      </c>
      <c r="B21">
        <v>5804</v>
      </c>
      <c r="C21">
        <v>1.8722300000000001</v>
      </c>
      <c r="D21">
        <v>24.1</v>
      </c>
      <c r="E21">
        <v>5</v>
      </c>
      <c r="F21">
        <v>1.9988600000000001</v>
      </c>
      <c r="G21">
        <v>69.400000000000006</v>
      </c>
      <c r="H21">
        <v>4</v>
      </c>
      <c r="I21">
        <v>1.9993099999999999</v>
      </c>
      <c r="J21">
        <v>142.38999999999999</v>
      </c>
      <c r="K21">
        <v>10</v>
      </c>
      <c r="L21">
        <v>1.99726</v>
      </c>
      <c r="M21">
        <v>82.98</v>
      </c>
      <c r="N21">
        <v>4</v>
      </c>
      <c r="O21">
        <v>1</v>
      </c>
      <c r="P21">
        <v>100.74</v>
      </c>
    </row>
    <row r="22" spans="1:16">
      <c r="A22">
        <v>17</v>
      </c>
      <c r="B22">
        <v>5806</v>
      </c>
      <c r="C22">
        <v>1.87253</v>
      </c>
      <c r="D22">
        <v>23.65</v>
      </c>
      <c r="E22">
        <v>5</v>
      </c>
      <c r="F22">
        <v>1.9988600000000001</v>
      </c>
      <c r="G22">
        <v>56.13</v>
      </c>
      <c r="H22">
        <v>4</v>
      </c>
      <c r="I22">
        <v>1.9993099999999999</v>
      </c>
      <c r="J22">
        <v>69.19</v>
      </c>
      <c r="K22">
        <v>7</v>
      </c>
      <c r="L22">
        <v>1.9979499999999999</v>
      </c>
      <c r="M22">
        <v>63.82</v>
      </c>
      <c r="N22">
        <v>4</v>
      </c>
      <c r="O22">
        <v>1</v>
      </c>
      <c r="P22">
        <v>110.78</v>
      </c>
    </row>
    <row r="23" spans="1:16">
      <c r="A23">
        <v>18</v>
      </c>
      <c r="B23">
        <v>7010</v>
      </c>
      <c r="C23">
        <v>1.11937</v>
      </c>
      <c r="D23">
        <v>30.85</v>
      </c>
      <c r="E23">
        <v>11</v>
      </c>
      <c r="F23">
        <v>1.7869699999999999</v>
      </c>
      <c r="G23">
        <v>54.61</v>
      </c>
      <c r="H23">
        <v>7</v>
      </c>
      <c r="I23">
        <v>1.70686</v>
      </c>
      <c r="J23">
        <v>66.599999999999994</v>
      </c>
      <c r="K23">
        <v>104</v>
      </c>
      <c r="L23">
        <v>1.7604299999999999</v>
      </c>
      <c r="M23">
        <v>80.69</v>
      </c>
      <c r="N23">
        <v>5</v>
      </c>
      <c r="O23">
        <v>1.39974</v>
      </c>
      <c r="P23">
        <v>119.54</v>
      </c>
    </row>
    <row r="24" spans="1:16">
      <c r="A24">
        <v>19</v>
      </c>
      <c r="B24">
        <v>5780</v>
      </c>
      <c r="C24">
        <v>1.86598</v>
      </c>
      <c r="D24">
        <v>26.83</v>
      </c>
      <c r="E24">
        <v>5</v>
      </c>
      <c r="F24">
        <v>1.9988600000000001</v>
      </c>
      <c r="G24">
        <v>55.62</v>
      </c>
      <c r="H24">
        <v>4</v>
      </c>
      <c r="I24">
        <v>1.9993099999999999</v>
      </c>
      <c r="J24">
        <v>75.22</v>
      </c>
      <c r="K24">
        <v>16</v>
      </c>
      <c r="L24">
        <v>1.99658</v>
      </c>
      <c r="M24">
        <v>88.74</v>
      </c>
      <c r="N24">
        <v>4</v>
      </c>
      <c r="O24">
        <v>1</v>
      </c>
      <c r="P24">
        <v>113.36</v>
      </c>
    </row>
    <row r="25" spans="1:16">
      <c r="A25">
        <v>20</v>
      </c>
      <c r="B25">
        <v>7010</v>
      </c>
      <c r="C25">
        <v>1.11937</v>
      </c>
      <c r="D25">
        <v>29.65</v>
      </c>
      <c r="E25">
        <v>13</v>
      </c>
      <c r="F25">
        <v>1.9979499999999999</v>
      </c>
      <c r="G25">
        <v>49.24</v>
      </c>
      <c r="H25">
        <v>9</v>
      </c>
      <c r="I25">
        <v>1.73604</v>
      </c>
      <c r="J25">
        <v>62.19</v>
      </c>
      <c r="K25">
        <v>106</v>
      </c>
      <c r="L25">
        <v>1.9730300000000001</v>
      </c>
      <c r="M25">
        <v>72.41</v>
      </c>
      <c r="N25">
        <v>5</v>
      </c>
      <c r="O25">
        <v>1.39974</v>
      </c>
      <c r="P25">
        <v>123.86</v>
      </c>
    </row>
    <row r="26" spans="1:16">
      <c r="A26">
        <v>21</v>
      </c>
      <c r="B26">
        <v>5830</v>
      </c>
      <c r="C26">
        <v>1.78244</v>
      </c>
      <c r="D26">
        <v>25.74</v>
      </c>
      <c r="E26">
        <v>12</v>
      </c>
      <c r="F26">
        <v>1.87944</v>
      </c>
      <c r="G26">
        <v>52.22</v>
      </c>
      <c r="H26">
        <v>8</v>
      </c>
      <c r="I26">
        <v>1.7775000000000001</v>
      </c>
      <c r="J26">
        <v>111.4</v>
      </c>
      <c r="K26">
        <v>33</v>
      </c>
      <c r="L26">
        <v>1.8789899999999999</v>
      </c>
      <c r="M26">
        <v>71.14</v>
      </c>
      <c r="N26">
        <v>5</v>
      </c>
      <c r="O26">
        <v>1.11758</v>
      </c>
      <c r="P26">
        <v>113.99</v>
      </c>
    </row>
    <row r="27" spans="1:16">
      <c r="A27">
        <v>22</v>
      </c>
      <c r="B27">
        <v>5762</v>
      </c>
      <c r="C27">
        <v>1.7675799999999999</v>
      </c>
      <c r="D27">
        <v>28.67</v>
      </c>
      <c r="E27">
        <v>9</v>
      </c>
      <c r="F27">
        <v>1.9984</v>
      </c>
      <c r="G27">
        <v>52.66</v>
      </c>
      <c r="H27">
        <v>6</v>
      </c>
      <c r="I27">
        <v>1.8920699999999999</v>
      </c>
      <c r="J27">
        <v>62.98</v>
      </c>
      <c r="K27">
        <v>66</v>
      </c>
      <c r="L27">
        <v>1.98349</v>
      </c>
      <c r="M27">
        <v>72.709999999999994</v>
      </c>
      <c r="N27">
        <v>6</v>
      </c>
      <c r="O27">
        <v>1.07687</v>
      </c>
      <c r="P27">
        <v>117.22</v>
      </c>
    </row>
    <row r="28" spans="1:16">
      <c r="A28">
        <v>23</v>
      </c>
      <c r="B28">
        <v>5790</v>
      </c>
      <c r="C28">
        <v>1.8674999999999999</v>
      </c>
      <c r="D28">
        <v>23.41</v>
      </c>
      <c r="E28">
        <v>5</v>
      </c>
      <c r="F28">
        <v>1.9988600000000001</v>
      </c>
      <c r="G28">
        <v>48.14</v>
      </c>
      <c r="H28">
        <v>4</v>
      </c>
      <c r="I28">
        <v>1.9993099999999999</v>
      </c>
      <c r="J28">
        <v>87.82</v>
      </c>
      <c r="K28">
        <v>7</v>
      </c>
      <c r="L28">
        <v>1.9979499999999999</v>
      </c>
      <c r="M28">
        <v>72.34</v>
      </c>
      <c r="N28">
        <v>4</v>
      </c>
      <c r="O28">
        <v>1</v>
      </c>
      <c r="P28">
        <v>111.04</v>
      </c>
    </row>
    <row r="29" spans="1:16">
      <c r="A29">
        <v>24</v>
      </c>
      <c r="B29">
        <v>5750</v>
      </c>
      <c r="C29">
        <v>1.8433299999999999</v>
      </c>
      <c r="D29">
        <v>39.56</v>
      </c>
      <c r="E29">
        <v>5</v>
      </c>
      <c r="F29">
        <v>1.9988600000000001</v>
      </c>
      <c r="G29">
        <v>60.27</v>
      </c>
      <c r="H29">
        <v>5</v>
      </c>
      <c r="I29">
        <v>1.7686599999999999</v>
      </c>
      <c r="J29">
        <v>63.33</v>
      </c>
      <c r="K29">
        <v>29</v>
      </c>
      <c r="L29">
        <v>1.99204</v>
      </c>
      <c r="M29">
        <v>65.05</v>
      </c>
      <c r="N29">
        <v>4</v>
      </c>
      <c r="O29">
        <v>1</v>
      </c>
      <c r="P29">
        <v>109.53</v>
      </c>
    </row>
    <row r="30" spans="1:16">
      <c r="A30">
        <v>25</v>
      </c>
      <c r="B30">
        <v>7074</v>
      </c>
      <c r="C30">
        <v>1.1873499999999999</v>
      </c>
      <c r="D30">
        <v>26.99</v>
      </c>
      <c r="E30">
        <v>5</v>
      </c>
      <c r="F30">
        <v>1.9988600000000001</v>
      </c>
      <c r="G30">
        <v>48.91</v>
      </c>
      <c r="H30">
        <v>4</v>
      </c>
      <c r="I30">
        <v>1.9993099999999999</v>
      </c>
      <c r="J30">
        <v>66.040000000000006</v>
      </c>
      <c r="K30">
        <v>7</v>
      </c>
      <c r="L30">
        <v>1.9979499999999999</v>
      </c>
      <c r="M30">
        <v>76.88</v>
      </c>
      <c r="N30">
        <v>5</v>
      </c>
      <c r="O30">
        <v>1.0004599999999999</v>
      </c>
      <c r="P30">
        <v>111.06</v>
      </c>
    </row>
    <row r="31" spans="1:16">
      <c r="A31">
        <v>26</v>
      </c>
      <c r="B31">
        <v>5780</v>
      </c>
      <c r="C31">
        <v>1.86598</v>
      </c>
      <c r="D31">
        <v>23.49</v>
      </c>
      <c r="E31">
        <v>5</v>
      </c>
      <c r="F31">
        <v>1.9988600000000001</v>
      </c>
      <c r="G31">
        <v>47.58</v>
      </c>
      <c r="H31">
        <v>5</v>
      </c>
      <c r="I31">
        <v>1.7686599999999999</v>
      </c>
      <c r="J31">
        <v>66.44</v>
      </c>
      <c r="K31">
        <v>16</v>
      </c>
      <c r="L31">
        <v>1.99658</v>
      </c>
      <c r="M31">
        <v>70.08</v>
      </c>
      <c r="N31">
        <v>4</v>
      </c>
      <c r="O31">
        <v>1</v>
      </c>
      <c r="P31">
        <v>99.55</v>
      </c>
    </row>
    <row r="32" spans="1:16">
      <c r="A32">
        <v>27</v>
      </c>
      <c r="B32">
        <v>5762</v>
      </c>
      <c r="C32">
        <v>1.7675799999999999</v>
      </c>
      <c r="D32">
        <v>23.48</v>
      </c>
      <c r="E32">
        <v>5</v>
      </c>
      <c r="F32">
        <v>1.9988600000000001</v>
      </c>
      <c r="G32">
        <v>53.77</v>
      </c>
      <c r="H32">
        <v>4</v>
      </c>
      <c r="I32">
        <v>1.9993099999999999</v>
      </c>
      <c r="J32">
        <v>74.36</v>
      </c>
      <c r="K32">
        <v>66</v>
      </c>
      <c r="L32">
        <v>1.98214</v>
      </c>
      <c r="M32">
        <v>64.849999999999994</v>
      </c>
      <c r="N32">
        <v>4</v>
      </c>
      <c r="O32">
        <v>1</v>
      </c>
      <c r="P32">
        <v>100.37</v>
      </c>
    </row>
    <row r="33" spans="1:16">
      <c r="A33">
        <v>28</v>
      </c>
      <c r="B33">
        <v>7052</v>
      </c>
      <c r="C33">
        <v>1.1237900000000001</v>
      </c>
      <c r="D33">
        <v>26.94</v>
      </c>
      <c r="E33">
        <v>7</v>
      </c>
      <c r="F33">
        <v>1.9986299999999999</v>
      </c>
      <c r="G33">
        <v>54.18</v>
      </c>
      <c r="H33">
        <v>5</v>
      </c>
      <c r="I33">
        <v>1.7686599999999999</v>
      </c>
      <c r="J33">
        <v>67.459999999999994</v>
      </c>
      <c r="K33">
        <v>90</v>
      </c>
      <c r="L33">
        <v>1.9801500000000001</v>
      </c>
      <c r="M33">
        <v>73.83</v>
      </c>
      <c r="N33">
        <v>5</v>
      </c>
      <c r="O33">
        <v>1.39974</v>
      </c>
      <c r="P33">
        <v>108.22</v>
      </c>
    </row>
    <row r="34" spans="1:16">
      <c r="A34">
        <v>29</v>
      </c>
      <c r="B34">
        <v>7058</v>
      </c>
      <c r="C34">
        <v>1.12442</v>
      </c>
      <c r="D34">
        <v>24.76</v>
      </c>
      <c r="E34">
        <v>10</v>
      </c>
      <c r="F34">
        <v>1.54288</v>
      </c>
      <c r="G34">
        <v>56.1</v>
      </c>
      <c r="H34">
        <v>5</v>
      </c>
      <c r="I34">
        <v>1.7686599999999999</v>
      </c>
      <c r="J34">
        <v>69.55</v>
      </c>
      <c r="K34">
        <v>83</v>
      </c>
      <c r="L34">
        <v>1.52911</v>
      </c>
      <c r="M34">
        <v>79.069999999999993</v>
      </c>
      <c r="N34">
        <v>6</v>
      </c>
      <c r="O34">
        <v>1</v>
      </c>
      <c r="P34">
        <v>108.99</v>
      </c>
    </row>
    <row r="35" spans="1:16">
      <c r="A35">
        <v>30</v>
      </c>
      <c r="B35">
        <v>6142</v>
      </c>
      <c r="C35">
        <v>1.6056299999999999</v>
      </c>
      <c r="D35">
        <v>28.37</v>
      </c>
      <c r="E35">
        <v>7</v>
      </c>
      <c r="F35">
        <v>1.9986299999999999</v>
      </c>
      <c r="G35">
        <v>51.13</v>
      </c>
      <c r="H35">
        <v>5</v>
      </c>
      <c r="I35">
        <v>1.9717100000000001</v>
      </c>
      <c r="J35">
        <v>63.17</v>
      </c>
      <c r="K35">
        <v>54</v>
      </c>
      <c r="L35">
        <v>1.9855</v>
      </c>
      <c r="M35">
        <v>67.98</v>
      </c>
      <c r="N35">
        <v>5</v>
      </c>
      <c r="O35">
        <v>1.9181999999999999</v>
      </c>
      <c r="P35">
        <v>109.32</v>
      </c>
    </row>
    <row r="36" spans="1:16">
      <c r="A36">
        <v>31</v>
      </c>
      <c r="B36">
        <v>5750</v>
      </c>
      <c r="C36">
        <v>1.8433299999999999</v>
      </c>
      <c r="D36">
        <v>27.79</v>
      </c>
      <c r="E36">
        <v>5</v>
      </c>
      <c r="F36">
        <v>1.9988600000000001</v>
      </c>
      <c r="G36">
        <v>47.89</v>
      </c>
      <c r="H36">
        <v>5</v>
      </c>
      <c r="I36">
        <v>1.7686599999999999</v>
      </c>
      <c r="J36">
        <v>59.52</v>
      </c>
      <c r="K36">
        <v>32</v>
      </c>
      <c r="L36">
        <v>1.99272</v>
      </c>
      <c r="M36">
        <v>62.87</v>
      </c>
      <c r="N36">
        <v>4</v>
      </c>
      <c r="O36">
        <v>1</v>
      </c>
      <c r="P36">
        <v>108.57</v>
      </c>
    </row>
    <row r="38" spans="1:16">
      <c r="C38" t="s">
        <v>4</v>
      </c>
      <c r="F38" t="s">
        <v>5</v>
      </c>
      <c r="I38" t="s">
        <v>19</v>
      </c>
      <c r="L38" t="s">
        <v>6</v>
      </c>
      <c r="O38" t="s">
        <v>6</v>
      </c>
    </row>
    <row r="39" spans="1:16">
      <c r="B39" t="s">
        <v>7</v>
      </c>
      <c r="C39" t="s">
        <v>8</v>
      </c>
      <c r="D39" t="s">
        <v>9</v>
      </c>
      <c r="E39" t="s">
        <v>7</v>
      </c>
      <c r="F39" t="s">
        <v>8</v>
      </c>
      <c r="G39" t="s">
        <v>9</v>
      </c>
      <c r="H39" t="s">
        <v>7</v>
      </c>
      <c r="I39" t="s">
        <v>8</v>
      </c>
      <c r="J39" t="s">
        <v>9</v>
      </c>
      <c r="K39" t="s">
        <v>7</v>
      </c>
      <c r="L39" t="s">
        <v>8</v>
      </c>
      <c r="M39" t="s">
        <v>10</v>
      </c>
      <c r="N39" t="s">
        <v>7</v>
      </c>
      <c r="O39" t="s">
        <v>8</v>
      </c>
      <c r="P39" t="s">
        <v>10</v>
      </c>
    </row>
    <row r="40" spans="1:16">
      <c r="A40" t="s">
        <v>11</v>
      </c>
      <c r="B40" s="1">
        <f>MAX(B5:B36)</f>
        <v>7252</v>
      </c>
      <c r="C40" s="1">
        <f t="shared" ref="C40:P40" si="0">MAX(C5:C36)</f>
        <v>1.87253</v>
      </c>
      <c r="D40" s="1">
        <f t="shared" si="0"/>
        <v>48.46</v>
      </c>
      <c r="E40" s="1">
        <f t="shared" si="0"/>
        <v>13</v>
      </c>
      <c r="F40" s="1">
        <f t="shared" si="0"/>
        <v>1.9988600000000001</v>
      </c>
      <c r="G40" s="1">
        <f t="shared" si="0"/>
        <v>98.36</v>
      </c>
      <c r="H40" s="1">
        <f t="shared" si="0"/>
        <v>9</v>
      </c>
      <c r="I40" s="1">
        <f t="shared" si="0"/>
        <v>1.9993099999999999</v>
      </c>
      <c r="J40" s="1">
        <f t="shared" si="0"/>
        <v>142.38999999999999</v>
      </c>
      <c r="K40" s="1">
        <f t="shared" si="0"/>
        <v>112</v>
      </c>
      <c r="L40" s="1">
        <f t="shared" si="0"/>
        <v>1.9979499999999999</v>
      </c>
      <c r="M40" s="1">
        <f t="shared" si="0"/>
        <v>148.5</v>
      </c>
      <c r="N40" s="1">
        <f t="shared" si="0"/>
        <v>6</v>
      </c>
      <c r="O40" s="1">
        <f t="shared" si="0"/>
        <v>1.9181999999999999</v>
      </c>
      <c r="P40" s="1">
        <f t="shared" si="0"/>
        <v>154.37</v>
      </c>
    </row>
    <row r="41" spans="1:16">
      <c r="A41" t="s">
        <v>12</v>
      </c>
      <c r="B41" s="1">
        <f>MIN(B5:B36)</f>
        <v>5750</v>
      </c>
      <c r="C41" s="1">
        <f t="shared" ref="C41:P41" si="1">MIN(C5:C36)</f>
        <v>1.11937</v>
      </c>
      <c r="D41" s="1">
        <f t="shared" si="1"/>
        <v>23.41</v>
      </c>
      <c r="E41" s="1">
        <f t="shared" si="1"/>
        <v>5</v>
      </c>
      <c r="F41" s="1">
        <f t="shared" si="1"/>
        <v>1.54288</v>
      </c>
      <c r="G41" s="1">
        <f t="shared" si="1"/>
        <v>47.58</v>
      </c>
      <c r="H41" s="1">
        <f t="shared" si="1"/>
        <v>4</v>
      </c>
      <c r="I41" s="1">
        <f t="shared" si="1"/>
        <v>1.39974</v>
      </c>
      <c r="J41" s="1">
        <f t="shared" si="1"/>
        <v>59.52</v>
      </c>
      <c r="K41" s="1">
        <f t="shared" si="1"/>
        <v>7</v>
      </c>
      <c r="L41" s="1">
        <f t="shared" si="1"/>
        <v>1.52911</v>
      </c>
      <c r="M41" s="1">
        <f t="shared" si="1"/>
        <v>62.87</v>
      </c>
      <c r="N41" s="1">
        <f t="shared" si="1"/>
        <v>4</v>
      </c>
      <c r="O41" s="1">
        <f t="shared" si="1"/>
        <v>1</v>
      </c>
      <c r="P41" s="1">
        <f t="shared" si="1"/>
        <v>97.23</v>
      </c>
    </row>
    <row r="42" spans="1:16">
      <c r="A42" t="s">
        <v>13</v>
      </c>
      <c r="B42" s="1">
        <f>MEDIAN(B5:B36)</f>
        <v>5830</v>
      </c>
      <c r="C42" s="1">
        <f t="shared" ref="C42:P42" si="2">MEDIAN(C5:C36)</f>
        <v>1.7675799999999999</v>
      </c>
      <c r="D42" s="1">
        <f t="shared" si="2"/>
        <v>26.585000000000001</v>
      </c>
      <c r="E42" s="1">
        <f t="shared" si="2"/>
        <v>5</v>
      </c>
      <c r="F42" s="1">
        <f t="shared" si="2"/>
        <v>1.9988600000000001</v>
      </c>
      <c r="G42" s="1">
        <f t="shared" si="2"/>
        <v>54.394999999999996</v>
      </c>
      <c r="H42" s="1">
        <f t="shared" si="2"/>
        <v>5</v>
      </c>
      <c r="I42" s="1">
        <f t="shared" si="2"/>
        <v>1.905135</v>
      </c>
      <c r="J42" s="1">
        <f t="shared" si="2"/>
        <v>69.5</v>
      </c>
      <c r="K42" s="1">
        <f t="shared" si="2"/>
        <v>32</v>
      </c>
      <c r="L42" s="1">
        <f t="shared" si="2"/>
        <v>1.98932</v>
      </c>
      <c r="M42" s="1">
        <f t="shared" si="2"/>
        <v>73.344999999999999</v>
      </c>
      <c r="N42" s="1">
        <f t="shared" si="2"/>
        <v>5</v>
      </c>
      <c r="O42" s="1">
        <f t="shared" si="2"/>
        <v>1.0004599999999999</v>
      </c>
      <c r="P42" s="1">
        <f t="shared" si="2"/>
        <v>111.235</v>
      </c>
    </row>
    <row r="43" spans="1:16">
      <c r="A43" t="s">
        <v>14</v>
      </c>
      <c r="B43" s="1">
        <f>AVERAGE(B5:B36)</f>
        <v>6248.5</v>
      </c>
      <c r="C43" s="1">
        <f t="shared" ref="C43:P43" si="3">AVERAGE(C5:C36)</f>
        <v>1.5774281250000002</v>
      </c>
      <c r="D43" s="1">
        <f t="shared" si="3"/>
        <v>28.1365625</v>
      </c>
      <c r="E43" s="1">
        <f t="shared" si="3"/>
        <v>6.6875</v>
      </c>
      <c r="F43" s="1">
        <f t="shared" si="3"/>
        <v>1.9657509375</v>
      </c>
      <c r="G43" s="1">
        <f t="shared" si="3"/>
        <v>56.441250000000004</v>
      </c>
      <c r="H43" s="1">
        <f t="shared" si="3"/>
        <v>5.09375</v>
      </c>
      <c r="I43" s="1">
        <f t="shared" si="3"/>
        <v>1.8673562500000001</v>
      </c>
      <c r="J43" s="1">
        <f t="shared" si="3"/>
        <v>74.174375000000012</v>
      </c>
      <c r="K43" s="1">
        <f t="shared" si="3"/>
        <v>42.71875</v>
      </c>
      <c r="L43" s="1">
        <f t="shared" si="3"/>
        <v>1.9556656250000006</v>
      </c>
      <c r="M43" s="1">
        <f t="shared" si="3"/>
        <v>77.5234375</v>
      </c>
      <c r="N43" s="1">
        <f t="shared" si="3"/>
        <v>4.6875</v>
      </c>
      <c r="O43" s="1">
        <f t="shared" si="3"/>
        <v>1.1706715625000002</v>
      </c>
      <c r="P43" s="1">
        <f t="shared" si="3"/>
        <v>113.07656250000001</v>
      </c>
    </row>
    <row r="44" spans="1:16">
      <c r="A44" t="s">
        <v>15</v>
      </c>
      <c r="B44" s="1">
        <f>STDEV(B5:B36)</f>
        <v>575.84742602925314</v>
      </c>
      <c r="C44" s="1">
        <f t="shared" ref="C44:P44" si="4">STDEV(C5:C36)</f>
        <v>0.31230027637223884</v>
      </c>
      <c r="D44" s="1">
        <f t="shared" si="4"/>
        <v>5.3029052350057508</v>
      </c>
      <c r="E44" s="1">
        <f t="shared" si="4"/>
        <v>2.4943484507077969</v>
      </c>
      <c r="F44" s="1">
        <f t="shared" si="4"/>
        <v>9.3020977632671142E-2</v>
      </c>
      <c r="G44" s="1">
        <f t="shared" si="4"/>
        <v>9.4919744538350823</v>
      </c>
      <c r="H44" s="1">
        <f t="shared" si="4"/>
        <v>1.2790968335811872</v>
      </c>
      <c r="I44" s="1">
        <f t="shared" si="4"/>
        <v>0.14113948689037173</v>
      </c>
      <c r="J44" s="1">
        <f t="shared" si="4"/>
        <v>16.012075269479634</v>
      </c>
      <c r="K44" s="1">
        <f t="shared" si="4"/>
        <v>33.837595406636474</v>
      </c>
      <c r="L44" s="1">
        <f t="shared" si="4"/>
        <v>9.5608447525866933E-2</v>
      </c>
      <c r="M44" s="1">
        <f t="shared" si="4"/>
        <v>16.218142690164903</v>
      </c>
      <c r="N44" s="1">
        <f t="shared" si="4"/>
        <v>0.69270391198362624</v>
      </c>
      <c r="O44" s="1">
        <f t="shared" si="4"/>
        <v>0.30396867126462657</v>
      </c>
      <c r="P44" s="1">
        <f t="shared" si="4"/>
        <v>11.321693310425017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CB58C-971E-1846-A4D4-524CC48BFF36}">
  <sheetPr codeName="Sheet10"/>
  <dimension ref="A1:P44"/>
  <sheetViews>
    <sheetView workbookViewId="0">
      <selection sqref="A1:P36"/>
    </sheetView>
  </sheetViews>
  <sheetFormatPr baseColWidth="10" defaultRowHeight="16"/>
  <sheetData>
    <row r="1" spans="1:16">
      <c r="A1" t="s">
        <v>0</v>
      </c>
      <c r="B1" t="s">
        <v>21</v>
      </c>
      <c r="C1" t="s">
        <v>1</v>
      </c>
      <c r="D1">
        <v>39368</v>
      </c>
    </row>
    <row r="2" spans="1:16">
      <c r="A2" t="s">
        <v>2</v>
      </c>
      <c r="B2" t="s">
        <v>3</v>
      </c>
    </row>
    <row r="3" spans="1:16">
      <c r="C3" t="s">
        <v>4</v>
      </c>
      <c r="F3" t="s">
        <v>5</v>
      </c>
      <c r="I3" t="s">
        <v>19</v>
      </c>
      <c r="L3" t="s">
        <v>6</v>
      </c>
      <c r="O3" t="s">
        <v>20</v>
      </c>
    </row>
    <row r="4" spans="1:16">
      <c r="B4" t="s">
        <v>7</v>
      </c>
      <c r="C4" t="s">
        <v>8</v>
      </c>
      <c r="D4" t="s">
        <v>9</v>
      </c>
      <c r="E4" t="s">
        <v>7</v>
      </c>
      <c r="F4" t="s">
        <v>8</v>
      </c>
      <c r="G4" t="s">
        <v>9</v>
      </c>
      <c r="H4" t="s">
        <v>7</v>
      </c>
      <c r="I4" t="s">
        <v>8</v>
      </c>
      <c r="J4" t="s">
        <v>9</v>
      </c>
      <c r="K4" t="s">
        <v>7</v>
      </c>
      <c r="L4" t="s">
        <v>8</v>
      </c>
      <c r="M4" t="s">
        <v>10</v>
      </c>
      <c r="N4" t="s">
        <v>7</v>
      </c>
      <c r="O4" t="s">
        <v>8</v>
      </c>
      <c r="P4" t="s">
        <v>10</v>
      </c>
    </row>
    <row r="5" spans="1:16">
      <c r="A5">
        <v>0</v>
      </c>
      <c r="B5">
        <v>19632</v>
      </c>
      <c r="C5">
        <v>1.5594300000000001</v>
      </c>
      <c r="D5">
        <v>107.08</v>
      </c>
      <c r="E5">
        <v>11</v>
      </c>
      <c r="F5">
        <v>1.52349</v>
      </c>
      <c r="G5">
        <v>213.39</v>
      </c>
      <c r="H5">
        <v>6</v>
      </c>
      <c r="I5">
        <v>1.7455499999999999</v>
      </c>
      <c r="J5">
        <v>257.64</v>
      </c>
      <c r="K5">
        <v>115</v>
      </c>
      <c r="L5">
        <v>1.5199800000000001</v>
      </c>
      <c r="M5">
        <v>295.63</v>
      </c>
      <c r="N5">
        <v>6</v>
      </c>
      <c r="O5">
        <v>1.1599600000000001</v>
      </c>
      <c r="P5">
        <v>461.34</v>
      </c>
    </row>
    <row r="6" spans="1:16">
      <c r="A6">
        <v>1</v>
      </c>
      <c r="B6">
        <v>19986</v>
      </c>
      <c r="C6">
        <v>1.0390999999999999</v>
      </c>
      <c r="D6">
        <v>81.459999999999994</v>
      </c>
      <c r="E6">
        <v>5</v>
      </c>
      <c r="F6">
        <v>1.99962</v>
      </c>
      <c r="G6">
        <v>152.13999999999999</v>
      </c>
      <c r="H6">
        <v>5</v>
      </c>
      <c r="I6">
        <v>1.39991</v>
      </c>
      <c r="J6">
        <v>190.6</v>
      </c>
      <c r="K6">
        <v>66</v>
      </c>
      <c r="L6">
        <v>1.9942299999999999</v>
      </c>
      <c r="M6">
        <v>215.52</v>
      </c>
      <c r="N6">
        <v>5</v>
      </c>
      <c r="O6">
        <v>1.0001500000000001</v>
      </c>
      <c r="P6">
        <v>494.69</v>
      </c>
    </row>
    <row r="7" spans="1:16">
      <c r="A7">
        <v>2</v>
      </c>
      <c r="B7">
        <v>18668</v>
      </c>
      <c r="C7">
        <v>1.4041399999999999</v>
      </c>
      <c r="D7">
        <v>81.95</v>
      </c>
      <c r="E7">
        <v>12</v>
      </c>
      <c r="F7">
        <v>1.8820300000000001</v>
      </c>
      <c r="G7">
        <v>159.55000000000001</v>
      </c>
      <c r="H7">
        <v>7</v>
      </c>
      <c r="I7">
        <v>1.7795399999999999</v>
      </c>
      <c r="J7">
        <v>190.7</v>
      </c>
      <c r="K7">
        <v>35</v>
      </c>
      <c r="L7">
        <v>1.8811800000000001</v>
      </c>
      <c r="M7">
        <v>221.43</v>
      </c>
      <c r="N7">
        <v>5</v>
      </c>
      <c r="O7">
        <v>1.39991</v>
      </c>
      <c r="P7">
        <v>322.01</v>
      </c>
    </row>
    <row r="8" spans="1:16">
      <c r="A8">
        <v>3</v>
      </c>
      <c r="B8">
        <v>19632</v>
      </c>
      <c r="C8">
        <v>1.5594300000000001</v>
      </c>
      <c r="D8">
        <v>93.42</v>
      </c>
      <c r="E8">
        <v>5</v>
      </c>
      <c r="F8">
        <v>1.99962</v>
      </c>
      <c r="G8">
        <v>156.41999999999999</v>
      </c>
      <c r="H8">
        <v>4</v>
      </c>
      <c r="I8">
        <v>1.99977</v>
      </c>
      <c r="J8">
        <v>212.19</v>
      </c>
      <c r="K8">
        <v>136</v>
      </c>
      <c r="L8">
        <v>1.9920500000000001</v>
      </c>
      <c r="M8">
        <v>221.2</v>
      </c>
      <c r="N8">
        <v>4</v>
      </c>
      <c r="O8">
        <v>1</v>
      </c>
      <c r="P8">
        <v>312.07</v>
      </c>
    </row>
    <row r="9" spans="1:16">
      <c r="A9">
        <v>4</v>
      </c>
      <c r="B9">
        <v>17970</v>
      </c>
      <c r="C9">
        <v>1.7264900000000001</v>
      </c>
      <c r="D9">
        <v>81.239999999999995</v>
      </c>
      <c r="E9">
        <v>11</v>
      </c>
      <c r="F9">
        <v>1.7964100000000001</v>
      </c>
      <c r="G9">
        <v>162.74</v>
      </c>
      <c r="H9">
        <v>6</v>
      </c>
      <c r="I9">
        <v>1.69981</v>
      </c>
      <c r="J9">
        <v>197.12</v>
      </c>
      <c r="K9">
        <v>202</v>
      </c>
      <c r="L9">
        <v>1.7838799999999999</v>
      </c>
      <c r="M9">
        <v>223.98</v>
      </c>
      <c r="N9">
        <v>6</v>
      </c>
      <c r="O9">
        <v>1.2499400000000001</v>
      </c>
      <c r="P9">
        <v>336.9</v>
      </c>
    </row>
    <row r="10" spans="1:16">
      <c r="A10">
        <v>5</v>
      </c>
      <c r="B10">
        <v>18716</v>
      </c>
      <c r="C10">
        <v>1.4061300000000001</v>
      </c>
      <c r="D10">
        <v>89.82</v>
      </c>
      <c r="E10">
        <v>7</v>
      </c>
      <c r="F10">
        <v>1.9995400000000001</v>
      </c>
      <c r="G10">
        <v>170.44</v>
      </c>
      <c r="H10">
        <v>5</v>
      </c>
      <c r="I10">
        <v>1.7690399999999999</v>
      </c>
      <c r="J10">
        <v>347.41</v>
      </c>
      <c r="K10">
        <v>9</v>
      </c>
      <c r="L10">
        <v>1.9992399999999999</v>
      </c>
      <c r="M10">
        <v>290.48</v>
      </c>
      <c r="N10">
        <v>5</v>
      </c>
      <c r="O10">
        <v>1.39991</v>
      </c>
      <c r="P10">
        <v>442.06</v>
      </c>
    </row>
    <row r="11" spans="1:16">
      <c r="A11">
        <v>6</v>
      </c>
      <c r="B11">
        <v>19632</v>
      </c>
      <c r="C11">
        <v>1.5594300000000001</v>
      </c>
      <c r="D11">
        <v>164.17</v>
      </c>
      <c r="E11">
        <v>5</v>
      </c>
      <c r="F11">
        <v>1.99962</v>
      </c>
      <c r="G11">
        <v>686.27</v>
      </c>
      <c r="H11">
        <v>4</v>
      </c>
      <c r="I11">
        <v>1.99977</v>
      </c>
      <c r="J11">
        <v>269.33</v>
      </c>
      <c r="K11">
        <v>115</v>
      </c>
      <c r="L11">
        <v>1.99318</v>
      </c>
      <c r="M11">
        <v>240.89</v>
      </c>
      <c r="N11">
        <v>4</v>
      </c>
      <c r="O11">
        <v>1</v>
      </c>
      <c r="P11">
        <v>367.64</v>
      </c>
    </row>
    <row r="12" spans="1:16">
      <c r="A12">
        <v>7</v>
      </c>
      <c r="B12">
        <v>20484</v>
      </c>
      <c r="C12">
        <v>1.5000800000000001</v>
      </c>
      <c r="D12">
        <v>86.46</v>
      </c>
      <c r="E12">
        <v>5</v>
      </c>
      <c r="F12">
        <v>1.99962</v>
      </c>
      <c r="G12">
        <v>170.94</v>
      </c>
      <c r="H12">
        <v>5</v>
      </c>
      <c r="I12">
        <v>1.7690399999999999</v>
      </c>
      <c r="J12">
        <v>234.84</v>
      </c>
      <c r="K12">
        <v>7</v>
      </c>
      <c r="L12">
        <v>1.9993099999999999</v>
      </c>
      <c r="M12">
        <v>238.3</v>
      </c>
      <c r="N12">
        <v>4</v>
      </c>
      <c r="O12">
        <v>1</v>
      </c>
      <c r="P12">
        <v>396.12</v>
      </c>
    </row>
    <row r="13" spans="1:16">
      <c r="A13">
        <v>8</v>
      </c>
      <c r="B13">
        <v>20484</v>
      </c>
      <c r="C13">
        <v>1.5000800000000001</v>
      </c>
      <c r="D13">
        <v>92.1</v>
      </c>
      <c r="E13">
        <v>5</v>
      </c>
      <c r="F13">
        <v>1.99962</v>
      </c>
      <c r="G13">
        <v>193.48</v>
      </c>
      <c r="H13">
        <v>5</v>
      </c>
      <c r="I13">
        <v>1.7690399999999999</v>
      </c>
      <c r="J13">
        <v>212.12</v>
      </c>
      <c r="K13">
        <v>7</v>
      </c>
      <c r="L13">
        <v>1.9993099999999999</v>
      </c>
      <c r="M13">
        <v>276.14999999999998</v>
      </c>
      <c r="N13">
        <v>4</v>
      </c>
      <c r="O13">
        <v>1</v>
      </c>
      <c r="P13">
        <v>552.76</v>
      </c>
    </row>
    <row r="14" spans="1:16">
      <c r="A14">
        <v>9</v>
      </c>
      <c r="B14">
        <v>20220</v>
      </c>
      <c r="C14">
        <v>1.0471299999999999</v>
      </c>
      <c r="D14">
        <v>195.25</v>
      </c>
      <c r="E14">
        <v>5</v>
      </c>
      <c r="F14">
        <v>1.99962</v>
      </c>
      <c r="G14">
        <v>170.93</v>
      </c>
      <c r="H14">
        <v>4</v>
      </c>
      <c r="I14">
        <v>1.99977</v>
      </c>
      <c r="J14">
        <v>362.09</v>
      </c>
      <c r="K14">
        <v>7</v>
      </c>
      <c r="L14">
        <v>1.9993099999999999</v>
      </c>
      <c r="M14">
        <v>312.14999999999998</v>
      </c>
      <c r="N14">
        <v>5</v>
      </c>
      <c r="O14">
        <v>1.0001500000000001</v>
      </c>
      <c r="P14">
        <v>418.62</v>
      </c>
    </row>
    <row r="15" spans="1:16">
      <c r="A15">
        <v>10</v>
      </c>
      <c r="B15">
        <v>20220</v>
      </c>
      <c r="C15">
        <v>1.0471299999999999</v>
      </c>
      <c r="D15">
        <v>222.97</v>
      </c>
      <c r="E15">
        <v>5</v>
      </c>
      <c r="F15">
        <v>1.99962</v>
      </c>
      <c r="G15">
        <v>168.85</v>
      </c>
      <c r="H15">
        <v>5</v>
      </c>
      <c r="I15">
        <v>1.39991</v>
      </c>
      <c r="J15">
        <v>355.19</v>
      </c>
      <c r="K15">
        <v>7</v>
      </c>
      <c r="L15">
        <v>1.9993099999999999</v>
      </c>
      <c r="M15">
        <v>276.95</v>
      </c>
      <c r="N15">
        <v>5</v>
      </c>
      <c r="O15">
        <v>1.0001500000000001</v>
      </c>
      <c r="P15">
        <v>417.54</v>
      </c>
    </row>
    <row r="16" spans="1:16">
      <c r="A16">
        <v>11</v>
      </c>
      <c r="B16">
        <v>18354</v>
      </c>
      <c r="C16">
        <v>1.69553</v>
      </c>
      <c r="D16">
        <v>165.48</v>
      </c>
      <c r="E16">
        <v>7</v>
      </c>
      <c r="F16">
        <v>1.9995400000000001</v>
      </c>
      <c r="G16">
        <v>218.53</v>
      </c>
      <c r="H16">
        <v>5</v>
      </c>
      <c r="I16">
        <v>1.9722200000000001</v>
      </c>
      <c r="J16">
        <v>213.8</v>
      </c>
      <c r="K16">
        <v>102</v>
      </c>
      <c r="L16">
        <v>1.9915099999999999</v>
      </c>
      <c r="M16">
        <v>249.27</v>
      </c>
      <c r="N16">
        <v>5</v>
      </c>
      <c r="O16">
        <v>1.9186799999999999</v>
      </c>
      <c r="P16">
        <v>494.1</v>
      </c>
    </row>
    <row r="17" spans="1:16">
      <c r="A17">
        <v>12</v>
      </c>
      <c r="B17">
        <v>17970</v>
      </c>
      <c r="C17">
        <v>1.7264900000000001</v>
      </c>
      <c r="D17">
        <v>138.94</v>
      </c>
      <c r="E17">
        <v>5</v>
      </c>
      <c r="F17">
        <v>1.99962</v>
      </c>
      <c r="G17">
        <v>292.55</v>
      </c>
      <c r="H17">
        <v>5</v>
      </c>
      <c r="I17">
        <v>1.7690399999999999</v>
      </c>
      <c r="J17">
        <v>205.71</v>
      </c>
      <c r="K17">
        <v>33</v>
      </c>
      <c r="L17">
        <v>1.99627</v>
      </c>
      <c r="M17">
        <v>263.33</v>
      </c>
      <c r="N17">
        <v>4</v>
      </c>
      <c r="O17">
        <v>1</v>
      </c>
      <c r="P17">
        <v>535.98</v>
      </c>
    </row>
    <row r="18" spans="1:16">
      <c r="A18">
        <v>13</v>
      </c>
      <c r="B18">
        <v>18668</v>
      </c>
      <c r="C18">
        <v>1.4041399999999999</v>
      </c>
      <c r="D18">
        <v>85.7</v>
      </c>
      <c r="E18">
        <v>10</v>
      </c>
      <c r="F18">
        <v>1.8707400000000001</v>
      </c>
      <c r="G18">
        <v>262.98</v>
      </c>
      <c r="H18">
        <v>5</v>
      </c>
      <c r="I18">
        <v>1.7690399999999999</v>
      </c>
      <c r="J18">
        <v>196.79</v>
      </c>
      <c r="K18">
        <v>35</v>
      </c>
      <c r="L18">
        <v>1.8665099999999999</v>
      </c>
      <c r="M18">
        <v>256.85000000000002</v>
      </c>
      <c r="N18">
        <v>5</v>
      </c>
      <c r="O18">
        <v>1.39991</v>
      </c>
      <c r="P18">
        <v>617.63</v>
      </c>
    </row>
    <row r="19" spans="1:16">
      <c r="A19">
        <v>14</v>
      </c>
      <c r="B19">
        <v>19632</v>
      </c>
      <c r="C19">
        <v>1.5594300000000001</v>
      </c>
      <c r="D19">
        <v>96.39</v>
      </c>
      <c r="E19">
        <v>5</v>
      </c>
      <c r="F19">
        <v>1.99962</v>
      </c>
      <c r="G19">
        <v>185.4</v>
      </c>
      <c r="H19">
        <v>4</v>
      </c>
      <c r="I19">
        <v>1.99977</v>
      </c>
      <c r="J19">
        <v>262.14999999999998</v>
      </c>
      <c r="K19">
        <v>136</v>
      </c>
      <c r="L19">
        <v>1.9913700000000001</v>
      </c>
      <c r="M19">
        <v>244.38</v>
      </c>
      <c r="N19">
        <v>4</v>
      </c>
      <c r="O19">
        <v>1</v>
      </c>
      <c r="P19">
        <v>363.73</v>
      </c>
    </row>
    <row r="20" spans="1:16">
      <c r="A20">
        <v>15</v>
      </c>
      <c r="B20">
        <v>17970</v>
      </c>
      <c r="C20">
        <v>1.7264900000000001</v>
      </c>
      <c r="D20">
        <v>83.68</v>
      </c>
      <c r="E20">
        <v>13</v>
      </c>
      <c r="F20">
        <v>1.79278</v>
      </c>
      <c r="G20">
        <v>193.76</v>
      </c>
      <c r="H20">
        <v>8</v>
      </c>
      <c r="I20">
        <v>1.6964300000000001</v>
      </c>
      <c r="J20">
        <v>211.42</v>
      </c>
      <c r="K20">
        <v>22</v>
      </c>
      <c r="L20">
        <v>1.79203</v>
      </c>
      <c r="M20">
        <v>286.45999999999998</v>
      </c>
      <c r="N20">
        <v>6</v>
      </c>
      <c r="O20">
        <v>1.2499400000000001</v>
      </c>
      <c r="P20">
        <v>348.33</v>
      </c>
    </row>
    <row r="21" spans="1:16">
      <c r="A21">
        <v>16</v>
      </c>
      <c r="B21">
        <v>20250</v>
      </c>
      <c r="C21">
        <v>1.5148900000000001</v>
      </c>
      <c r="D21">
        <v>84.2</v>
      </c>
      <c r="E21">
        <v>5</v>
      </c>
      <c r="F21">
        <v>1.99962</v>
      </c>
      <c r="G21">
        <v>211.66</v>
      </c>
      <c r="H21">
        <v>4</v>
      </c>
      <c r="I21">
        <v>1.99977</v>
      </c>
      <c r="J21">
        <v>245.95</v>
      </c>
      <c r="K21">
        <v>65</v>
      </c>
      <c r="L21">
        <v>1.9934700000000001</v>
      </c>
      <c r="M21">
        <v>266.63</v>
      </c>
      <c r="N21">
        <v>4</v>
      </c>
      <c r="O21">
        <v>1</v>
      </c>
      <c r="P21">
        <v>361.82</v>
      </c>
    </row>
    <row r="22" spans="1:16">
      <c r="A22">
        <v>17</v>
      </c>
      <c r="B22">
        <v>19368</v>
      </c>
      <c r="C22">
        <v>1.0153700000000001</v>
      </c>
      <c r="D22">
        <v>87.16</v>
      </c>
      <c r="E22">
        <v>5</v>
      </c>
      <c r="F22">
        <v>1.99962</v>
      </c>
      <c r="G22">
        <v>176</v>
      </c>
      <c r="H22">
        <v>5</v>
      </c>
      <c r="I22">
        <v>1.39991</v>
      </c>
      <c r="J22">
        <v>224.8</v>
      </c>
      <c r="K22">
        <v>137</v>
      </c>
      <c r="L22">
        <v>1.9919</v>
      </c>
      <c r="M22">
        <v>248.37</v>
      </c>
      <c r="N22">
        <v>5</v>
      </c>
      <c r="O22">
        <v>1.0001500000000001</v>
      </c>
      <c r="P22">
        <v>363.52</v>
      </c>
    </row>
    <row r="23" spans="1:16">
      <c r="A23">
        <v>18</v>
      </c>
      <c r="B23">
        <v>20484</v>
      </c>
      <c r="C23">
        <v>1.5000800000000001</v>
      </c>
      <c r="D23">
        <v>83.99</v>
      </c>
      <c r="E23">
        <v>5</v>
      </c>
      <c r="F23">
        <v>1.99962</v>
      </c>
      <c r="G23">
        <v>174.1</v>
      </c>
      <c r="H23">
        <v>4</v>
      </c>
      <c r="I23">
        <v>1.99977</v>
      </c>
      <c r="J23">
        <v>264.63</v>
      </c>
      <c r="K23">
        <v>10</v>
      </c>
      <c r="L23">
        <v>1.99909</v>
      </c>
      <c r="M23">
        <v>241.68</v>
      </c>
      <c r="N23">
        <v>4</v>
      </c>
      <c r="O23">
        <v>1</v>
      </c>
      <c r="P23">
        <v>370.18</v>
      </c>
    </row>
    <row r="24" spans="1:16">
      <c r="A24">
        <v>19</v>
      </c>
      <c r="B24">
        <v>18716</v>
      </c>
      <c r="C24">
        <v>1.4061300000000001</v>
      </c>
      <c r="D24">
        <v>83.08</v>
      </c>
      <c r="E24">
        <v>7</v>
      </c>
      <c r="F24">
        <v>1.9995400000000001</v>
      </c>
      <c r="G24">
        <v>181.48</v>
      </c>
      <c r="H24">
        <v>5</v>
      </c>
      <c r="I24">
        <v>1.7690399999999999</v>
      </c>
      <c r="J24">
        <v>239.5</v>
      </c>
      <c r="K24">
        <v>9</v>
      </c>
      <c r="L24">
        <v>1.9992399999999999</v>
      </c>
      <c r="M24">
        <v>251.13</v>
      </c>
      <c r="N24">
        <v>5</v>
      </c>
      <c r="O24">
        <v>1.39991</v>
      </c>
      <c r="P24">
        <v>355.68</v>
      </c>
    </row>
    <row r="25" spans="1:16">
      <c r="A25">
        <v>20</v>
      </c>
      <c r="B25">
        <v>20172</v>
      </c>
      <c r="C25">
        <v>1.04549</v>
      </c>
      <c r="D25">
        <v>83.5</v>
      </c>
      <c r="E25">
        <v>12</v>
      </c>
      <c r="F25">
        <v>1.99901</v>
      </c>
      <c r="G25">
        <v>198.68</v>
      </c>
      <c r="H25">
        <v>8</v>
      </c>
      <c r="I25">
        <v>1.98688</v>
      </c>
      <c r="J25">
        <v>229.23</v>
      </c>
      <c r="K25">
        <v>33</v>
      </c>
      <c r="L25">
        <v>1.98787</v>
      </c>
      <c r="M25">
        <v>253.23</v>
      </c>
      <c r="N25">
        <v>6</v>
      </c>
      <c r="O25">
        <v>1.0082599999999999</v>
      </c>
      <c r="P25">
        <v>369.46</v>
      </c>
    </row>
    <row r="26" spans="1:16">
      <c r="A26">
        <v>21</v>
      </c>
      <c r="B26">
        <v>20436</v>
      </c>
      <c r="C26">
        <v>1.5031000000000001</v>
      </c>
      <c r="D26">
        <v>92.16</v>
      </c>
      <c r="E26">
        <v>5</v>
      </c>
      <c r="F26">
        <v>1.99962</v>
      </c>
      <c r="G26">
        <v>177.03</v>
      </c>
      <c r="H26">
        <v>4</v>
      </c>
      <c r="I26">
        <v>1.99977</v>
      </c>
      <c r="J26">
        <v>250.74</v>
      </c>
      <c r="K26">
        <v>32</v>
      </c>
      <c r="L26">
        <v>1.9964299999999999</v>
      </c>
      <c r="M26">
        <v>263.10000000000002</v>
      </c>
      <c r="N26">
        <v>4</v>
      </c>
      <c r="O26">
        <v>1</v>
      </c>
      <c r="P26">
        <v>408.69</v>
      </c>
    </row>
    <row r="27" spans="1:16">
      <c r="A27">
        <v>22</v>
      </c>
      <c r="B27">
        <v>20220</v>
      </c>
      <c r="C27">
        <v>1.0471299999999999</v>
      </c>
      <c r="D27">
        <v>94.9</v>
      </c>
      <c r="E27">
        <v>5</v>
      </c>
      <c r="F27">
        <v>1.99962</v>
      </c>
      <c r="G27">
        <v>209.69</v>
      </c>
      <c r="H27">
        <v>4</v>
      </c>
      <c r="I27">
        <v>1.99977</v>
      </c>
      <c r="J27">
        <v>238.62</v>
      </c>
      <c r="K27">
        <v>7</v>
      </c>
      <c r="L27">
        <v>1.9993099999999999</v>
      </c>
      <c r="M27">
        <v>241.76</v>
      </c>
      <c r="N27">
        <v>5</v>
      </c>
      <c r="O27">
        <v>1.0001500000000001</v>
      </c>
      <c r="P27">
        <v>359.29</v>
      </c>
    </row>
    <row r="28" spans="1:16">
      <c r="A28">
        <v>23</v>
      </c>
      <c r="B28">
        <v>20436</v>
      </c>
      <c r="C28">
        <v>1.5031000000000001</v>
      </c>
      <c r="D28">
        <v>86.27</v>
      </c>
      <c r="E28">
        <v>5</v>
      </c>
      <c r="F28">
        <v>1.99962</v>
      </c>
      <c r="G28">
        <v>207.88</v>
      </c>
      <c r="H28">
        <v>4</v>
      </c>
      <c r="I28">
        <v>1.99977</v>
      </c>
      <c r="J28">
        <v>241.5</v>
      </c>
      <c r="K28">
        <v>32</v>
      </c>
      <c r="L28">
        <v>1.9975700000000001</v>
      </c>
      <c r="M28">
        <v>254.58</v>
      </c>
      <c r="N28">
        <v>4</v>
      </c>
      <c r="O28">
        <v>1</v>
      </c>
      <c r="P28">
        <v>351.08</v>
      </c>
    </row>
    <row r="29" spans="1:16">
      <c r="A29">
        <v>24</v>
      </c>
      <c r="B29">
        <v>20484</v>
      </c>
      <c r="C29">
        <v>1.5000800000000001</v>
      </c>
      <c r="D29">
        <v>110.14</v>
      </c>
      <c r="E29">
        <v>5</v>
      </c>
      <c r="F29">
        <v>1.99962</v>
      </c>
      <c r="G29">
        <v>185.57</v>
      </c>
      <c r="H29">
        <v>5</v>
      </c>
      <c r="I29">
        <v>1.7690399999999999</v>
      </c>
      <c r="J29">
        <v>210.36</v>
      </c>
      <c r="K29">
        <v>7</v>
      </c>
      <c r="L29">
        <v>1.9993099999999999</v>
      </c>
      <c r="M29">
        <v>268.5</v>
      </c>
      <c r="N29">
        <v>4</v>
      </c>
      <c r="O29">
        <v>1</v>
      </c>
      <c r="P29">
        <v>357.43</v>
      </c>
    </row>
    <row r="30" spans="1:16">
      <c r="A30">
        <v>25</v>
      </c>
      <c r="B30">
        <v>18354</v>
      </c>
      <c r="C30">
        <v>1.69553</v>
      </c>
      <c r="D30">
        <v>84.23</v>
      </c>
      <c r="E30">
        <v>7</v>
      </c>
      <c r="F30">
        <v>1.9995400000000001</v>
      </c>
      <c r="G30">
        <v>181.12</v>
      </c>
      <c r="H30">
        <v>5</v>
      </c>
      <c r="I30">
        <v>1.9722200000000001</v>
      </c>
      <c r="J30">
        <v>219.96</v>
      </c>
      <c r="K30">
        <v>102</v>
      </c>
      <c r="L30">
        <v>1.9915099999999999</v>
      </c>
      <c r="M30">
        <v>276.77999999999997</v>
      </c>
      <c r="N30">
        <v>5</v>
      </c>
      <c r="O30">
        <v>1.9186799999999999</v>
      </c>
      <c r="P30">
        <v>364.42</v>
      </c>
    </row>
    <row r="31" spans="1:16">
      <c r="A31">
        <v>26</v>
      </c>
      <c r="B31">
        <v>18716</v>
      </c>
      <c r="C31">
        <v>1.4061300000000001</v>
      </c>
      <c r="D31">
        <v>85.91</v>
      </c>
      <c r="E31">
        <v>10</v>
      </c>
      <c r="F31">
        <v>1.85327</v>
      </c>
      <c r="G31">
        <v>170.63</v>
      </c>
      <c r="H31">
        <v>5</v>
      </c>
      <c r="I31">
        <v>1.7690399999999999</v>
      </c>
      <c r="J31">
        <v>249.15</v>
      </c>
      <c r="K31">
        <v>12</v>
      </c>
      <c r="L31">
        <v>1.8528</v>
      </c>
      <c r="M31">
        <v>243.41</v>
      </c>
      <c r="N31">
        <v>5</v>
      </c>
      <c r="O31">
        <v>1.39991</v>
      </c>
      <c r="P31">
        <v>376.65</v>
      </c>
    </row>
    <row r="32" spans="1:16">
      <c r="A32">
        <v>27</v>
      </c>
      <c r="B32">
        <v>18716</v>
      </c>
      <c r="C32">
        <v>1.4061300000000001</v>
      </c>
      <c r="D32">
        <v>82.44</v>
      </c>
      <c r="E32">
        <v>10</v>
      </c>
      <c r="F32">
        <v>1.8707400000000001</v>
      </c>
      <c r="G32">
        <v>183.43</v>
      </c>
      <c r="H32">
        <v>5</v>
      </c>
      <c r="I32">
        <v>1.7690399999999999</v>
      </c>
      <c r="J32">
        <v>202.75</v>
      </c>
      <c r="K32">
        <v>12</v>
      </c>
      <c r="L32">
        <v>1.87026</v>
      </c>
      <c r="M32">
        <v>274.79000000000002</v>
      </c>
      <c r="N32">
        <v>5</v>
      </c>
      <c r="O32">
        <v>1.39991</v>
      </c>
      <c r="P32">
        <v>357.69</v>
      </c>
    </row>
    <row r="33" spans="1:16">
      <c r="A33">
        <v>28</v>
      </c>
      <c r="B33">
        <v>20484</v>
      </c>
      <c r="C33">
        <v>1.5000800000000001</v>
      </c>
      <c r="D33">
        <v>94.17</v>
      </c>
      <c r="E33">
        <v>5</v>
      </c>
      <c r="F33">
        <v>1.99962</v>
      </c>
      <c r="G33">
        <v>177.78</v>
      </c>
      <c r="H33">
        <v>5</v>
      </c>
      <c r="I33">
        <v>1.7690399999999999</v>
      </c>
      <c r="J33">
        <v>199.99</v>
      </c>
      <c r="K33">
        <v>10</v>
      </c>
      <c r="L33">
        <v>1.99909</v>
      </c>
      <c r="M33">
        <v>271.25</v>
      </c>
      <c r="N33">
        <v>4</v>
      </c>
      <c r="O33">
        <v>1</v>
      </c>
      <c r="P33">
        <v>355.45</v>
      </c>
    </row>
    <row r="34" spans="1:16">
      <c r="A34">
        <v>29</v>
      </c>
      <c r="B34">
        <v>20172</v>
      </c>
      <c r="C34">
        <v>1.04549</v>
      </c>
      <c r="D34">
        <v>97.64</v>
      </c>
      <c r="E34">
        <v>5</v>
      </c>
      <c r="F34">
        <v>1.99962</v>
      </c>
      <c r="G34">
        <v>176</v>
      </c>
      <c r="H34">
        <v>4</v>
      </c>
      <c r="I34">
        <v>1.99977</v>
      </c>
      <c r="J34">
        <v>248</v>
      </c>
      <c r="K34">
        <v>32</v>
      </c>
      <c r="L34">
        <v>1.9975700000000001</v>
      </c>
      <c r="M34">
        <v>237.63</v>
      </c>
      <c r="N34">
        <v>5</v>
      </c>
      <c r="O34">
        <v>1.0001500000000001</v>
      </c>
      <c r="P34">
        <v>365.67</v>
      </c>
    </row>
    <row r="35" spans="1:16">
      <c r="A35">
        <v>30</v>
      </c>
      <c r="B35">
        <v>20484</v>
      </c>
      <c r="C35">
        <v>1.5000800000000001</v>
      </c>
      <c r="D35">
        <v>86.16</v>
      </c>
      <c r="E35">
        <v>5</v>
      </c>
      <c r="F35">
        <v>1.99962</v>
      </c>
      <c r="G35">
        <v>180.71</v>
      </c>
      <c r="H35">
        <v>4</v>
      </c>
      <c r="I35">
        <v>1.99977</v>
      </c>
      <c r="J35">
        <v>261.70999999999998</v>
      </c>
      <c r="K35">
        <v>7</v>
      </c>
      <c r="L35">
        <v>1.9993099999999999</v>
      </c>
      <c r="M35">
        <v>239.6</v>
      </c>
      <c r="N35">
        <v>4</v>
      </c>
      <c r="O35">
        <v>1</v>
      </c>
      <c r="P35">
        <v>362.38</v>
      </c>
    </row>
    <row r="36" spans="1:16">
      <c r="A36">
        <v>31</v>
      </c>
      <c r="B36">
        <v>18716</v>
      </c>
      <c r="C36">
        <v>1.4061300000000001</v>
      </c>
      <c r="D36">
        <v>83.49</v>
      </c>
      <c r="E36">
        <v>10</v>
      </c>
      <c r="F36">
        <v>1.8707400000000001</v>
      </c>
      <c r="G36">
        <v>179.32</v>
      </c>
      <c r="H36">
        <v>5</v>
      </c>
      <c r="I36">
        <v>1.7690399999999999</v>
      </c>
      <c r="J36">
        <v>223.93</v>
      </c>
      <c r="K36">
        <v>15</v>
      </c>
      <c r="L36">
        <v>1.86985</v>
      </c>
      <c r="M36">
        <v>242.01</v>
      </c>
      <c r="N36">
        <v>5</v>
      </c>
      <c r="O36">
        <v>1.39991</v>
      </c>
      <c r="P36">
        <v>365.47</v>
      </c>
    </row>
    <row r="38" spans="1:16">
      <c r="C38" t="s">
        <v>4</v>
      </c>
      <c r="F38" t="s">
        <v>5</v>
      </c>
      <c r="I38" t="s">
        <v>19</v>
      </c>
      <c r="L38" t="s">
        <v>6</v>
      </c>
      <c r="O38" t="s">
        <v>6</v>
      </c>
    </row>
    <row r="39" spans="1:16">
      <c r="B39" t="s">
        <v>7</v>
      </c>
      <c r="C39" t="s">
        <v>8</v>
      </c>
      <c r="D39" t="s">
        <v>9</v>
      </c>
      <c r="E39" t="s">
        <v>7</v>
      </c>
      <c r="F39" t="s">
        <v>8</v>
      </c>
      <c r="G39" t="s">
        <v>9</v>
      </c>
      <c r="H39" t="s">
        <v>7</v>
      </c>
      <c r="I39" t="s">
        <v>8</v>
      </c>
      <c r="J39" t="s">
        <v>9</v>
      </c>
      <c r="K39" t="s">
        <v>7</v>
      </c>
      <c r="L39" t="s">
        <v>8</v>
      </c>
      <c r="M39" t="s">
        <v>10</v>
      </c>
      <c r="N39" t="s">
        <v>7</v>
      </c>
      <c r="O39" t="s">
        <v>8</v>
      </c>
      <c r="P39" t="s">
        <v>10</v>
      </c>
    </row>
    <row r="40" spans="1:16">
      <c r="A40" t="s">
        <v>11</v>
      </c>
      <c r="B40" s="1">
        <f>MAX(B5:B36)</f>
        <v>20484</v>
      </c>
      <c r="C40" s="1">
        <f t="shared" ref="C40:P40" si="0">MAX(C5:C36)</f>
        <v>1.7264900000000001</v>
      </c>
      <c r="D40" s="1">
        <f t="shared" si="0"/>
        <v>222.97</v>
      </c>
      <c r="E40" s="1">
        <f t="shared" si="0"/>
        <v>13</v>
      </c>
      <c r="F40" s="1">
        <f t="shared" si="0"/>
        <v>1.99962</v>
      </c>
      <c r="G40" s="1">
        <f t="shared" si="0"/>
        <v>686.27</v>
      </c>
      <c r="H40" s="1">
        <f t="shared" si="0"/>
        <v>8</v>
      </c>
      <c r="I40" s="1">
        <f t="shared" si="0"/>
        <v>1.99977</v>
      </c>
      <c r="J40" s="1">
        <f t="shared" si="0"/>
        <v>362.09</v>
      </c>
      <c r="K40" s="1">
        <f t="shared" si="0"/>
        <v>202</v>
      </c>
      <c r="L40" s="1">
        <f t="shared" si="0"/>
        <v>1.9993099999999999</v>
      </c>
      <c r="M40" s="1">
        <f t="shared" si="0"/>
        <v>312.14999999999998</v>
      </c>
      <c r="N40" s="1">
        <f t="shared" si="0"/>
        <v>6</v>
      </c>
      <c r="O40" s="1">
        <f t="shared" si="0"/>
        <v>1.9186799999999999</v>
      </c>
      <c r="P40" s="1">
        <f t="shared" si="0"/>
        <v>617.63</v>
      </c>
    </row>
    <row r="41" spans="1:16">
      <c r="A41" t="s">
        <v>12</v>
      </c>
      <c r="B41" s="1">
        <f>MIN(B5:B36)</f>
        <v>17970</v>
      </c>
      <c r="C41" s="1">
        <f t="shared" ref="C41:P41" si="1">MIN(C5:C36)</f>
        <v>1.0153700000000001</v>
      </c>
      <c r="D41" s="1">
        <f t="shared" si="1"/>
        <v>81.239999999999995</v>
      </c>
      <c r="E41" s="1">
        <f t="shared" si="1"/>
        <v>5</v>
      </c>
      <c r="F41" s="1">
        <f t="shared" si="1"/>
        <v>1.52349</v>
      </c>
      <c r="G41" s="1">
        <f t="shared" si="1"/>
        <v>152.13999999999999</v>
      </c>
      <c r="H41" s="1">
        <f t="shared" si="1"/>
        <v>4</v>
      </c>
      <c r="I41" s="1">
        <f t="shared" si="1"/>
        <v>1.39991</v>
      </c>
      <c r="J41" s="1">
        <f t="shared" si="1"/>
        <v>190.6</v>
      </c>
      <c r="K41" s="1">
        <f t="shared" si="1"/>
        <v>7</v>
      </c>
      <c r="L41" s="1">
        <f t="shared" si="1"/>
        <v>1.5199800000000001</v>
      </c>
      <c r="M41" s="1">
        <f t="shared" si="1"/>
        <v>215.52</v>
      </c>
      <c r="N41" s="1">
        <f t="shared" si="1"/>
        <v>4</v>
      </c>
      <c r="O41" s="1">
        <f t="shared" si="1"/>
        <v>1</v>
      </c>
      <c r="P41" s="1">
        <f t="shared" si="1"/>
        <v>312.07</v>
      </c>
    </row>
    <row r="42" spans="1:16">
      <c r="A42" t="s">
        <v>13</v>
      </c>
      <c r="B42" s="1">
        <f>MEDIAN(B5:B36)</f>
        <v>19632</v>
      </c>
      <c r="C42" s="1">
        <f t="shared" ref="C42:P42" si="2">MEDIAN(C5:C36)</f>
        <v>1.5000800000000001</v>
      </c>
      <c r="D42" s="1">
        <f t="shared" si="2"/>
        <v>86.81</v>
      </c>
      <c r="E42" s="1">
        <f t="shared" si="2"/>
        <v>5</v>
      </c>
      <c r="F42" s="1">
        <f t="shared" si="2"/>
        <v>1.99962</v>
      </c>
      <c r="G42" s="1">
        <f t="shared" si="2"/>
        <v>180.91500000000002</v>
      </c>
      <c r="H42" s="1">
        <f t="shared" si="2"/>
        <v>5</v>
      </c>
      <c r="I42" s="1">
        <f t="shared" si="2"/>
        <v>1.7690399999999999</v>
      </c>
      <c r="J42" s="1">
        <f t="shared" si="2"/>
        <v>232.035</v>
      </c>
      <c r="K42" s="1">
        <f t="shared" si="2"/>
        <v>32</v>
      </c>
      <c r="L42" s="1">
        <f t="shared" si="2"/>
        <v>1.9938500000000001</v>
      </c>
      <c r="M42" s="1">
        <f t="shared" si="2"/>
        <v>252.18</v>
      </c>
      <c r="N42" s="1">
        <f t="shared" si="2"/>
        <v>5</v>
      </c>
      <c r="O42" s="1">
        <f t="shared" si="2"/>
        <v>1.0001500000000001</v>
      </c>
      <c r="P42" s="1">
        <f t="shared" si="2"/>
        <v>365.57000000000005</v>
      </c>
    </row>
    <row r="43" spans="1:16">
      <c r="A43" t="s">
        <v>14</v>
      </c>
      <c r="B43" s="1">
        <f>AVERAGE(B5:B36)</f>
        <v>19513.9375</v>
      </c>
      <c r="C43" s="1">
        <f t="shared" ref="C43:P43" si="3">AVERAGE(C5:C36)</f>
        <v>1.4204871874999996</v>
      </c>
      <c r="D43" s="1">
        <f t="shared" si="3"/>
        <v>102.67343749999999</v>
      </c>
      <c r="E43" s="1">
        <f t="shared" si="3"/>
        <v>6.9375</v>
      </c>
      <c r="F43" s="1">
        <f t="shared" si="3"/>
        <v>1.9515671875000002</v>
      </c>
      <c r="G43" s="1">
        <f t="shared" si="3"/>
        <v>204.04531249999997</v>
      </c>
      <c r="H43" s="1">
        <f t="shared" si="3"/>
        <v>4.96875</v>
      </c>
      <c r="I43" s="1">
        <f t="shared" si="3"/>
        <v>1.8284153124999991</v>
      </c>
      <c r="J43" s="1">
        <f t="shared" si="3"/>
        <v>239.68499999999997</v>
      </c>
      <c r="K43" s="1">
        <f t="shared" si="3"/>
        <v>48.625</v>
      </c>
      <c r="L43" s="1">
        <f t="shared" si="3"/>
        <v>1.9482265625000008</v>
      </c>
      <c r="M43" s="1">
        <f t="shared" si="3"/>
        <v>255.856875</v>
      </c>
      <c r="N43" s="1">
        <f t="shared" si="3"/>
        <v>4.71875</v>
      </c>
      <c r="O43" s="1">
        <f t="shared" si="3"/>
        <v>1.1658040624999997</v>
      </c>
      <c r="P43" s="1">
        <f t="shared" si="3"/>
        <v>397.70000000000005</v>
      </c>
    </row>
    <row r="44" spans="1:16">
      <c r="A44" t="s">
        <v>15</v>
      </c>
      <c r="B44" s="1">
        <f>STDEV(B5:B36)</f>
        <v>898.1478410344472</v>
      </c>
      <c r="C44" s="1">
        <f t="shared" ref="C44:P44" si="4">STDEV(C5:C36)</f>
        <v>0.22580152564178727</v>
      </c>
      <c r="D44" s="1">
        <f t="shared" si="4"/>
        <v>35.333788873959115</v>
      </c>
      <c r="E44" s="1">
        <f t="shared" si="4"/>
        <v>2.7231089916940823</v>
      </c>
      <c r="F44" s="1">
        <f t="shared" si="4"/>
        <v>0.10191122462583747</v>
      </c>
      <c r="G44" s="1">
        <f t="shared" si="4"/>
        <v>92.634297904643901</v>
      </c>
      <c r="H44" s="1">
        <f t="shared" si="4"/>
        <v>1.0620848334989004</v>
      </c>
      <c r="I44" s="1">
        <f t="shared" si="4"/>
        <v>0.18159706998105898</v>
      </c>
      <c r="J44" s="1">
        <f t="shared" si="4"/>
        <v>44.161767437748757</v>
      </c>
      <c r="K44" s="1">
        <f t="shared" si="4"/>
        <v>52.715150543028841</v>
      </c>
      <c r="L44" s="1">
        <f t="shared" si="4"/>
        <v>0.10201860679779795</v>
      </c>
      <c r="M44" s="1">
        <f t="shared" si="4"/>
        <v>22.950098381614978</v>
      </c>
      <c r="N44" s="1">
        <f t="shared" si="4"/>
        <v>0.68317923780494227</v>
      </c>
      <c r="O44" s="1">
        <f t="shared" si="4"/>
        <v>0.25892618977989101</v>
      </c>
      <c r="P44" s="1">
        <f t="shared" si="4"/>
        <v>71.336320523323678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7E00CB-57B8-B045-82E4-91E92BFBD132}">
  <sheetPr codeName="Sheet11"/>
  <dimension ref="A1:P44"/>
  <sheetViews>
    <sheetView workbookViewId="0">
      <selection sqref="A1:P36"/>
    </sheetView>
  </sheetViews>
  <sheetFormatPr baseColWidth="10" defaultRowHeight="16"/>
  <sheetData>
    <row r="1" spans="1:16">
      <c r="A1" t="s">
        <v>0</v>
      </c>
      <c r="B1" t="s">
        <v>21</v>
      </c>
      <c r="C1" t="s">
        <v>1</v>
      </c>
      <c r="D1">
        <v>118100</v>
      </c>
    </row>
    <row r="2" spans="1:16">
      <c r="A2" t="s">
        <v>2</v>
      </c>
      <c r="B2" t="s">
        <v>3</v>
      </c>
    </row>
    <row r="3" spans="1:16">
      <c r="C3" t="s">
        <v>4</v>
      </c>
      <c r="F3" t="s">
        <v>5</v>
      </c>
      <c r="I3" t="s">
        <v>19</v>
      </c>
      <c r="L3" t="s">
        <v>6</v>
      </c>
      <c r="O3" t="s">
        <v>20</v>
      </c>
    </row>
    <row r="4" spans="1:16">
      <c r="B4" t="s">
        <v>7</v>
      </c>
      <c r="C4" t="s">
        <v>8</v>
      </c>
      <c r="D4" t="s">
        <v>9</v>
      </c>
      <c r="E4" t="s">
        <v>7</v>
      </c>
      <c r="F4" t="s">
        <v>8</v>
      </c>
      <c r="G4" t="s">
        <v>9</v>
      </c>
      <c r="H4" t="s">
        <v>7</v>
      </c>
      <c r="I4" t="s">
        <v>8</v>
      </c>
      <c r="J4" t="s">
        <v>9</v>
      </c>
      <c r="K4" t="s">
        <v>7</v>
      </c>
      <c r="L4" t="s">
        <v>8</v>
      </c>
      <c r="M4" t="s">
        <v>10</v>
      </c>
      <c r="N4" t="s">
        <v>7</v>
      </c>
      <c r="O4" t="s">
        <v>8</v>
      </c>
      <c r="P4" t="s">
        <v>10</v>
      </c>
    </row>
    <row r="5" spans="1:16">
      <c r="A5">
        <v>0</v>
      </c>
      <c r="B5">
        <v>62622</v>
      </c>
      <c r="C5">
        <v>1.20905</v>
      </c>
      <c r="D5">
        <v>395.74</v>
      </c>
      <c r="E5">
        <v>5</v>
      </c>
      <c r="F5">
        <v>1.99987</v>
      </c>
      <c r="G5">
        <v>698.84</v>
      </c>
      <c r="H5">
        <v>4</v>
      </c>
      <c r="I5">
        <v>1.9999199999999999</v>
      </c>
      <c r="J5">
        <v>886.79</v>
      </c>
      <c r="K5">
        <v>354</v>
      </c>
      <c r="L5">
        <v>1.9913400000000001</v>
      </c>
      <c r="M5">
        <v>936.99</v>
      </c>
      <c r="N5">
        <v>4</v>
      </c>
      <c r="O5">
        <v>1</v>
      </c>
      <c r="P5">
        <v>1953.57</v>
      </c>
    </row>
    <row r="6" spans="1:16">
      <c r="A6">
        <v>1</v>
      </c>
      <c r="B6">
        <v>52896</v>
      </c>
      <c r="C6">
        <v>1.25481</v>
      </c>
      <c r="D6">
        <v>316.23</v>
      </c>
      <c r="E6">
        <v>9</v>
      </c>
      <c r="F6">
        <v>1.9998199999999999</v>
      </c>
      <c r="G6">
        <v>624.29</v>
      </c>
      <c r="H6">
        <v>6</v>
      </c>
      <c r="I6">
        <v>1.8927700000000001</v>
      </c>
      <c r="J6">
        <v>791.73</v>
      </c>
      <c r="K6">
        <v>290</v>
      </c>
      <c r="L6">
        <v>1.98912</v>
      </c>
      <c r="M6">
        <v>903.18</v>
      </c>
      <c r="N6">
        <v>6</v>
      </c>
      <c r="O6">
        <v>1.0769200000000001</v>
      </c>
      <c r="P6">
        <v>1210.51</v>
      </c>
    </row>
    <row r="7" spans="1:16">
      <c r="A7">
        <v>2</v>
      </c>
      <c r="B7">
        <v>52896</v>
      </c>
      <c r="C7">
        <v>1.25481</v>
      </c>
      <c r="D7">
        <v>348.61</v>
      </c>
      <c r="E7">
        <v>5</v>
      </c>
      <c r="F7">
        <v>1.99987</v>
      </c>
      <c r="G7">
        <v>589.5</v>
      </c>
      <c r="H7">
        <v>5</v>
      </c>
      <c r="I7">
        <v>1.3999699999999999</v>
      </c>
      <c r="J7">
        <v>718.85</v>
      </c>
      <c r="K7">
        <v>210</v>
      </c>
      <c r="L7">
        <v>1.9933700000000001</v>
      </c>
      <c r="M7">
        <v>835.97</v>
      </c>
      <c r="N7">
        <v>5</v>
      </c>
      <c r="O7">
        <v>1.0000500000000001</v>
      </c>
      <c r="P7">
        <v>1158.4000000000001</v>
      </c>
    </row>
    <row r="8" spans="1:16">
      <c r="A8">
        <v>3</v>
      </c>
      <c r="B8">
        <v>58674</v>
      </c>
      <c r="C8">
        <v>1.34293</v>
      </c>
      <c r="D8">
        <v>345.63</v>
      </c>
      <c r="E8">
        <v>7</v>
      </c>
      <c r="F8">
        <v>1.9998499999999999</v>
      </c>
      <c r="G8">
        <v>585.27</v>
      </c>
      <c r="H8">
        <v>5</v>
      </c>
      <c r="I8">
        <v>1.9723900000000001</v>
      </c>
      <c r="J8">
        <v>691.16</v>
      </c>
      <c r="K8">
        <v>412</v>
      </c>
      <c r="L8">
        <v>1.98414</v>
      </c>
      <c r="M8">
        <v>847.91</v>
      </c>
      <c r="N8">
        <v>5</v>
      </c>
      <c r="O8">
        <v>1.9188400000000001</v>
      </c>
      <c r="P8">
        <v>1139.46</v>
      </c>
    </row>
    <row r="9" spans="1:16">
      <c r="A9">
        <v>4</v>
      </c>
      <c r="B9">
        <v>55260</v>
      </c>
      <c r="C9">
        <v>1.7470399999999999</v>
      </c>
      <c r="D9">
        <v>345.43</v>
      </c>
      <c r="E9">
        <v>7</v>
      </c>
      <c r="F9">
        <v>1.9998499999999999</v>
      </c>
      <c r="G9">
        <v>553.85</v>
      </c>
      <c r="H9">
        <v>5</v>
      </c>
      <c r="I9">
        <v>1.9188400000000001</v>
      </c>
      <c r="J9">
        <v>677.02</v>
      </c>
      <c r="K9">
        <v>67</v>
      </c>
      <c r="L9">
        <v>1.99779</v>
      </c>
      <c r="M9">
        <v>832.88</v>
      </c>
      <c r="N9">
        <v>5</v>
      </c>
      <c r="O9">
        <v>1.7691699999999999</v>
      </c>
      <c r="P9">
        <v>1145.42</v>
      </c>
    </row>
    <row r="10" spans="1:16">
      <c r="A10">
        <v>5</v>
      </c>
      <c r="B10">
        <v>48002</v>
      </c>
      <c r="C10">
        <v>1.7702100000000001</v>
      </c>
      <c r="D10">
        <v>359.49</v>
      </c>
      <c r="E10">
        <v>11</v>
      </c>
      <c r="F10">
        <v>1.8710199999999999</v>
      </c>
      <c r="G10">
        <v>559.28</v>
      </c>
      <c r="H10">
        <v>5</v>
      </c>
      <c r="I10">
        <v>1.7691699999999999</v>
      </c>
      <c r="J10">
        <v>691.22</v>
      </c>
      <c r="K10">
        <v>13</v>
      </c>
      <c r="L10">
        <v>1.87086</v>
      </c>
      <c r="M10">
        <v>847.97</v>
      </c>
      <c r="N10">
        <v>5</v>
      </c>
      <c r="O10">
        <v>1.3999699999999999</v>
      </c>
      <c r="P10">
        <v>1159.08</v>
      </c>
    </row>
    <row r="11" spans="1:16">
      <c r="A11">
        <v>6</v>
      </c>
      <c r="B11">
        <v>59058</v>
      </c>
      <c r="C11">
        <v>1.33613</v>
      </c>
      <c r="D11">
        <v>376.44</v>
      </c>
      <c r="E11">
        <v>5</v>
      </c>
      <c r="F11">
        <v>1.99987</v>
      </c>
      <c r="G11">
        <v>560.11</v>
      </c>
      <c r="H11">
        <v>5</v>
      </c>
      <c r="I11">
        <v>1.7691699999999999</v>
      </c>
      <c r="J11">
        <v>693.2</v>
      </c>
      <c r="K11">
        <v>331</v>
      </c>
      <c r="L11">
        <v>1.99227</v>
      </c>
      <c r="M11">
        <v>876.54</v>
      </c>
      <c r="N11">
        <v>4</v>
      </c>
      <c r="O11">
        <v>1</v>
      </c>
      <c r="P11">
        <v>1140.1099999999999</v>
      </c>
    </row>
    <row r="12" spans="1:16">
      <c r="A12">
        <v>7</v>
      </c>
      <c r="B12">
        <v>57282</v>
      </c>
      <c r="C12">
        <v>1.3704799999999999</v>
      </c>
      <c r="D12">
        <v>356.52</v>
      </c>
      <c r="E12">
        <v>5</v>
      </c>
      <c r="F12">
        <v>1.99987</v>
      </c>
      <c r="G12">
        <v>572.79</v>
      </c>
      <c r="H12">
        <v>4</v>
      </c>
      <c r="I12">
        <v>1.9999199999999999</v>
      </c>
      <c r="J12">
        <v>776.51</v>
      </c>
      <c r="K12">
        <v>249</v>
      </c>
      <c r="L12">
        <v>1.9933000000000001</v>
      </c>
      <c r="M12">
        <v>861.47</v>
      </c>
      <c r="N12">
        <v>4</v>
      </c>
      <c r="O12">
        <v>1</v>
      </c>
      <c r="P12">
        <v>1154.77</v>
      </c>
    </row>
    <row r="13" spans="1:16">
      <c r="A13">
        <v>8</v>
      </c>
      <c r="B13">
        <v>55188</v>
      </c>
      <c r="C13">
        <v>1.2970299999999999</v>
      </c>
      <c r="D13">
        <v>349.55</v>
      </c>
      <c r="E13">
        <v>5</v>
      </c>
      <c r="F13">
        <v>1.99987</v>
      </c>
      <c r="G13">
        <v>565.29</v>
      </c>
      <c r="H13">
        <v>5</v>
      </c>
      <c r="I13">
        <v>1.3999699999999999</v>
      </c>
      <c r="J13">
        <v>731.99</v>
      </c>
      <c r="K13">
        <v>10</v>
      </c>
      <c r="L13">
        <v>1.9997</v>
      </c>
      <c r="M13">
        <v>841.99</v>
      </c>
      <c r="N13">
        <v>5</v>
      </c>
      <c r="O13">
        <v>1.0000500000000001</v>
      </c>
      <c r="P13">
        <v>1121.29</v>
      </c>
    </row>
    <row r="14" spans="1:16">
      <c r="A14">
        <v>9</v>
      </c>
      <c r="B14">
        <v>47768</v>
      </c>
      <c r="C14">
        <v>1.76631</v>
      </c>
      <c r="D14">
        <v>356.84</v>
      </c>
      <c r="E14">
        <v>7</v>
      </c>
      <c r="F14">
        <v>1.9998499999999999</v>
      </c>
      <c r="G14">
        <v>562.89</v>
      </c>
      <c r="H14">
        <v>5</v>
      </c>
      <c r="I14">
        <v>1.7691699999999999</v>
      </c>
      <c r="J14">
        <v>754.02</v>
      </c>
      <c r="K14">
        <v>58</v>
      </c>
      <c r="L14">
        <v>1.99848</v>
      </c>
      <c r="M14">
        <v>891.42</v>
      </c>
      <c r="N14">
        <v>5</v>
      </c>
      <c r="O14">
        <v>1.3999699999999999</v>
      </c>
      <c r="P14">
        <v>1124.48</v>
      </c>
    </row>
    <row r="15" spans="1:16">
      <c r="A15">
        <v>10</v>
      </c>
      <c r="B15">
        <v>52896</v>
      </c>
      <c r="C15">
        <v>1.25481</v>
      </c>
      <c r="D15">
        <v>361.95</v>
      </c>
      <c r="E15">
        <v>9</v>
      </c>
      <c r="F15">
        <v>1.9998199999999999</v>
      </c>
      <c r="G15">
        <v>564.84</v>
      </c>
      <c r="H15">
        <v>6</v>
      </c>
      <c r="I15">
        <v>1.8927700000000001</v>
      </c>
      <c r="J15">
        <v>714.96</v>
      </c>
      <c r="K15">
        <v>200</v>
      </c>
      <c r="L15">
        <v>1.99471</v>
      </c>
      <c r="M15">
        <v>826.74</v>
      </c>
      <c r="N15">
        <v>5</v>
      </c>
      <c r="O15">
        <v>1.03773</v>
      </c>
      <c r="P15">
        <v>1124.24</v>
      </c>
    </row>
    <row r="16" spans="1:16">
      <c r="A16">
        <v>11</v>
      </c>
      <c r="B16">
        <v>56652</v>
      </c>
      <c r="C16">
        <v>1.70631</v>
      </c>
      <c r="D16">
        <v>357.1</v>
      </c>
      <c r="E16">
        <v>7</v>
      </c>
      <c r="F16">
        <v>1.9998499999999999</v>
      </c>
      <c r="G16">
        <v>553.46</v>
      </c>
      <c r="H16">
        <v>5</v>
      </c>
      <c r="I16">
        <v>1.9723900000000001</v>
      </c>
      <c r="J16">
        <v>691.54</v>
      </c>
      <c r="K16">
        <v>198</v>
      </c>
      <c r="L16">
        <v>1.9947299999999999</v>
      </c>
      <c r="M16">
        <v>826.87</v>
      </c>
      <c r="N16">
        <v>5</v>
      </c>
      <c r="O16">
        <v>1.9188400000000001</v>
      </c>
      <c r="P16">
        <v>1128.5</v>
      </c>
    </row>
    <row r="17" spans="1:16">
      <c r="A17">
        <v>12</v>
      </c>
      <c r="B17">
        <v>63426</v>
      </c>
      <c r="C17">
        <v>1.1963200000000001</v>
      </c>
      <c r="D17">
        <v>356.91</v>
      </c>
      <c r="E17">
        <v>5</v>
      </c>
      <c r="F17">
        <v>1.99987</v>
      </c>
      <c r="G17">
        <v>552.08000000000004</v>
      </c>
      <c r="H17">
        <v>5</v>
      </c>
      <c r="I17">
        <v>1.7691699999999999</v>
      </c>
      <c r="J17">
        <v>701.54</v>
      </c>
      <c r="K17">
        <v>248</v>
      </c>
      <c r="L17">
        <v>1.99335</v>
      </c>
      <c r="M17">
        <v>827.94</v>
      </c>
      <c r="N17">
        <v>4</v>
      </c>
      <c r="O17">
        <v>1</v>
      </c>
      <c r="P17">
        <v>1108.5</v>
      </c>
    </row>
    <row r="18" spans="1:16">
      <c r="A18">
        <v>13</v>
      </c>
      <c r="B18">
        <v>48002</v>
      </c>
      <c r="C18">
        <v>1.7702100000000001</v>
      </c>
      <c r="D18">
        <v>345.95</v>
      </c>
      <c r="E18">
        <v>7</v>
      </c>
      <c r="F18">
        <v>1.9998499999999999</v>
      </c>
      <c r="G18">
        <v>550.75</v>
      </c>
      <c r="H18">
        <v>5</v>
      </c>
      <c r="I18">
        <v>1.7691699999999999</v>
      </c>
      <c r="J18">
        <v>794.58</v>
      </c>
      <c r="K18">
        <v>9</v>
      </c>
      <c r="L18">
        <v>1.9997499999999999</v>
      </c>
      <c r="M18">
        <v>835.78</v>
      </c>
      <c r="N18">
        <v>5</v>
      </c>
      <c r="O18">
        <v>1.3999699999999999</v>
      </c>
      <c r="P18">
        <v>1142.43</v>
      </c>
    </row>
    <row r="19" spans="1:16">
      <c r="A19">
        <v>14</v>
      </c>
      <c r="B19">
        <v>47150</v>
      </c>
      <c r="C19">
        <v>1.7543500000000001</v>
      </c>
      <c r="D19">
        <v>333.37</v>
      </c>
      <c r="E19">
        <v>11</v>
      </c>
      <c r="F19">
        <v>1.5434099999999999</v>
      </c>
      <c r="G19">
        <v>645.5</v>
      </c>
      <c r="H19">
        <v>5</v>
      </c>
      <c r="I19">
        <v>1.7691699999999999</v>
      </c>
      <c r="J19">
        <v>774.53</v>
      </c>
      <c r="K19">
        <v>140</v>
      </c>
      <c r="L19">
        <v>1.54619</v>
      </c>
      <c r="M19">
        <v>981.39</v>
      </c>
      <c r="N19">
        <v>6</v>
      </c>
      <c r="O19">
        <v>1</v>
      </c>
      <c r="P19">
        <v>1340.91</v>
      </c>
    </row>
    <row r="20" spans="1:16">
      <c r="A20">
        <v>15</v>
      </c>
      <c r="B20">
        <v>60960</v>
      </c>
      <c r="C20">
        <v>1.2442</v>
      </c>
      <c r="D20">
        <v>315.08</v>
      </c>
      <c r="E20">
        <v>9</v>
      </c>
      <c r="F20">
        <v>1.9998199999999999</v>
      </c>
      <c r="G20">
        <v>563.36</v>
      </c>
      <c r="H20">
        <v>6</v>
      </c>
      <c r="I20">
        <v>1.8927700000000001</v>
      </c>
      <c r="J20">
        <v>792.41</v>
      </c>
      <c r="K20">
        <v>450</v>
      </c>
      <c r="L20">
        <v>1.8971199999999999</v>
      </c>
      <c r="M20">
        <v>837.13</v>
      </c>
      <c r="N20">
        <v>5</v>
      </c>
      <c r="O20">
        <v>1.03773</v>
      </c>
      <c r="P20">
        <v>1151.51</v>
      </c>
    </row>
    <row r="21" spans="1:16">
      <c r="A21">
        <v>16</v>
      </c>
      <c r="B21">
        <v>62718</v>
      </c>
      <c r="C21">
        <v>1.20763</v>
      </c>
      <c r="D21">
        <v>357.98</v>
      </c>
      <c r="E21">
        <v>5</v>
      </c>
      <c r="F21">
        <v>1.99987</v>
      </c>
      <c r="G21">
        <v>560.33000000000004</v>
      </c>
      <c r="H21">
        <v>4</v>
      </c>
      <c r="I21">
        <v>1.9999199999999999</v>
      </c>
      <c r="J21">
        <v>783.58</v>
      </c>
      <c r="K21">
        <v>248</v>
      </c>
      <c r="L21">
        <v>1.99335</v>
      </c>
      <c r="M21">
        <v>845.92</v>
      </c>
      <c r="N21">
        <v>4</v>
      </c>
      <c r="O21">
        <v>1</v>
      </c>
      <c r="P21">
        <v>1126.98</v>
      </c>
    </row>
    <row r="22" spans="1:16">
      <c r="A22">
        <v>17</v>
      </c>
      <c r="B22">
        <v>62706</v>
      </c>
      <c r="C22">
        <v>1.2078100000000001</v>
      </c>
      <c r="D22">
        <v>348.87</v>
      </c>
      <c r="E22">
        <v>9</v>
      </c>
      <c r="F22">
        <v>1.9998199999999999</v>
      </c>
      <c r="G22">
        <v>568.29</v>
      </c>
      <c r="H22">
        <v>6</v>
      </c>
      <c r="I22">
        <v>1.91591</v>
      </c>
      <c r="J22">
        <v>666.04</v>
      </c>
      <c r="K22">
        <v>272</v>
      </c>
      <c r="L22">
        <v>1.9928999999999999</v>
      </c>
      <c r="M22">
        <v>843.28</v>
      </c>
      <c r="N22">
        <v>6</v>
      </c>
      <c r="O22">
        <v>1.0420100000000001</v>
      </c>
      <c r="P22">
        <v>1138.2</v>
      </c>
    </row>
    <row r="23" spans="1:16">
      <c r="A23">
        <v>18</v>
      </c>
      <c r="B23">
        <v>47150</v>
      </c>
      <c r="C23">
        <v>1.7543500000000001</v>
      </c>
      <c r="D23">
        <v>332.4</v>
      </c>
      <c r="E23">
        <v>12</v>
      </c>
      <c r="F23">
        <v>1.8203800000000001</v>
      </c>
      <c r="G23">
        <v>570.02</v>
      </c>
      <c r="H23">
        <v>7</v>
      </c>
      <c r="I23">
        <v>1.7379500000000001</v>
      </c>
      <c r="J23">
        <v>678.67</v>
      </c>
      <c r="K23">
        <v>107</v>
      </c>
      <c r="L23">
        <v>1.8180799999999999</v>
      </c>
      <c r="M23">
        <v>871.64</v>
      </c>
      <c r="N23">
        <v>5</v>
      </c>
      <c r="O23">
        <v>1.3999699999999999</v>
      </c>
      <c r="P23">
        <v>1158.6300000000001</v>
      </c>
    </row>
    <row r="24" spans="1:16">
      <c r="A24">
        <v>19</v>
      </c>
      <c r="B24">
        <v>63426</v>
      </c>
      <c r="C24">
        <v>1.1963200000000001</v>
      </c>
      <c r="D24">
        <v>353.48</v>
      </c>
      <c r="E24">
        <v>5</v>
      </c>
      <c r="F24">
        <v>1.99987</v>
      </c>
      <c r="G24">
        <v>579.47</v>
      </c>
      <c r="H24">
        <v>4</v>
      </c>
      <c r="I24">
        <v>1.9999199999999999</v>
      </c>
      <c r="J24">
        <v>766.16</v>
      </c>
      <c r="K24">
        <v>248</v>
      </c>
      <c r="L24">
        <v>1.99335</v>
      </c>
      <c r="M24">
        <v>824.27</v>
      </c>
      <c r="N24">
        <v>4</v>
      </c>
      <c r="O24">
        <v>1</v>
      </c>
      <c r="P24">
        <v>1155.43</v>
      </c>
    </row>
    <row r="25" spans="1:16">
      <c r="A25">
        <v>20</v>
      </c>
      <c r="B25">
        <v>63474</v>
      </c>
      <c r="C25">
        <v>1.19563</v>
      </c>
      <c r="D25">
        <v>353.71</v>
      </c>
      <c r="E25">
        <v>5</v>
      </c>
      <c r="F25">
        <v>1.99987</v>
      </c>
      <c r="G25">
        <v>573.08000000000004</v>
      </c>
      <c r="H25">
        <v>4</v>
      </c>
      <c r="I25">
        <v>1.9999199999999999</v>
      </c>
      <c r="J25">
        <v>754.94</v>
      </c>
      <c r="K25">
        <v>223</v>
      </c>
      <c r="L25">
        <v>1.99431</v>
      </c>
      <c r="M25">
        <v>848.48</v>
      </c>
      <c r="N25">
        <v>4</v>
      </c>
      <c r="O25">
        <v>1</v>
      </c>
      <c r="P25">
        <v>1143.1099999999999</v>
      </c>
    </row>
    <row r="26" spans="1:16">
      <c r="A26">
        <v>21</v>
      </c>
      <c r="B26">
        <v>57282</v>
      </c>
      <c r="C26">
        <v>1.3704799999999999</v>
      </c>
      <c r="D26">
        <v>330.68</v>
      </c>
      <c r="E26">
        <v>11</v>
      </c>
      <c r="F26">
        <v>1.9998</v>
      </c>
      <c r="G26">
        <v>555.58000000000004</v>
      </c>
      <c r="H26">
        <v>7</v>
      </c>
      <c r="I26">
        <v>1.9602999999999999</v>
      </c>
      <c r="J26">
        <v>682.1</v>
      </c>
      <c r="K26">
        <v>274</v>
      </c>
      <c r="L26">
        <v>1.98743</v>
      </c>
      <c r="M26">
        <v>906.58</v>
      </c>
      <c r="N26">
        <v>5</v>
      </c>
      <c r="O26">
        <v>1.7691699999999999</v>
      </c>
      <c r="P26">
        <v>1213.79</v>
      </c>
    </row>
    <row r="27" spans="1:16">
      <c r="A27">
        <v>22</v>
      </c>
      <c r="B27">
        <v>48002</v>
      </c>
      <c r="C27">
        <v>1.7702100000000001</v>
      </c>
      <c r="D27">
        <v>336.23</v>
      </c>
      <c r="E27">
        <v>10</v>
      </c>
      <c r="F27">
        <v>1.8535200000000001</v>
      </c>
      <c r="G27">
        <v>593.77</v>
      </c>
      <c r="H27">
        <v>5</v>
      </c>
      <c r="I27">
        <v>1.7691699999999999</v>
      </c>
      <c r="J27">
        <v>777.6</v>
      </c>
      <c r="K27">
        <v>12</v>
      </c>
      <c r="L27">
        <v>1.8533599999999999</v>
      </c>
      <c r="M27">
        <v>846.64</v>
      </c>
      <c r="N27">
        <v>5</v>
      </c>
      <c r="O27">
        <v>1.3999699999999999</v>
      </c>
      <c r="P27">
        <v>1173.4100000000001</v>
      </c>
    </row>
    <row r="28" spans="1:16">
      <c r="A28">
        <v>23</v>
      </c>
      <c r="B28">
        <v>57282</v>
      </c>
      <c r="C28">
        <v>1.3704799999999999</v>
      </c>
      <c r="D28">
        <v>342.24</v>
      </c>
      <c r="E28">
        <v>13</v>
      </c>
      <c r="F28">
        <v>1.99977</v>
      </c>
      <c r="G28">
        <v>595.51</v>
      </c>
      <c r="H28">
        <v>9</v>
      </c>
      <c r="I28">
        <v>1.92893</v>
      </c>
      <c r="J28">
        <v>760.36</v>
      </c>
      <c r="K28">
        <v>250</v>
      </c>
      <c r="L28">
        <v>1.98803</v>
      </c>
      <c r="M28">
        <v>836.42</v>
      </c>
      <c r="N28">
        <v>5</v>
      </c>
      <c r="O28">
        <v>1.3999699999999999</v>
      </c>
      <c r="P28">
        <v>1140.94</v>
      </c>
    </row>
    <row r="29" spans="1:16">
      <c r="A29">
        <v>24</v>
      </c>
      <c r="B29">
        <v>60960</v>
      </c>
      <c r="C29">
        <v>1.2442</v>
      </c>
      <c r="D29">
        <v>373.34</v>
      </c>
      <c r="E29">
        <v>11</v>
      </c>
      <c r="F29">
        <v>1.8286</v>
      </c>
      <c r="G29">
        <v>567.44000000000005</v>
      </c>
      <c r="H29">
        <v>6</v>
      </c>
      <c r="I29">
        <v>1.74569</v>
      </c>
      <c r="J29">
        <v>674.34</v>
      </c>
      <c r="K29">
        <v>428</v>
      </c>
      <c r="L29">
        <v>1.81928</v>
      </c>
      <c r="M29">
        <v>875.69</v>
      </c>
      <c r="N29">
        <v>6</v>
      </c>
      <c r="O29">
        <v>1.1599900000000001</v>
      </c>
      <c r="P29">
        <v>1138.32</v>
      </c>
    </row>
    <row r="30" spans="1:16">
      <c r="A30">
        <v>25</v>
      </c>
      <c r="B30">
        <v>55260</v>
      </c>
      <c r="C30">
        <v>1.7470399999999999</v>
      </c>
      <c r="D30">
        <v>339.46</v>
      </c>
      <c r="E30">
        <v>11</v>
      </c>
      <c r="F30">
        <v>1.9998</v>
      </c>
      <c r="G30">
        <v>578.58000000000004</v>
      </c>
      <c r="H30">
        <v>7</v>
      </c>
      <c r="I30">
        <v>1.9602999999999999</v>
      </c>
      <c r="J30">
        <v>665.59</v>
      </c>
      <c r="K30">
        <v>58</v>
      </c>
      <c r="L30">
        <v>1.9983299999999999</v>
      </c>
      <c r="M30">
        <v>864.92</v>
      </c>
      <c r="N30">
        <v>5</v>
      </c>
      <c r="O30">
        <v>1.7691699999999999</v>
      </c>
      <c r="P30">
        <v>1155.92</v>
      </c>
    </row>
    <row r="31" spans="1:16">
      <c r="A31">
        <v>26</v>
      </c>
      <c r="B31">
        <v>57282</v>
      </c>
      <c r="C31">
        <v>1.3704799999999999</v>
      </c>
      <c r="D31">
        <v>358.09</v>
      </c>
      <c r="E31">
        <v>12</v>
      </c>
      <c r="F31">
        <v>1.7966800000000001</v>
      </c>
      <c r="G31">
        <v>575</v>
      </c>
      <c r="H31">
        <v>6</v>
      </c>
      <c r="I31">
        <v>1.69994</v>
      </c>
      <c r="J31">
        <v>703.11</v>
      </c>
      <c r="K31">
        <v>229</v>
      </c>
      <c r="L31">
        <v>1.7911699999999999</v>
      </c>
      <c r="M31">
        <v>839.29</v>
      </c>
      <c r="N31">
        <v>6</v>
      </c>
      <c r="O31">
        <v>1.2499800000000001</v>
      </c>
      <c r="P31">
        <v>1177.69</v>
      </c>
    </row>
    <row r="32" spans="1:16">
      <c r="A32">
        <v>27</v>
      </c>
      <c r="B32">
        <v>54642</v>
      </c>
      <c r="C32">
        <v>1.2887</v>
      </c>
      <c r="D32">
        <v>341.33</v>
      </c>
      <c r="E32">
        <v>9</v>
      </c>
      <c r="F32">
        <v>1.9998199999999999</v>
      </c>
      <c r="G32">
        <v>574.35</v>
      </c>
      <c r="H32">
        <v>6</v>
      </c>
      <c r="I32">
        <v>1.91591</v>
      </c>
      <c r="J32">
        <v>685.81</v>
      </c>
      <c r="K32">
        <v>56</v>
      </c>
      <c r="L32">
        <v>1.9983500000000001</v>
      </c>
      <c r="M32">
        <v>823.34</v>
      </c>
      <c r="N32">
        <v>5</v>
      </c>
      <c r="O32">
        <v>1.03773</v>
      </c>
      <c r="P32">
        <v>1179.31</v>
      </c>
    </row>
    <row r="33" spans="1:16">
      <c r="A33">
        <v>28</v>
      </c>
      <c r="B33">
        <v>55410</v>
      </c>
      <c r="C33">
        <v>1.2999700000000001</v>
      </c>
      <c r="D33">
        <v>333.04</v>
      </c>
      <c r="E33">
        <v>5</v>
      </c>
      <c r="F33">
        <v>1.99987</v>
      </c>
      <c r="G33">
        <v>574.87</v>
      </c>
      <c r="H33">
        <v>4</v>
      </c>
      <c r="I33">
        <v>1.9999199999999999</v>
      </c>
      <c r="J33">
        <v>764.95</v>
      </c>
      <c r="K33">
        <v>7</v>
      </c>
      <c r="L33">
        <v>1.99977</v>
      </c>
      <c r="M33">
        <v>857.35</v>
      </c>
      <c r="N33">
        <v>5</v>
      </c>
      <c r="O33">
        <v>1.0000500000000001</v>
      </c>
      <c r="P33">
        <v>1170.19</v>
      </c>
    </row>
    <row r="34" spans="1:16">
      <c r="A34">
        <v>29</v>
      </c>
      <c r="B34">
        <v>57282</v>
      </c>
      <c r="C34">
        <v>1.3704799999999999</v>
      </c>
      <c r="D34">
        <v>357.91</v>
      </c>
      <c r="E34">
        <v>11</v>
      </c>
      <c r="F34">
        <v>1.78006</v>
      </c>
      <c r="G34">
        <v>613.36</v>
      </c>
      <c r="H34">
        <v>5</v>
      </c>
      <c r="I34">
        <v>1.9188400000000001</v>
      </c>
      <c r="J34">
        <v>762.74</v>
      </c>
      <c r="K34">
        <v>229</v>
      </c>
      <c r="L34">
        <v>1.77559</v>
      </c>
      <c r="M34">
        <v>912.47</v>
      </c>
      <c r="N34">
        <v>6</v>
      </c>
      <c r="O34">
        <v>1.2499800000000001</v>
      </c>
      <c r="P34">
        <v>1221.03</v>
      </c>
    </row>
    <row r="35" spans="1:16">
      <c r="A35">
        <v>30</v>
      </c>
      <c r="B35">
        <v>57282</v>
      </c>
      <c r="C35">
        <v>1.3704799999999999</v>
      </c>
      <c r="D35">
        <v>339.52</v>
      </c>
      <c r="E35">
        <v>5</v>
      </c>
      <c r="F35">
        <v>1.99987</v>
      </c>
      <c r="G35">
        <v>618.97</v>
      </c>
      <c r="H35">
        <v>5</v>
      </c>
      <c r="I35">
        <v>1.7691699999999999</v>
      </c>
      <c r="J35">
        <v>758.55</v>
      </c>
      <c r="K35">
        <v>224</v>
      </c>
      <c r="L35">
        <v>1.9942599999999999</v>
      </c>
      <c r="M35">
        <v>917.63</v>
      </c>
      <c r="N35">
        <v>4</v>
      </c>
      <c r="O35">
        <v>1</v>
      </c>
      <c r="P35">
        <v>1185.17</v>
      </c>
    </row>
    <row r="36" spans="1:16">
      <c r="A36">
        <v>31</v>
      </c>
      <c r="B36">
        <v>57282</v>
      </c>
      <c r="C36">
        <v>1.3704799999999999</v>
      </c>
      <c r="D36">
        <v>407.42</v>
      </c>
      <c r="E36">
        <v>5</v>
      </c>
      <c r="F36">
        <v>1.99987</v>
      </c>
      <c r="G36">
        <v>631.30999999999995</v>
      </c>
      <c r="H36">
        <v>4</v>
      </c>
      <c r="I36">
        <v>1.9999199999999999</v>
      </c>
      <c r="J36">
        <v>1088.23</v>
      </c>
      <c r="K36">
        <v>249</v>
      </c>
      <c r="L36">
        <v>1.9933000000000001</v>
      </c>
      <c r="M36">
        <v>912.14</v>
      </c>
      <c r="N36">
        <v>4</v>
      </c>
      <c r="O36">
        <v>1</v>
      </c>
      <c r="P36">
        <v>1133.21</v>
      </c>
    </row>
    <row r="38" spans="1:16">
      <c r="C38" t="s">
        <v>4</v>
      </c>
      <c r="F38" t="s">
        <v>5</v>
      </c>
      <c r="I38" t="s">
        <v>19</v>
      </c>
      <c r="L38" t="s">
        <v>6</v>
      </c>
      <c r="O38" t="s">
        <v>6</v>
      </c>
    </row>
    <row r="39" spans="1:16">
      <c r="B39" t="s">
        <v>7</v>
      </c>
      <c r="C39" t="s">
        <v>8</v>
      </c>
      <c r="D39" t="s">
        <v>9</v>
      </c>
      <c r="E39" t="s">
        <v>7</v>
      </c>
      <c r="F39" t="s">
        <v>8</v>
      </c>
      <c r="G39" t="s">
        <v>9</v>
      </c>
      <c r="H39" t="s">
        <v>7</v>
      </c>
      <c r="I39" t="s">
        <v>8</v>
      </c>
      <c r="J39" t="s">
        <v>9</v>
      </c>
      <c r="K39" t="s">
        <v>7</v>
      </c>
      <c r="L39" t="s">
        <v>8</v>
      </c>
      <c r="M39" t="s">
        <v>10</v>
      </c>
      <c r="N39" t="s">
        <v>7</v>
      </c>
      <c r="O39" t="s">
        <v>8</v>
      </c>
      <c r="P39" t="s">
        <v>10</v>
      </c>
    </row>
    <row r="40" spans="1:16">
      <c r="A40" t="s">
        <v>11</v>
      </c>
      <c r="B40" s="1">
        <f>MAX(B5:B36)</f>
        <v>63474</v>
      </c>
      <c r="C40" s="1">
        <f t="shared" ref="C40:P40" si="0">MAX(C5:C36)</f>
        <v>1.7702100000000001</v>
      </c>
      <c r="D40" s="1">
        <f t="shared" si="0"/>
        <v>407.42</v>
      </c>
      <c r="E40" s="1">
        <f t="shared" si="0"/>
        <v>13</v>
      </c>
      <c r="F40" s="1">
        <f t="shared" si="0"/>
        <v>1.99987</v>
      </c>
      <c r="G40" s="1">
        <f t="shared" si="0"/>
        <v>698.84</v>
      </c>
      <c r="H40" s="1">
        <f t="shared" si="0"/>
        <v>9</v>
      </c>
      <c r="I40" s="1">
        <f t="shared" si="0"/>
        <v>1.9999199999999999</v>
      </c>
      <c r="J40" s="1">
        <f t="shared" si="0"/>
        <v>1088.23</v>
      </c>
      <c r="K40" s="1">
        <f t="shared" si="0"/>
        <v>450</v>
      </c>
      <c r="L40" s="1">
        <f t="shared" si="0"/>
        <v>1.99977</v>
      </c>
      <c r="M40" s="1">
        <f t="shared" si="0"/>
        <v>981.39</v>
      </c>
      <c r="N40" s="1">
        <f t="shared" si="0"/>
        <v>6</v>
      </c>
      <c r="O40" s="1">
        <f t="shared" si="0"/>
        <v>1.9188400000000001</v>
      </c>
      <c r="P40" s="1">
        <f t="shared" si="0"/>
        <v>1953.57</v>
      </c>
    </row>
    <row r="41" spans="1:16">
      <c r="A41" t="s">
        <v>12</v>
      </c>
      <c r="B41" s="1">
        <f>MIN(B5:B36)</f>
        <v>47150</v>
      </c>
      <c r="C41" s="1">
        <f t="shared" ref="C41:P41" si="1">MIN(C5:C36)</f>
        <v>1.19563</v>
      </c>
      <c r="D41" s="1">
        <f t="shared" si="1"/>
        <v>315.08</v>
      </c>
      <c r="E41" s="1">
        <f t="shared" si="1"/>
        <v>5</v>
      </c>
      <c r="F41" s="1">
        <f t="shared" si="1"/>
        <v>1.5434099999999999</v>
      </c>
      <c r="G41" s="1">
        <f t="shared" si="1"/>
        <v>550.75</v>
      </c>
      <c r="H41" s="1">
        <f t="shared" si="1"/>
        <v>4</v>
      </c>
      <c r="I41" s="1">
        <f t="shared" si="1"/>
        <v>1.3999699999999999</v>
      </c>
      <c r="J41" s="1">
        <f t="shared" si="1"/>
        <v>665.59</v>
      </c>
      <c r="K41" s="1">
        <f t="shared" si="1"/>
        <v>7</v>
      </c>
      <c r="L41" s="1">
        <f t="shared" si="1"/>
        <v>1.54619</v>
      </c>
      <c r="M41" s="1">
        <f t="shared" si="1"/>
        <v>823.34</v>
      </c>
      <c r="N41" s="1">
        <f t="shared" si="1"/>
        <v>4</v>
      </c>
      <c r="O41" s="1">
        <f t="shared" si="1"/>
        <v>1</v>
      </c>
      <c r="P41" s="1">
        <f t="shared" si="1"/>
        <v>1108.5</v>
      </c>
    </row>
    <row r="42" spans="1:16">
      <c r="A42" t="s">
        <v>13</v>
      </c>
      <c r="B42" s="1">
        <f>MEDIAN(B5:B36)</f>
        <v>57282</v>
      </c>
      <c r="C42" s="1">
        <f t="shared" ref="C42:P42" si="2">MEDIAN(C5:C36)</f>
        <v>1.3567049999999998</v>
      </c>
      <c r="D42" s="1">
        <f t="shared" si="2"/>
        <v>349.21000000000004</v>
      </c>
      <c r="E42" s="1">
        <f t="shared" si="2"/>
        <v>7</v>
      </c>
      <c r="F42" s="1">
        <f t="shared" si="2"/>
        <v>1.9998499999999999</v>
      </c>
      <c r="G42" s="1">
        <f t="shared" si="2"/>
        <v>572.93499999999995</v>
      </c>
      <c r="H42" s="1">
        <f t="shared" si="2"/>
        <v>5</v>
      </c>
      <c r="I42" s="1">
        <f t="shared" si="2"/>
        <v>1.9043399999999999</v>
      </c>
      <c r="J42" s="1">
        <f t="shared" si="2"/>
        <v>743.005</v>
      </c>
      <c r="K42" s="1">
        <f t="shared" si="2"/>
        <v>226.5</v>
      </c>
      <c r="L42" s="1">
        <f t="shared" si="2"/>
        <v>1.9933000000000001</v>
      </c>
      <c r="M42" s="1">
        <f t="shared" si="2"/>
        <v>847.94</v>
      </c>
      <c r="N42" s="1">
        <f t="shared" si="2"/>
        <v>5</v>
      </c>
      <c r="O42" s="1">
        <f t="shared" si="2"/>
        <v>1.0398700000000001</v>
      </c>
      <c r="P42" s="1">
        <f t="shared" si="2"/>
        <v>1153.1399999999999</v>
      </c>
    </row>
    <row r="43" spans="1:16">
      <c r="A43" t="s">
        <v>14</v>
      </c>
      <c r="B43" s="1">
        <f>AVERAGE(B5:B36)</f>
        <v>56130.375</v>
      </c>
      <c r="C43" s="1">
        <f t="shared" ref="C43:P43" si="3">AVERAGE(C5:C36)</f>
        <v>1.419054375</v>
      </c>
      <c r="D43" s="1">
        <f t="shared" si="3"/>
        <v>350.82937500000003</v>
      </c>
      <c r="E43" s="1">
        <f t="shared" si="3"/>
        <v>7.90625</v>
      </c>
      <c r="F43" s="1">
        <f t="shared" si="3"/>
        <v>1.9528071875000004</v>
      </c>
      <c r="G43" s="1">
        <f t="shared" si="3"/>
        <v>582.25093750000019</v>
      </c>
      <c r="H43" s="1">
        <f t="shared" si="3"/>
        <v>5.3125</v>
      </c>
      <c r="I43" s="1">
        <f t="shared" si="3"/>
        <v>1.8524512500000001</v>
      </c>
      <c r="J43" s="1">
        <f t="shared" si="3"/>
        <v>745.4631250000001</v>
      </c>
      <c r="K43" s="1">
        <f t="shared" si="3"/>
        <v>198.53125</v>
      </c>
      <c r="L43" s="1">
        <f t="shared" si="3"/>
        <v>1.9445962500000002</v>
      </c>
      <c r="M43" s="1">
        <f t="shared" si="3"/>
        <v>863.69468749999987</v>
      </c>
      <c r="N43" s="1">
        <f t="shared" si="3"/>
        <v>4.90625</v>
      </c>
      <c r="O43" s="1">
        <f t="shared" si="3"/>
        <v>1.2324134375000002</v>
      </c>
      <c r="P43" s="1">
        <f t="shared" si="3"/>
        <v>1184.8284374999998</v>
      </c>
    </row>
    <row r="44" spans="1:16">
      <c r="A44" t="s">
        <v>15</v>
      </c>
      <c r="B44" s="1">
        <f>STDEV(B5:B36)</f>
        <v>5163.023781130214</v>
      </c>
      <c r="C44" s="1">
        <f t="shared" ref="C44:P44" si="4">STDEV(C5:C36)</f>
        <v>0.22091614158431189</v>
      </c>
      <c r="D44" s="1">
        <f t="shared" si="4"/>
        <v>19.228395322895469</v>
      </c>
      <c r="E44" s="1">
        <f t="shared" si="4"/>
        <v>2.7399008105427654</v>
      </c>
      <c r="F44" s="1">
        <f t="shared" si="4"/>
        <v>0.10265068072411893</v>
      </c>
      <c r="G44" s="1">
        <f t="shared" si="4"/>
        <v>32.355047804748807</v>
      </c>
      <c r="H44" s="1">
        <f t="shared" si="4"/>
        <v>1.1198358174592007</v>
      </c>
      <c r="I44" s="1">
        <f t="shared" si="4"/>
        <v>0.15498076666830884</v>
      </c>
      <c r="J44" s="1">
        <f t="shared" si="4"/>
        <v>80.665724880921559</v>
      </c>
      <c r="K44" s="1">
        <f t="shared" si="4"/>
        <v>127.91705588186382</v>
      </c>
      <c r="L44" s="1">
        <f t="shared" si="4"/>
        <v>0.10119655096602533</v>
      </c>
      <c r="M44" s="1">
        <f t="shared" si="4"/>
        <v>38.266101648627135</v>
      </c>
      <c r="N44" s="1">
        <f t="shared" si="4"/>
        <v>0.68905615670769116</v>
      </c>
      <c r="O44" s="1">
        <f t="shared" si="4"/>
        <v>0.30359534651124925</v>
      </c>
      <c r="P44" s="1">
        <f t="shared" si="4"/>
        <v>146.58410652105937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464A5E-CFC5-8B49-BC2B-6BDCB6C9A94A}">
  <sheetPr codeName="Sheet12"/>
  <dimension ref="A1:P44"/>
  <sheetViews>
    <sheetView workbookViewId="0">
      <selection sqref="A1:P36"/>
    </sheetView>
  </sheetViews>
  <sheetFormatPr baseColWidth="10" defaultRowHeight="16"/>
  <sheetData>
    <row r="1" spans="1:16">
      <c r="A1" t="s">
        <v>0</v>
      </c>
      <c r="B1" t="s">
        <v>21</v>
      </c>
      <c r="C1" t="s">
        <v>1</v>
      </c>
      <c r="D1">
        <v>354296</v>
      </c>
    </row>
    <row r="2" spans="1:16">
      <c r="A2" t="s">
        <v>2</v>
      </c>
      <c r="B2" t="s">
        <v>3</v>
      </c>
    </row>
    <row r="3" spans="1:16">
      <c r="C3" t="s">
        <v>4</v>
      </c>
      <c r="F3" t="s">
        <v>5</v>
      </c>
      <c r="I3" t="s">
        <v>19</v>
      </c>
      <c r="L3" t="s">
        <v>6</v>
      </c>
      <c r="O3" t="s">
        <v>20</v>
      </c>
    </row>
    <row r="4" spans="1:16">
      <c r="B4" t="s">
        <v>7</v>
      </c>
      <c r="C4" t="s">
        <v>8</v>
      </c>
      <c r="D4" t="s">
        <v>9</v>
      </c>
      <c r="E4" t="s">
        <v>7</v>
      </c>
      <c r="F4" t="s">
        <v>8</v>
      </c>
      <c r="G4" t="s">
        <v>9</v>
      </c>
      <c r="H4" t="s">
        <v>7</v>
      </c>
      <c r="I4" t="s">
        <v>8</v>
      </c>
      <c r="J4" t="s">
        <v>9</v>
      </c>
      <c r="K4" t="s">
        <v>7</v>
      </c>
      <c r="L4" t="s">
        <v>8</v>
      </c>
      <c r="M4" t="s">
        <v>10</v>
      </c>
      <c r="N4" t="s">
        <v>7</v>
      </c>
      <c r="O4" t="s">
        <v>8</v>
      </c>
      <c r="P4" t="s">
        <v>10</v>
      </c>
    </row>
    <row r="5" spans="1:16">
      <c r="A5">
        <v>0</v>
      </c>
      <c r="B5">
        <v>182208</v>
      </c>
      <c r="C5">
        <v>1.3479000000000001</v>
      </c>
      <c r="D5">
        <v>1334.8</v>
      </c>
      <c r="E5">
        <v>11</v>
      </c>
      <c r="F5">
        <v>1.99993</v>
      </c>
      <c r="G5">
        <v>2052.84</v>
      </c>
      <c r="H5">
        <v>7</v>
      </c>
      <c r="I5">
        <v>1.96953</v>
      </c>
      <c r="J5">
        <v>4466.22</v>
      </c>
      <c r="K5">
        <v>904</v>
      </c>
      <c r="L5">
        <v>1.98671</v>
      </c>
      <c r="M5">
        <v>3013.65</v>
      </c>
      <c r="N5">
        <v>5</v>
      </c>
      <c r="O5">
        <v>1.3999900000000001</v>
      </c>
      <c r="P5">
        <v>4140.12</v>
      </c>
    </row>
    <row r="6" spans="1:16">
      <c r="A6">
        <v>1</v>
      </c>
      <c r="B6">
        <v>171882</v>
      </c>
      <c r="C6">
        <v>1.1068199999999999</v>
      </c>
      <c r="D6">
        <v>1034.6199999999999</v>
      </c>
      <c r="E6">
        <v>11</v>
      </c>
      <c r="F6">
        <v>1.99993</v>
      </c>
      <c r="G6">
        <v>1945.27</v>
      </c>
      <c r="H6">
        <v>7</v>
      </c>
      <c r="I6">
        <v>1.8899600000000001</v>
      </c>
      <c r="J6">
        <v>2455.02</v>
      </c>
      <c r="K6">
        <v>106</v>
      </c>
      <c r="L6">
        <v>1.9990399999999999</v>
      </c>
      <c r="M6">
        <v>2948.16</v>
      </c>
      <c r="N6">
        <v>5</v>
      </c>
      <c r="O6">
        <v>1.7692099999999999</v>
      </c>
      <c r="P6">
        <v>4117.71</v>
      </c>
    </row>
    <row r="7" spans="1:16">
      <c r="A7">
        <v>2</v>
      </c>
      <c r="B7">
        <v>142020</v>
      </c>
      <c r="C7">
        <v>1.5599099999999999</v>
      </c>
      <c r="D7">
        <v>966.82</v>
      </c>
      <c r="E7">
        <v>9</v>
      </c>
      <c r="F7">
        <v>1.9999400000000001</v>
      </c>
      <c r="G7">
        <v>1967.11</v>
      </c>
      <c r="H7">
        <v>6</v>
      </c>
      <c r="I7">
        <v>1.7613399999999999</v>
      </c>
      <c r="J7">
        <v>2568.7800000000002</v>
      </c>
      <c r="K7">
        <v>200</v>
      </c>
      <c r="L7">
        <v>1.99823</v>
      </c>
      <c r="M7">
        <v>2957.29</v>
      </c>
      <c r="N7">
        <v>5</v>
      </c>
      <c r="O7">
        <v>1.11764</v>
      </c>
      <c r="P7">
        <v>4158.18</v>
      </c>
    </row>
    <row r="8" spans="1:16">
      <c r="A8">
        <v>3</v>
      </c>
      <c r="B8">
        <v>184380</v>
      </c>
      <c r="C8">
        <v>1.0378799999999999</v>
      </c>
      <c r="D8">
        <v>1009.29</v>
      </c>
      <c r="E8">
        <v>5</v>
      </c>
      <c r="F8">
        <v>1.99996</v>
      </c>
      <c r="G8">
        <v>2009.4</v>
      </c>
      <c r="H8">
        <v>5</v>
      </c>
      <c r="I8">
        <v>1.7692099999999999</v>
      </c>
      <c r="J8">
        <v>2456.02</v>
      </c>
      <c r="K8">
        <v>10</v>
      </c>
      <c r="L8">
        <v>1.9999</v>
      </c>
      <c r="M8">
        <v>2898.62</v>
      </c>
      <c r="N8">
        <v>4</v>
      </c>
      <c r="O8">
        <v>1</v>
      </c>
      <c r="P8">
        <v>4008.52</v>
      </c>
    </row>
    <row r="9" spans="1:16">
      <c r="A9">
        <v>4</v>
      </c>
      <c r="B9">
        <v>184332</v>
      </c>
      <c r="C9">
        <v>1.0377000000000001</v>
      </c>
      <c r="D9">
        <v>1075.1600000000001</v>
      </c>
      <c r="E9">
        <v>5</v>
      </c>
      <c r="F9">
        <v>1.99996</v>
      </c>
      <c r="G9">
        <v>2001</v>
      </c>
      <c r="H9">
        <v>4</v>
      </c>
      <c r="I9">
        <v>1.99997</v>
      </c>
      <c r="J9">
        <v>2774.92</v>
      </c>
      <c r="K9">
        <v>32</v>
      </c>
      <c r="L9">
        <v>1.99973</v>
      </c>
      <c r="M9">
        <v>2937.86</v>
      </c>
      <c r="N9">
        <v>4</v>
      </c>
      <c r="O9">
        <v>1</v>
      </c>
      <c r="P9">
        <v>4114.09</v>
      </c>
    </row>
    <row r="10" spans="1:16">
      <c r="A10">
        <v>5</v>
      </c>
      <c r="B10">
        <v>177558</v>
      </c>
      <c r="C10">
        <v>1.07579</v>
      </c>
      <c r="D10">
        <v>1292.2</v>
      </c>
      <c r="E10">
        <v>5</v>
      </c>
      <c r="F10">
        <v>1.99996</v>
      </c>
      <c r="G10">
        <v>2382.46</v>
      </c>
      <c r="H10">
        <v>4</v>
      </c>
      <c r="I10">
        <v>1.99997</v>
      </c>
      <c r="J10">
        <v>3131.26</v>
      </c>
      <c r="K10">
        <v>201</v>
      </c>
      <c r="L10">
        <v>1.9980100000000001</v>
      </c>
      <c r="M10">
        <v>3085.54</v>
      </c>
      <c r="N10">
        <v>4</v>
      </c>
      <c r="O10">
        <v>1</v>
      </c>
      <c r="P10">
        <v>4369.54</v>
      </c>
    </row>
    <row r="11" spans="1:16">
      <c r="A11">
        <v>6</v>
      </c>
      <c r="B11">
        <v>144690</v>
      </c>
      <c r="C11">
        <v>1.6012200000000001</v>
      </c>
      <c r="D11">
        <v>1029.1300000000001</v>
      </c>
      <c r="E11">
        <v>9</v>
      </c>
      <c r="F11">
        <v>1.9999400000000001</v>
      </c>
      <c r="G11">
        <v>2102.66</v>
      </c>
      <c r="H11">
        <v>6</v>
      </c>
      <c r="I11">
        <v>1.91597</v>
      </c>
      <c r="J11">
        <v>2711.84</v>
      </c>
      <c r="K11">
        <v>116</v>
      </c>
      <c r="L11">
        <v>1.9985900000000001</v>
      </c>
      <c r="M11">
        <v>2984.62</v>
      </c>
      <c r="N11">
        <v>6</v>
      </c>
      <c r="O11">
        <v>1.0769200000000001</v>
      </c>
      <c r="P11">
        <v>4127.26</v>
      </c>
    </row>
    <row r="12" spans="1:16">
      <c r="A12">
        <v>7</v>
      </c>
      <c r="B12">
        <v>183612</v>
      </c>
      <c r="C12">
        <v>1.0346900000000001</v>
      </c>
      <c r="D12">
        <v>1045.74</v>
      </c>
      <c r="E12">
        <v>5</v>
      </c>
      <c r="F12">
        <v>1.99996</v>
      </c>
      <c r="G12">
        <v>2006.64</v>
      </c>
      <c r="H12">
        <v>4</v>
      </c>
      <c r="I12">
        <v>1.99997</v>
      </c>
      <c r="J12">
        <v>3111.25</v>
      </c>
      <c r="K12">
        <v>56</v>
      </c>
      <c r="L12">
        <v>1.99953</v>
      </c>
      <c r="M12">
        <v>4447.47</v>
      </c>
      <c r="N12">
        <v>4</v>
      </c>
      <c r="O12">
        <v>1</v>
      </c>
      <c r="P12">
        <v>3948.64</v>
      </c>
    </row>
    <row r="13" spans="1:16">
      <c r="A13">
        <v>8</v>
      </c>
      <c r="B13">
        <v>178188</v>
      </c>
      <c r="C13">
        <v>1.0045900000000001</v>
      </c>
      <c r="D13">
        <v>1026.95</v>
      </c>
      <c r="E13">
        <v>5</v>
      </c>
      <c r="F13">
        <v>1.99996</v>
      </c>
      <c r="G13">
        <v>1911.26</v>
      </c>
      <c r="H13">
        <v>4</v>
      </c>
      <c r="I13">
        <v>1.99997</v>
      </c>
      <c r="J13">
        <v>2736.35</v>
      </c>
      <c r="K13">
        <v>57</v>
      </c>
      <c r="L13">
        <v>1.9994799999999999</v>
      </c>
      <c r="M13">
        <v>2816.95</v>
      </c>
      <c r="N13">
        <v>4</v>
      </c>
      <c r="O13">
        <v>1</v>
      </c>
      <c r="P13">
        <v>3845.68</v>
      </c>
    </row>
    <row r="14" spans="1:16">
      <c r="A14">
        <v>9</v>
      </c>
      <c r="B14">
        <v>140628</v>
      </c>
      <c r="C14">
        <v>1.55179</v>
      </c>
      <c r="D14">
        <v>993.31</v>
      </c>
      <c r="E14">
        <v>13</v>
      </c>
      <c r="F14">
        <v>1.9999199999999999</v>
      </c>
      <c r="G14">
        <v>2330.54</v>
      </c>
      <c r="H14">
        <v>8</v>
      </c>
      <c r="I14">
        <v>1.88985</v>
      </c>
      <c r="J14">
        <v>3202.52</v>
      </c>
      <c r="K14">
        <v>474</v>
      </c>
      <c r="L14">
        <v>1.9948300000000001</v>
      </c>
      <c r="M14">
        <v>4130.9399999999996</v>
      </c>
      <c r="N14">
        <v>5</v>
      </c>
      <c r="O14">
        <v>1.0377400000000001</v>
      </c>
      <c r="P14">
        <v>4682.6499999999996</v>
      </c>
    </row>
    <row r="15" spans="1:16">
      <c r="A15">
        <v>10</v>
      </c>
      <c r="B15">
        <v>177960</v>
      </c>
      <c r="C15">
        <v>1.3810800000000001</v>
      </c>
      <c r="D15">
        <v>1123.71</v>
      </c>
      <c r="E15">
        <v>7</v>
      </c>
      <c r="F15">
        <v>1.9999499999999999</v>
      </c>
      <c r="G15">
        <v>1920.17</v>
      </c>
      <c r="H15">
        <v>5</v>
      </c>
      <c r="I15">
        <v>1.91889</v>
      </c>
      <c r="J15">
        <v>2338.34</v>
      </c>
      <c r="K15">
        <v>500</v>
      </c>
      <c r="L15">
        <v>1.99204</v>
      </c>
      <c r="M15">
        <v>2788.09</v>
      </c>
      <c r="N15">
        <v>5</v>
      </c>
      <c r="O15">
        <v>1.7692099999999999</v>
      </c>
      <c r="P15">
        <v>3989.74</v>
      </c>
    </row>
    <row r="16" spans="1:16">
      <c r="A16">
        <v>11</v>
      </c>
      <c r="B16">
        <v>184380</v>
      </c>
      <c r="C16">
        <v>1.0378799999999999</v>
      </c>
      <c r="D16">
        <v>1078.1500000000001</v>
      </c>
      <c r="E16">
        <v>5</v>
      </c>
      <c r="F16">
        <v>1.99996</v>
      </c>
      <c r="G16">
        <v>1940.07</v>
      </c>
      <c r="H16">
        <v>4</v>
      </c>
      <c r="I16">
        <v>1.99997</v>
      </c>
      <c r="J16">
        <v>3027.76</v>
      </c>
      <c r="K16">
        <v>7</v>
      </c>
      <c r="L16">
        <v>1.9999199999999999</v>
      </c>
      <c r="M16">
        <v>3308.42</v>
      </c>
      <c r="N16">
        <v>4</v>
      </c>
      <c r="O16">
        <v>1</v>
      </c>
      <c r="P16">
        <v>4374.92</v>
      </c>
    </row>
    <row r="17" spans="1:16">
      <c r="A17">
        <v>12</v>
      </c>
      <c r="B17">
        <v>177924</v>
      </c>
      <c r="C17">
        <v>1.3813</v>
      </c>
      <c r="D17">
        <v>1015.24</v>
      </c>
      <c r="E17">
        <v>13</v>
      </c>
      <c r="F17">
        <v>1.98403</v>
      </c>
      <c r="G17">
        <v>1920.55</v>
      </c>
      <c r="H17">
        <v>7</v>
      </c>
      <c r="I17">
        <v>1.8918699999999999</v>
      </c>
      <c r="J17">
        <v>2282.59</v>
      </c>
      <c r="K17">
        <v>572</v>
      </c>
      <c r="L17">
        <v>1.9750099999999999</v>
      </c>
      <c r="M17">
        <v>2810.75</v>
      </c>
      <c r="N17">
        <v>5</v>
      </c>
      <c r="O17">
        <v>1.7692099999999999</v>
      </c>
      <c r="P17">
        <v>4051.04</v>
      </c>
    </row>
    <row r="18" spans="1:16">
      <c r="A18">
        <v>13</v>
      </c>
      <c r="B18">
        <v>181866</v>
      </c>
      <c r="C18">
        <v>1.0253300000000001</v>
      </c>
      <c r="D18">
        <v>1032.6500000000001</v>
      </c>
      <c r="E18">
        <v>5</v>
      </c>
      <c r="F18">
        <v>1.99996</v>
      </c>
      <c r="G18">
        <v>1903.81</v>
      </c>
      <c r="H18">
        <v>5</v>
      </c>
      <c r="I18">
        <v>1.7692099999999999</v>
      </c>
      <c r="J18">
        <v>2518.7800000000002</v>
      </c>
      <c r="K18">
        <v>231</v>
      </c>
      <c r="L18">
        <v>1.9987699999999999</v>
      </c>
      <c r="M18">
        <v>2975.72</v>
      </c>
      <c r="N18">
        <v>4</v>
      </c>
      <c r="O18">
        <v>1</v>
      </c>
      <c r="P18">
        <v>3820.49</v>
      </c>
    </row>
    <row r="19" spans="1:16">
      <c r="A19">
        <v>14</v>
      </c>
      <c r="B19">
        <v>144690</v>
      </c>
      <c r="C19">
        <v>1.6012200000000001</v>
      </c>
      <c r="D19">
        <v>950.62</v>
      </c>
      <c r="E19">
        <v>5</v>
      </c>
      <c r="F19">
        <v>1.99996</v>
      </c>
      <c r="G19">
        <v>1828.45</v>
      </c>
      <c r="H19">
        <v>4</v>
      </c>
      <c r="I19">
        <v>1.99997</v>
      </c>
      <c r="J19">
        <v>2585.5500000000002</v>
      </c>
      <c r="K19">
        <v>104</v>
      </c>
      <c r="L19">
        <v>1.9994000000000001</v>
      </c>
      <c r="M19">
        <v>3156.52</v>
      </c>
      <c r="N19">
        <v>5</v>
      </c>
      <c r="O19">
        <v>1.0000199999999999</v>
      </c>
      <c r="P19">
        <v>3899.36</v>
      </c>
    </row>
    <row r="20" spans="1:16">
      <c r="A20">
        <v>15</v>
      </c>
      <c r="B20">
        <v>183528</v>
      </c>
      <c r="C20">
        <v>1.0343800000000001</v>
      </c>
      <c r="D20">
        <v>1134.52</v>
      </c>
      <c r="E20">
        <v>5</v>
      </c>
      <c r="F20">
        <v>1.99996</v>
      </c>
      <c r="G20">
        <v>2063.75</v>
      </c>
      <c r="H20">
        <v>4</v>
      </c>
      <c r="I20">
        <v>1.99997</v>
      </c>
      <c r="J20">
        <v>2784.14</v>
      </c>
      <c r="K20">
        <v>114</v>
      </c>
      <c r="L20">
        <v>1.99918</v>
      </c>
      <c r="M20">
        <v>2783.54</v>
      </c>
      <c r="N20">
        <v>4</v>
      </c>
      <c r="O20">
        <v>1</v>
      </c>
      <c r="P20">
        <v>3775.76</v>
      </c>
    </row>
    <row r="21" spans="1:16">
      <c r="A21">
        <v>16</v>
      </c>
      <c r="B21">
        <v>182250</v>
      </c>
      <c r="C21">
        <v>1.02678</v>
      </c>
      <c r="D21">
        <v>1018.95</v>
      </c>
      <c r="E21">
        <v>5</v>
      </c>
      <c r="F21">
        <v>1.99996</v>
      </c>
      <c r="G21">
        <v>1855.13</v>
      </c>
      <c r="H21">
        <v>5</v>
      </c>
      <c r="I21">
        <v>1.7692099999999999</v>
      </c>
      <c r="J21">
        <v>2327.12</v>
      </c>
      <c r="K21">
        <v>137</v>
      </c>
      <c r="L21">
        <v>1.99909</v>
      </c>
      <c r="M21">
        <v>2848.08</v>
      </c>
      <c r="N21">
        <v>4</v>
      </c>
      <c r="O21">
        <v>1</v>
      </c>
      <c r="P21">
        <v>3749.14</v>
      </c>
    </row>
    <row r="22" spans="1:16">
      <c r="A22">
        <v>17</v>
      </c>
      <c r="B22">
        <v>183528</v>
      </c>
      <c r="C22">
        <v>1.0343800000000001</v>
      </c>
      <c r="D22">
        <v>983.23</v>
      </c>
      <c r="E22">
        <v>5</v>
      </c>
      <c r="F22">
        <v>1.99996</v>
      </c>
      <c r="G22">
        <v>1828.47</v>
      </c>
      <c r="H22">
        <v>4</v>
      </c>
      <c r="I22">
        <v>1.99997</v>
      </c>
      <c r="J22">
        <v>2600.2600000000002</v>
      </c>
      <c r="K22">
        <v>105</v>
      </c>
      <c r="L22">
        <v>1.9994099999999999</v>
      </c>
      <c r="M22">
        <v>2884.81</v>
      </c>
      <c r="N22">
        <v>4</v>
      </c>
      <c r="O22">
        <v>1</v>
      </c>
      <c r="P22">
        <v>3789.02</v>
      </c>
    </row>
    <row r="23" spans="1:16">
      <c r="A23">
        <v>18</v>
      </c>
      <c r="B23">
        <v>178188</v>
      </c>
      <c r="C23">
        <v>1.0045900000000001</v>
      </c>
      <c r="D23">
        <v>1002.6</v>
      </c>
      <c r="E23">
        <v>5</v>
      </c>
      <c r="F23">
        <v>1.99996</v>
      </c>
      <c r="G23">
        <v>2149.41</v>
      </c>
      <c r="H23">
        <v>4</v>
      </c>
      <c r="I23">
        <v>1.99997</v>
      </c>
      <c r="J23">
        <v>3492.3</v>
      </c>
      <c r="K23">
        <v>67</v>
      </c>
      <c r="L23">
        <v>1.9993399999999999</v>
      </c>
      <c r="M23">
        <v>3795.03</v>
      </c>
      <c r="N23">
        <v>4</v>
      </c>
      <c r="O23">
        <v>1</v>
      </c>
      <c r="P23">
        <v>4292.5600000000004</v>
      </c>
    </row>
    <row r="24" spans="1:16">
      <c r="A24">
        <v>19</v>
      </c>
      <c r="B24">
        <v>179580</v>
      </c>
      <c r="C24">
        <v>1.00118</v>
      </c>
      <c r="D24">
        <v>1004.79</v>
      </c>
      <c r="E24">
        <v>9</v>
      </c>
      <c r="F24">
        <v>1.9999400000000001</v>
      </c>
      <c r="G24">
        <v>1856.6</v>
      </c>
      <c r="H24">
        <v>6</v>
      </c>
      <c r="I24">
        <v>1.77712</v>
      </c>
      <c r="J24">
        <v>2603.54</v>
      </c>
      <c r="K24">
        <v>210</v>
      </c>
      <c r="L24">
        <v>1.9981599999999999</v>
      </c>
      <c r="M24">
        <v>2795.85</v>
      </c>
      <c r="N24">
        <v>6</v>
      </c>
      <c r="O24">
        <v>1.10389</v>
      </c>
      <c r="P24">
        <v>3888.35</v>
      </c>
    </row>
    <row r="25" spans="1:16">
      <c r="A25">
        <v>20</v>
      </c>
      <c r="B25">
        <v>171882</v>
      </c>
      <c r="C25">
        <v>1.1068199999999999</v>
      </c>
      <c r="D25">
        <v>993.02</v>
      </c>
      <c r="E25">
        <v>13</v>
      </c>
      <c r="F25">
        <v>1.9999199999999999</v>
      </c>
      <c r="G25">
        <v>1902.23</v>
      </c>
      <c r="H25">
        <v>9</v>
      </c>
      <c r="I25">
        <v>1.90693</v>
      </c>
      <c r="J25">
        <v>2684.16</v>
      </c>
      <c r="K25">
        <v>118</v>
      </c>
      <c r="L25">
        <v>1.9882599999999999</v>
      </c>
      <c r="M25">
        <v>2797.8</v>
      </c>
      <c r="N25">
        <v>5</v>
      </c>
      <c r="O25">
        <v>1.3999900000000001</v>
      </c>
      <c r="P25">
        <v>3865.12</v>
      </c>
    </row>
    <row r="26" spans="1:16">
      <c r="A26">
        <v>21</v>
      </c>
      <c r="B26">
        <v>178188</v>
      </c>
      <c r="C26">
        <v>1.0045900000000001</v>
      </c>
      <c r="D26">
        <v>1004.53</v>
      </c>
      <c r="E26">
        <v>5</v>
      </c>
      <c r="F26">
        <v>1.99996</v>
      </c>
      <c r="G26">
        <v>1980</v>
      </c>
      <c r="H26">
        <v>5</v>
      </c>
      <c r="I26">
        <v>1.7692099999999999</v>
      </c>
      <c r="J26">
        <v>2311.81</v>
      </c>
      <c r="K26">
        <v>57</v>
      </c>
      <c r="L26">
        <v>1.9994799999999999</v>
      </c>
      <c r="M26">
        <v>2836.19</v>
      </c>
      <c r="N26">
        <v>4</v>
      </c>
      <c r="O26">
        <v>1</v>
      </c>
      <c r="P26">
        <v>3878.3</v>
      </c>
    </row>
    <row r="27" spans="1:16">
      <c r="A27">
        <v>22</v>
      </c>
      <c r="B27">
        <v>184332</v>
      </c>
      <c r="C27">
        <v>1.0377000000000001</v>
      </c>
      <c r="D27">
        <v>959.69</v>
      </c>
      <c r="E27">
        <v>5</v>
      </c>
      <c r="F27">
        <v>1.99996</v>
      </c>
      <c r="G27">
        <v>1844.83</v>
      </c>
      <c r="H27">
        <v>5</v>
      </c>
      <c r="I27">
        <v>1.7692099999999999</v>
      </c>
      <c r="J27">
        <v>2328.4699999999998</v>
      </c>
      <c r="K27">
        <v>32</v>
      </c>
      <c r="L27">
        <v>1.99973</v>
      </c>
      <c r="M27">
        <v>2810.31</v>
      </c>
      <c r="N27">
        <v>4</v>
      </c>
      <c r="O27">
        <v>1</v>
      </c>
      <c r="P27">
        <v>3814.24</v>
      </c>
    </row>
    <row r="28" spans="1:16">
      <c r="A28">
        <v>23</v>
      </c>
      <c r="B28">
        <v>178188</v>
      </c>
      <c r="C28">
        <v>1.0045900000000001</v>
      </c>
      <c r="D28">
        <v>1013.36</v>
      </c>
      <c r="E28">
        <v>16</v>
      </c>
      <c r="F28">
        <v>1.8930499999999999</v>
      </c>
      <c r="G28">
        <v>1872.03</v>
      </c>
      <c r="H28">
        <v>10</v>
      </c>
      <c r="I28">
        <v>1.7896099999999999</v>
      </c>
      <c r="J28">
        <v>2309.06</v>
      </c>
      <c r="K28">
        <v>61</v>
      </c>
      <c r="L28">
        <v>1.89259</v>
      </c>
      <c r="M28">
        <v>2796.12</v>
      </c>
      <c r="N28">
        <v>5</v>
      </c>
      <c r="O28">
        <v>1.11764</v>
      </c>
      <c r="P28">
        <v>3970.99</v>
      </c>
    </row>
    <row r="29" spans="1:16">
      <c r="A29">
        <v>24</v>
      </c>
      <c r="B29">
        <v>140628</v>
      </c>
      <c r="C29">
        <v>1.55179</v>
      </c>
      <c r="D29">
        <v>1115.76</v>
      </c>
      <c r="E29">
        <v>9</v>
      </c>
      <c r="F29">
        <v>1.9999400000000001</v>
      </c>
      <c r="G29">
        <v>2040.75</v>
      </c>
      <c r="H29">
        <v>6</v>
      </c>
      <c r="I29">
        <v>1.89283</v>
      </c>
      <c r="J29">
        <v>2794.86</v>
      </c>
      <c r="K29">
        <v>60</v>
      </c>
      <c r="L29">
        <v>1.9994799999999999</v>
      </c>
      <c r="M29">
        <v>3035.4</v>
      </c>
      <c r="N29">
        <v>5</v>
      </c>
      <c r="O29">
        <v>1.0377400000000001</v>
      </c>
      <c r="P29">
        <v>3882.54</v>
      </c>
    </row>
    <row r="30" spans="1:16">
      <c r="A30">
        <v>25</v>
      </c>
      <c r="B30">
        <v>140628</v>
      </c>
      <c r="C30">
        <v>1.55179</v>
      </c>
      <c r="D30">
        <v>958.54</v>
      </c>
      <c r="E30">
        <v>11</v>
      </c>
      <c r="F30">
        <v>1.8711100000000001</v>
      </c>
      <c r="G30">
        <v>1876.98</v>
      </c>
      <c r="H30">
        <v>6</v>
      </c>
      <c r="I30">
        <v>1.79308</v>
      </c>
      <c r="J30">
        <v>3281.8</v>
      </c>
      <c r="K30">
        <v>474</v>
      </c>
      <c r="L30">
        <v>1.8640300000000001</v>
      </c>
      <c r="M30">
        <v>2745.98</v>
      </c>
      <c r="N30">
        <v>5</v>
      </c>
      <c r="O30">
        <v>1.3999900000000001</v>
      </c>
      <c r="P30">
        <v>3934.56</v>
      </c>
    </row>
    <row r="31" spans="1:16">
      <c r="A31">
        <v>26</v>
      </c>
      <c r="B31">
        <v>146052</v>
      </c>
      <c r="C31">
        <v>1.6132200000000001</v>
      </c>
      <c r="D31">
        <v>1049.3699999999999</v>
      </c>
      <c r="E31">
        <v>5</v>
      </c>
      <c r="F31">
        <v>1.99996</v>
      </c>
      <c r="G31">
        <v>1891.93</v>
      </c>
      <c r="H31">
        <v>4</v>
      </c>
      <c r="I31">
        <v>1.99997</v>
      </c>
      <c r="J31">
        <v>3395.23</v>
      </c>
      <c r="K31">
        <v>56</v>
      </c>
      <c r="L31">
        <v>1.9995000000000001</v>
      </c>
      <c r="M31">
        <v>3439.95</v>
      </c>
      <c r="N31">
        <v>5</v>
      </c>
      <c r="O31">
        <v>1.0000199999999999</v>
      </c>
      <c r="P31">
        <v>4636.96</v>
      </c>
    </row>
    <row r="32" spans="1:16">
      <c r="A32">
        <v>27</v>
      </c>
      <c r="B32">
        <v>146598</v>
      </c>
      <c r="C32">
        <v>1.61656</v>
      </c>
      <c r="D32">
        <v>1033.67</v>
      </c>
      <c r="E32">
        <v>5</v>
      </c>
      <c r="F32">
        <v>1.99996</v>
      </c>
      <c r="G32">
        <v>1836.8</v>
      </c>
      <c r="H32">
        <v>4</v>
      </c>
      <c r="I32">
        <v>1.99997</v>
      </c>
      <c r="J32">
        <v>3033.55</v>
      </c>
      <c r="K32">
        <v>30</v>
      </c>
      <c r="L32">
        <v>1.9997100000000001</v>
      </c>
      <c r="M32">
        <v>2848.91</v>
      </c>
      <c r="N32">
        <v>5</v>
      </c>
      <c r="O32">
        <v>1.0000199999999999</v>
      </c>
      <c r="P32">
        <v>3947.98</v>
      </c>
    </row>
    <row r="33" spans="1:16">
      <c r="A33">
        <v>28</v>
      </c>
      <c r="B33">
        <v>182208</v>
      </c>
      <c r="C33">
        <v>1.3479000000000001</v>
      </c>
      <c r="D33">
        <v>1079.6500000000001</v>
      </c>
      <c r="E33">
        <v>7</v>
      </c>
      <c r="F33">
        <v>1.9999499999999999</v>
      </c>
      <c r="G33">
        <v>1960.49</v>
      </c>
      <c r="H33">
        <v>5</v>
      </c>
      <c r="I33">
        <v>1.97245</v>
      </c>
      <c r="J33">
        <v>2417.1</v>
      </c>
      <c r="K33">
        <v>499</v>
      </c>
      <c r="L33">
        <v>1.9919800000000001</v>
      </c>
      <c r="M33">
        <v>2875.78</v>
      </c>
      <c r="N33">
        <v>5</v>
      </c>
      <c r="O33">
        <v>1.91889</v>
      </c>
      <c r="P33">
        <v>4511.8500000000004</v>
      </c>
    </row>
    <row r="34" spans="1:16">
      <c r="A34">
        <v>29</v>
      </c>
      <c r="B34">
        <v>183528</v>
      </c>
      <c r="C34">
        <v>1.0343800000000001</v>
      </c>
      <c r="D34">
        <v>1034.3499999999999</v>
      </c>
      <c r="E34">
        <v>5</v>
      </c>
      <c r="F34">
        <v>1.99996</v>
      </c>
      <c r="G34">
        <v>1955.9</v>
      </c>
      <c r="H34">
        <v>5</v>
      </c>
      <c r="I34">
        <v>1.7692099999999999</v>
      </c>
      <c r="J34">
        <v>2406.86</v>
      </c>
      <c r="K34">
        <v>137</v>
      </c>
      <c r="L34">
        <v>1.99909</v>
      </c>
      <c r="M34">
        <v>2895.29</v>
      </c>
      <c r="N34">
        <v>4</v>
      </c>
      <c r="O34">
        <v>1</v>
      </c>
      <c r="P34">
        <v>3997.08</v>
      </c>
    </row>
    <row r="35" spans="1:16">
      <c r="A35">
        <v>30</v>
      </c>
      <c r="B35">
        <v>182208</v>
      </c>
      <c r="C35">
        <v>1.3479000000000001</v>
      </c>
      <c r="D35">
        <v>1094.4000000000001</v>
      </c>
      <c r="E35">
        <v>7</v>
      </c>
      <c r="F35">
        <v>1.9999499999999999</v>
      </c>
      <c r="G35">
        <v>2003.11</v>
      </c>
      <c r="H35">
        <v>5</v>
      </c>
      <c r="I35">
        <v>1.97245</v>
      </c>
      <c r="J35">
        <v>2834.55</v>
      </c>
      <c r="K35">
        <v>826</v>
      </c>
      <c r="L35">
        <v>1.9847999999999999</v>
      </c>
      <c r="M35">
        <v>3096.61</v>
      </c>
      <c r="N35">
        <v>5</v>
      </c>
      <c r="O35">
        <v>1.3999900000000001</v>
      </c>
      <c r="P35">
        <v>4122.16</v>
      </c>
    </row>
    <row r="36" spans="1:16">
      <c r="A36">
        <v>31</v>
      </c>
      <c r="B36">
        <v>176166</v>
      </c>
      <c r="C36">
        <v>1.0822499999999999</v>
      </c>
      <c r="D36">
        <v>1454.42</v>
      </c>
      <c r="E36">
        <v>11</v>
      </c>
      <c r="F36">
        <v>1.99993</v>
      </c>
      <c r="G36">
        <v>2004.69</v>
      </c>
      <c r="H36">
        <v>7</v>
      </c>
      <c r="I36">
        <v>1.96841</v>
      </c>
      <c r="J36">
        <v>2760.6</v>
      </c>
      <c r="K36">
        <v>69</v>
      </c>
      <c r="L36">
        <v>1.9957100000000001</v>
      </c>
      <c r="M36">
        <v>2941.7</v>
      </c>
      <c r="N36">
        <v>5</v>
      </c>
      <c r="O36">
        <v>1.3999900000000001</v>
      </c>
      <c r="P36">
        <v>4014.73</v>
      </c>
    </row>
    <row r="38" spans="1:16">
      <c r="C38" t="s">
        <v>4</v>
      </c>
      <c r="F38" t="s">
        <v>5</v>
      </c>
      <c r="I38" t="s">
        <v>19</v>
      </c>
      <c r="L38" t="s">
        <v>6</v>
      </c>
      <c r="O38" t="s">
        <v>6</v>
      </c>
    </row>
    <row r="39" spans="1:16">
      <c r="B39" t="s">
        <v>7</v>
      </c>
      <c r="C39" t="s">
        <v>8</v>
      </c>
      <c r="D39" t="s">
        <v>9</v>
      </c>
      <c r="E39" t="s">
        <v>7</v>
      </c>
      <c r="F39" t="s">
        <v>8</v>
      </c>
      <c r="G39" t="s">
        <v>9</v>
      </c>
      <c r="H39" t="s">
        <v>7</v>
      </c>
      <c r="I39" t="s">
        <v>8</v>
      </c>
      <c r="J39" t="s">
        <v>9</v>
      </c>
      <c r="K39" t="s">
        <v>7</v>
      </c>
      <c r="L39" t="s">
        <v>8</v>
      </c>
      <c r="M39" t="s">
        <v>10</v>
      </c>
      <c r="N39" t="s">
        <v>7</v>
      </c>
      <c r="O39" t="s">
        <v>8</v>
      </c>
      <c r="P39" t="s">
        <v>10</v>
      </c>
    </row>
    <row r="40" spans="1:16">
      <c r="A40" t="s">
        <v>11</v>
      </c>
      <c r="B40" s="1">
        <f>MAX(B5:B36)</f>
        <v>184380</v>
      </c>
      <c r="C40" s="1">
        <f t="shared" ref="C40:P40" si="0">MAX(C5:C36)</f>
        <v>1.61656</v>
      </c>
      <c r="D40" s="1">
        <f t="shared" si="0"/>
        <v>1454.42</v>
      </c>
      <c r="E40" s="1">
        <f t="shared" si="0"/>
        <v>16</v>
      </c>
      <c r="F40" s="1">
        <f t="shared" si="0"/>
        <v>1.99996</v>
      </c>
      <c r="G40" s="1">
        <f t="shared" si="0"/>
        <v>2382.46</v>
      </c>
      <c r="H40" s="1">
        <f t="shared" si="0"/>
        <v>10</v>
      </c>
      <c r="I40" s="1">
        <f t="shared" si="0"/>
        <v>1.99997</v>
      </c>
      <c r="J40" s="1">
        <f t="shared" si="0"/>
        <v>4466.22</v>
      </c>
      <c r="K40" s="1">
        <f t="shared" si="0"/>
        <v>904</v>
      </c>
      <c r="L40" s="1">
        <f t="shared" si="0"/>
        <v>1.9999199999999999</v>
      </c>
      <c r="M40" s="1">
        <f t="shared" si="0"/>
        <v>4447.47</v>
      </c>
      <c r="N40" s="1">
        <f t="shared" si="0"/>
        <v>6</v>
      </c>
      <c r="O40" s="1">
        <f t="shared" si="0"/>
        <v>1.91889</v>
      </c>
      <c r="P40" s="1">
        <f t="shared" si="0"/>
        <v>4682.6499999999996</v>
      </c>
    </row>
    <row r="41" spans="1:16">
      <c r="A41" t="s">
        <v>12</v>
      </c>
      <c r="B41" s="1">
        <f>MIN(B5:B36)</f>
        <v>140628</v>
      </c>
      <c r="C41" s="1">
        <f t="shared" ref="C41:P41" si="1">MIN(C5:C36)</f>
        <v>1.00118</v>
      </c>
      <c r="D41" s="1">
        <f t="shared" si="1"/>
        <v>950.62</v>
      </c>
      <c r="E41" s="1">
        <f t="shared" si="1"/>
        <v>5</v>
      </c>
      <c r="F41" s="1">
        <f t="shared" si="1"/>
        <v>1.8711100000000001</v>
      </c>
      <c r="G41" s="1">
        <f t="shared" si="1"/>
        <v>1828.45</v>
      </c>
      <c r="H41" s="1">
        <f t="shared" si="1"/>
        <v>4</v>
      </c>
      <c r="I41" s="1">
        <f t="shared" si="1"/>
        <v>1.7613399999999999</v>
      </c>
      <c r="J41" s="1">
        <f t="shared" si="1"/>
        <v>2282.59</v>
      </c>
      <c r="K41" s="1">
        <f t="shared" si="1"/>
        <v>7</v>
      </c>
      <c r="L41" s="1">
        <f t="shared" si="1"/>
        <v>1.8640300000000001</v>
      </c>
      <c r="M41" s="1">
        <f t="shared" si="1"/>
        <v>2745.98</v>
      </c>
      <c r="N41" s="1">
        <f t="shared" si="1"/>
        <v>4</v>
      </c>
      <c r="O41" s="1">
        <f t="shared" si="1"/>
        <v>1</v>
      </c>
      <c r="P41" s="1">
        <f t="shared" si="1"/>
        <v>3749.14</v>
      </c>
    </row>
    <row r="42" spans="1:16">
      <c r="A42" t="s">
        <v>13</v>
      </c>
      <c r="B42" s="1">
        <f>MEDIAN(B5:B36)</f>
        <v>178188</v>
      </c>
      <c r="C42" s="1">
        <f t="shared" ref="C42:P42" si="2">MEDIAN(C5:C36)</f>
        <v>1.0790199999999999</v>
      </c>
      <c r="D42" s="1">
        <f t="shared" si="2"/>
        <v>1030.8900000000001</v>
      </c>
      <c r="E42" s="1">
        <f t="shared" si="2"/>
        <v>5</v>
      </c>
      <c r="F42" s="1">
        <f t="shared" si="2"/>
        <v>1.99996</v>
      </c>
      <c r="G42" s="1">
        <f t="shared" si="2"/>
        <v>1950.585</v>
      </c>
      <c r="H42" s="1">
        <f t="shared" si="2"/>
        <v>5</v>
      </c>
      <c r="I42" s="1">
        <f t="shared" si="2"/>
        <v>1.91743</v>
      </c>
      <c r="J42" s="1">
        <f t="shared" si="2"/>
        <v>2698</v>
      </c>
      <c r="K42" s="1">
        <f t="shared" si="2"/>
        <v>110</v>
      </c>
      <c r="L42" s="1">
        <f t="shared" si="2"/>
        <v>1.9990649999999999</v>
      </c>
      <c r="M42" s="1">
        <f t="shared" si="2"/>
        <v>2918.24</v>
      </c>
      <c r="N42" s="1">
        <f t="shared" si="2"/>
        <v>5</v>
      </c>
      <c r="O42" s="1">
        <f t="shared" si="2"/>
        <v>1.0000199999999999</v>
      </c>
      <c r="P42" s="1">
        <f t="shared" si="2"/>
        <v>3993.41</v>
      </c>
    </row>
    <row r="43" spans="1:16">
      <c r="A43" t="s">
        <v>14</v>
      </c>
      <c r="B43" s="1">
        <f>AVERAGE(B5:B36)</f>
        <v>171062.4375</v>
      </c>
      <c r="C43" s="1">
        <f t="shared" ref="C43:P43" si="3">AVERAGE(C5:C36)</f>
        <v>1.2245593750000003</v>
      </c>
      <c r="D43" s="1">
        <f t="shared" si="3"/>
        <v>1060.7262499999999</v>
      </c>
      <c r="E43" s="1">
        <f t="shared" si="3"/>
        <v>7.53125</v>
      </c>
      <c r="F43" s="1">
        <f t="shared" si="3"/>
        <v>1.9920859375000006</v>
      </c>
      <c r="G43" s="1">
        <f t="shared" si="3"/>
        <v>1973.2915625000005</v>
      </c>
      <c r="H43" s="1">
        <f t="shared" si="3"/>
        <v>5.4375</v>
      </c>
      <c r="I43" s="1">
        <f t="shared" si="3"/>
        <v>1.9039131250000001</v>
      </c>
      <c r="J43" s="1">
        <f t="shared" si="3"/>
        <v>2772.8940625000005</v>
      </c>
      <c r="K43" s="1">
        <f t="shared" si="3"/>
        <v>206.9375</v>
      </c>
      <c r="L43" s="1">
        <f t="shared" si="3"/>
        <v>1.9890228124999996</v>
      </c>
      <c r="M43" s="1">
        <f t="shared" si="3"/>
        <v>3046.498437499999</v>
      </c>
      <c r="N43" s="1">
        <f t="shared" si="3"/>
        <v>4.625</v>
      </c>
      <c r="O43" s="1">
        <f t="shared" si="3"/>
        <v>1.178690625</v>
      </c>
      <c r="P43" s="1">
        <f t="shared" si="3"/>
        <v>4053.7275000000004</v>
      </c>
    </row>
    <row r="44" spans="1:16">
      <c r="A44" t="s">
        <v>15</v>
      </c>
      <c r="B44" s="1">
        <f>STDEV(B5:B36)</f>
        <v>16677.434650212148</v>
      </c>
      <c r="C44" s="1">
        <f t="shared" ref="C44:P44" si="4">STDEV(C5:C36)</f>
        <v>0.24051838132341313</v>
      </c>
      <c r="D44" s="1">
        <f t="shared" si="4"/>
        <v>110.51530560325457</v>
      </c>
      <c r="E44" s="1">
        <f t="shared" si="4"/>
        <v>3.2526354079075932</v>
      </c>
      <c r="F44" s="1">
        <f t="shared" si="4"/>
        <v>2.9128090738331676E-2</v>
      </c>
      <c r="G44" s="1">
        <f t="shared" si="4"/>
        <v>129.4529206266516</v>
      </c>
      <c r="H44" s="1">
        <f t="shared" si="4"/>
        <v>1.5644745588092157</v>
      </c>
      <c r="I44" s="1">
        <f t="shared" si="4"/>
        <v>9.6889971398805244E-2</v>
      </c>
      <c r="J44" s="1">
        <f t="shared" si="4"/>
        <v>458.75424098142651</v>
      </c>
      <c r="K44" s="1">
        <f t="shared" si="4"/>
        <v>235.95925529906711</v>
      </c>
      <c r="L44" s="1">
        <f t="shared" si="4"/>
        <v>2.9801223749973207E-2</v>
      </c>
      <c r="M44" s="1">
        <f t="shared" si="4"/>
        <v>393.05870917558116</v>
      </c>
      <c r="N44" s="1">
        <f t="shared" si="4"/>
        <v>0.6090712125322324</v>
      </c>
      <c r="O44" s="1">
        <f t="shared" si="4"/>
        <v>0.28083038252294568</v>
      </c>
      <c r="P44" s="1">
        <f t="shared" si="4"/>
        <v>243.48616590495814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851BD-CFC4-364D-83F8-DFBEE7EBCCB1}">
  <sheetPr codeName="Sheet13"/>
  <dimension ref="A1:P44"/>
  <sheetViews>
    <sheetView workbookViewId="0">
      <selection sqref="A1:P36"/>
    </sheetView>
  </sheetViews>
  <sheetFormatPr baseColWidth="10" defaultRowHeight="16"/>
  <sheetData>
    <row r="1" spans="1:16">
      <c r="A1" t="s">
        <v>0</v>
      </c>
      <c r="B1" t="s">
        <v>21</v>
      </c>
      <c r="C1" t="s">
        <v>1</v>
      </c>
      <c r="D1">
        <v>1062884</v>
      </c>
    </row>
    <row r="2" spans="1:16">
      <c r="A2" t="s">
        <v>2</v>
      </c>
      <c r="B2" t="s">
        <v>3</v>
      </c>
    </row>
    <row r="3" spans="1:16">
      <c r="C3" t="s">
        <v>4</v>
      </c>
      <c r="F3" t="s">
        <v>5</v>
      </c>
      <c r="I3" t="s">
        <v>19</v>
      </c>
      <c r="L3" t="s">
        <v>6</v>
      </c>
      <c r="O3" t="s">
        <v>20</v>
      </c>
    </row>
    <row r="4" spans="1:16">
      <c r="B4" t="s">
        <v>7</v>
      </c>
      <c r="C4" t="s">
        <v>8</v>
      </c>
      <c r="D4" t="s">
        <v>9</v>
      </c>
      <c r="E4" t="s">
        <v>7</v>
      </c>
      <c r="F4" t="s">
        <v>8</v>
      </c>
      <c r="G4" t="s">
        <v>9</v>
      </c>
      <c r="H4" t="s">
        <v>7</v>
      </c>
      <c r="I4" t="s">
        <v>8</v>
      </c>
      <c r="J4" t="s">
        <v>9</v>
      </c>
      <c r="K4" t="s">
        <v>7</v>
      </c>
      <c r="L4" t="s">
        <v>8</v>
      </c>
      <c r="M4" t="s">
        <v>10</v>
      </c>
      <c r="N4" t="s">
        <v>7</v>
      </c>
      <c r="O4" t="s">
        <v>8</v>
      </c>
      <c r="P4" t="s">
        <v>10</v>
      </c>
    </row>
    <row r="5" spans="1:16">
      <c r="A5">
        <v>0</v>
      </c>
      <c r="B5">
        <v>508224</v>
      </c>
      <c r="C5">
        <v>1.2156199999999999</v>
      </c>
      <c r="D5">
        <v>6556.89</v>
      </c>
      <c r="E5">
        <v>14</v>
      </c>
      <c r="F5">
        <v>1.79948</v>
      </c>
      <c r="G5">
        <v>20093</v>
      </c>
      <c r="H5">
        <v>7</v>
      </c>
      <c r="I5">
        <v>1.7024900000000001</v>
      </c>
      <c r="J5">
        <v>10265.34</v>
      </c>
      <c r="K5">
        <v>214</v>
      </c>
      <c r="L5">
        <v>1.79942</v>
      </c>
      <c r="M5">
        <v>14593.06</v>
      </c>
      <c r="N5">
        <v>5</v>
      </c>
      <c r="O5">
        <v>1.4</v>
      </c>
      <c r="P5">
        <v>18899.919999999998</v>
      </c>
    </row>
    <row r="6" spans="1:16">
      <c r="A6">
        <v>1</v>
      </c>
      <c r="B6">
        <v>508152</v>
      </c>
      <c r="C6">
        <v>1.2157500000000001</v>
      </c>
      <c r="D6">
        <v>4260.9399999999996</v>
      </c>
      <c r="E6">
        <v>11</v>
      </c>
      <c r="F6">
        <v>1.9999800000000001</v>
      </c>
      <c r="G6">
        <v>7800.94</v>
      </c>
      <c r="H6">
        <v>7</v>
      </c>
      <c r="I6">
        <v>1.69251</v>
      </c>
      <c r="J6">
        <v>8428.2000000000007</v>
      </c>
      <c r="K6">
        <v>404</v>
      </c>
      <c r="L6">
        <v>1.99884</v>
      </c>
      <c r="M6">
        <v>15447.25</v>
      </c>
      <c r="N6">
        <v>5</v>
      </c>
      <c r="O6">
        <v>1.4</v>
      </c>
      <c r="P6">
        <v>16773.900000000001</v>
      </c>
    </row>
    <row r="7" spans="1:16">
      <c r="A7">
        <v>2</v>
      </c>
      <c r="B7">
        <v>507504</v>
      </c>
      <c r="C7">
        <v>1.28189</v>
      </c>
      <c r="D7">
        <v>4434.87</v>
      </c>
      <c r="E7">
        <v>5</v>
      </c>
      <c r="F7">
        <v>1.9999899999999999</v>
      </c>
      <c r="G7">
        <v>6825.58</v>
      </c>
      <c r="H7">
        <v>5</v>
      </c>
      <c r="I7">
        <v>1.76922</v>
      </c>
      <c r="J7">
        <v>10647.79</v>
      </c>
      <c r="K7">
        <v>32</v>
      </c>
      <c r="L7">
        <v>1.9999100000000001</v>
      </c>
      <c r="M7">
        <v>14891.83</v>
      </c>
      <c r="N7">
        <v>4</v>
      </c>
      <c r="O7">
        <v>1</v>
      </c>
      <c r="P7">
        <v>17134.48</v>
      </c>
    </row>
    <row r="8" spans="1:16">
      <c r="A8">
        <v>3</v>
      </c>
      <c r="B8">
        <v>509538</v>
      </c>
      <c r="C8">
        <v>1.28616</v>
      </c>
      <c r="D8">
        <v>6066.94</v>
      </c>
      <c r="E8">
        <v>5</v>
      </c>
      <c r="F8">
        <v>1.9999899999999999</v>
      </c>
      <c r="G8">
        <v>7399.68</v>
      </c>
      <c r="H8">
        <v>5</v>
      </c>
      <c r="I8">
        <v>1.76922</v>
      </c>
      <c r="J8">
        <v>13159.96</v>
      </c>
      <c r="K8">
        <v>7</v>
      </c>
      <c r="L8">
        <v>1.99997</v>
      </c>
      <c r="M8">
        <v>13997.27</v>
      </c>
      <c r="N8">
        <v>4</v>
      </c>
      <c r="O8">
        <v>1</v>
      </c>
      <c r="P8">
        <v>14637.68</v>
      </c>
    </row>
    <row r="9" spans="1:16">
      <c r="A9">
        <v>4</v>
      </c>
      <c r="B9">
        <v>464832</v>
      </c>
      <c r="C9">
        <v>1.6175999999999999</v>
      </c>
      <c r="D9">
        <v>5269.97</v>
      </c>
      <c r="E9">
        <v>9</v>
      </c>
      <c r="F9">
        <v>1.9999800000000001</v>
      </c>
      <c r="G9">
        <v>6670.65</v>
      </c>
      <c r="H9">
        <v>6</v>
      </c>
      <c r="I9">
        <v>1.9101699999999999</v>
      </c>
      <c r="J9">
        <v>8033.9</v>
      </c>
      <c r="K9">
        <v>482</v>
      </c>
      <c r="L9">
        <v>1.99854</v>
      </c>
      <c r="M9">
        <v>12922.27</v>
      </c>
      <c r="N9">
        <v>5</v>
      </c>
      <c r="O9">
        <v>1.0377400000000001</v>
      </c>
      <c r="P9">
        <v>19852.12</v>
      </c>
    </row>
    <row r="10" spans="1:16">
      <c r="A10">
        <v>5</v>
      </c>
      <c r="B10">
        <v>505122</v>
      </c>
      <c r="C10">
        <v>1.27166</v>
      </c>
      <c r="D10">
        <v>5522.39</v>
      </c>
      <c r="E10">
        <v>5</v>
      </c>
      <c r="F10">
        <v>1.9999899999999999</v>
      </c>
      <c r="G10">
        <v>8187.21</v>
      </c>
      <c r="H10">
        <v>4</v>
      </c>
      <c r="I10">
        <v>1.9999899999999999</v>
      </c>
      <c r="J10">
        <v>10993.1</v>
      </c>
      <c r="K10">
        <v>105</v>
      </c>
      <c r="L10">
        <v>1.9998</v>
      </c>
      <c r="M10">
        <v>13102.66</v>
      </c>
      <c r="N10">
        <v>4</v>
      </c>
      <c r="O10">
        <v>1</v>
      </c>
      <c r="P10">
        <v>14548.73</v>
      </c>
    </row>
    <row r="11" spans="1:16">
      <c r="A11">
        <v>6</v>
      </c>
      <c r="B11">
        <v>535560</v>
      </c>
      <c r="C11">
        <v>1.1122700000000001</v>
      </c>
      <c r="D11">
        <v>3933.68</v>
      </c>
      <c r="E11">
        <v>7</v>
      </c>
      <c r="F11">
        <v>1.9999800000000001</v>
      </c>
      <c r="G11">
        <v>6842.76</v>
      </c>
      <c r="H11">
        <v>5</v>
      </c>
      <c r="I11">
        <v>1.9189099999999999</v>
      </c>
      <c r="J11">
        <v>9040.7000000000007</v>
      </c>
      <c r="K11">
        <v>9</v>
      </c>
      <c r="L11">
        <v>1.99997</v>
      </c>
      <c r="M11">
        <v>15764.06</v>
      </c>
      <c r="N11">
        <v>5</v>
      </c>
      <c r="O11">
        <v>1.76922</v>
      </c>
      <c r="P11">
        <v>14456.43</v>
      </c>
    </row>
    <row r="12" spans="1:16">
      <c r="A12">
        <v>7</v>
      </c>
      <c r="B12">
        <v>455472</v>
      </c>
      <c r="C12">
        <v>1.64496</v>
      </c>
      <c r="D12">
        <v>4272.1499999999996</v>
      </c>
      <c r="E12">
        <v>5</v>
      </c>
      <c r="F12">
        <v>1.9999899999999999</v>
      </c>
      <c r="G12">
        <v>6852.79</v>
      </c>
      <c r="H12">
        <v>5</v>
      </c>
      <c r="I12">
        <v>1.4</v>
      </c>
      <c r="J12">
        <v>8050.18</v>
      </c>
      <c r="K12">
        <v>808</v>
      </c>
      <c r="L12">
        <v>1.9986600000000001</v>
      </c>
      <c r="M12">
        <v>13113.6</v>
      </c>
      <c r="N12">
        <v>5</v>
      </c>
      <c r="O12">
        <v>1.0000100000000001</v>
      </c>
      <c r="P12">
        <v>13859.95</v>
      </c>
    </row>
    <row r="13" spans="1:16">
      <c r="A13">
        <v>8</v>
      </c>
      <c r="B13">
        <v>455472</v>
      </c>
      <c r="C13">
        <v>1.64496</v>
      </c>
      <c r="D13">
        <v>4260.32</v>
      </c>
      <c r="E13">
        <v>12</v>
      </c>
      <c r="F13">
        <v>1.8711500000000001</v>
      </c>
      <c r="G13">
        <v>6594.25</v>
      </c>
      <c r="H13">
        <v>6</v>
      </c>
      <c r="I13">
        <v>1.7930999999999999</v>
      </c>
      <c r="J13">
        <v>8570.7099999999991</v>
      </c>
      <c r="K13">
        <v>858</v>
      </c>
      <c r="L13">
        <v>1.86683</v>
      </c>
      <c r="M13">
        <v>10126.24</v>
      </c>
      <c r="N13">
        <v>5</v>
      </c>
      <c r="O13">
        <v>1.4</v>
      </c>
      <c r="P13">
        <v>16586.189999999999</v>
      </c>
    </row>
    <row r="14" spans="1:16">
      <c r="A14">
        <v>9</v>
      </c>
      <c r="B14">
        <v>491922</v>
      </c>
      <c r="C14">
        <v>1.1110500000000001</v>
      </c>
      <c r="D14">
        <v>4121.5600000000004</v>
      </c>
      <c r="E14">
        <v>11</v>
      </c>
      <c r="F14">
        <v>1.9999800000000001</v>
      </c>
      <c r="G14">
        <v>6872.34</v>
      </c>
      <c r="H14">
        <v>7</v>
      </c>
      <c r="I14">
        <v>1.92737</v>
      </c>
      <c r="J14">
        <v>8457.27</v>
      </c>
      <c r="K14">
        <v>140</v>
      </c>
      <c r="L14">
        <v>1.9995099999999999</v>
      </c>
      <c r="M14">
        <v>12444.02</v>
      </c>
      <c r="N14">
        <v>5</v>
      </c>
      <c r="O14">
        <v>1.76922</v>
      </c>
      <c r="P14">
        <v>20107.18</v>
      </c>
    </row>
    <row r="15" spans="1:16">
      <c r="A15">
        <v>10</v>
      </c>
      <c r="B15">
        <v>509304</v>
      </c>
      <c r="C15">
        <v>1.28582</v>
      </c>
      <c r="D15">
        <v>4097.82</v>
      </c>
      <c r="E15">
        <v>5</v>
      </c>
      <c r="F15">
        <v>1.9999899999999999</v>
      </c>
      <c r="G15">
        <v>9945.02</v>
      </c>
      <c r="H15">
        <v>4</v>
      </c>
      <c r="I15">
        <v>1.9999899999999999</v>
      </c>
      <c r="J15">
        <v>13881.61</v>
      </c>
      <c r="K15">
        <v>66</v>
      </c>
      <c r="L15">
        <v>1.99979</v>
      </c>
      <c r="M15">
        <v>12969.71</v>
      </c>
      <c r="N15">
        <v>4</v>
      </c>
      <c r="O15">
        <v>1</v>
      </c>
      <c r="P15">
        <v>17211.14</v>
      </c>
    </row>
    <row r="16" spans="1:16">
      <c r="A16">
        <v>11</v>
      </c>
      <c r="B16">
        <v>501324</v>
      </c>
      <c r="C16">
        <v>1.23722</v>
      </c>
      <c r="D16">
        <v>4854.9399999999996</v>
      </c>
      <c r="E16">
        <v>5</v>
      </c>
      <c r="F16">
        <v>1.9999899999999999</v>
      </c>
      <c r="G16">
        <v>6646.15</v>
      </c>
      <c r="H16">
        <v>4</v>
      </c>
      <c r="I16">
        <v>1.9999899999999999</v>
      </c>
      <c r="J16">
        <v>9564.75</v>
      </c>
      <c r="K16">
        <v>471</v>
      </c>
      <c r="L16">
        <v>1.99882</v>
      </c>
      <c r="M16">
        <v>9965.49</v>
      </c>
      <c r="N16">
        <v>4</v>
      </c>
      <c r="O16">
        <v>1</v>
      </c>
      <c r="P16">
        <v>15749.34</v>
      </c>
    </row>
    <row r="17" spans="1:16">
      <c r="A17">
        <v>12</v>
      </c>
      <c r="B17">
        <v>509304</v>
      </c>
      <c r="C17">
        <v>1.28582</v>
      </c>
      <c r="D17">
        <v>4322.79</v>
      </c>
      <c r="E17">
        <v>5</v>
      </c>
      <c r="F17">
        <v>1.9999899999999999</v>
      </c>
      <c r="G17">
        <v>6874.58</v>
      </c>
      <c r="H17">
        <v>4</v>
      </c>
      <c r="I17">
        <v>1.9999899999999999</v>
      </c>
      <c r="J17">
        <v>10683.44</v>
      </c>
      <c r="K17">
        <v>54</v>
      </c>
      <c r="L17">
        <v>1.9998800000000001</v>
      </c>
      <c r="M17">
        <v>10014.68</v>
      </c>
      <c r="N17">
        <v>4</v>
      </c>
      <c r="O17">
        <v>1</v>
      </c>
      <c r="P17">
        <v>22028.16</v>
      </c>
    </row>
    <row r="18" spans="1:16">
      <c r="A18">
        <v>13</v>
      </c>
      <c r="B18">
        <v>503346</v>
      </c>
      <c r="C18">
        <v>1.26885</v>
      </c>
      <c r="D18">
        <v>3858.24</v>
      </c>
      <c r="E18">
        <v>9</v>
      </c>
      <c r="F18">
        <v>1.9999800000000001</v>
      </c>
      <c r="G18">
        <v>6555.32</v>
      </c>
      <c r="H18">
        <v>6</v>
      </c>
      <c r="I18">
        <v>1.9101699999999999</v>
      </c>
      <c r="J18">
        <v>9613.75</v>
      </c>
      <c r="K18">
        <v>577</v>
      </c>
      <c r="L18">
        <v>1.9978</v>
      </c>
      <c r="M18">
        <v>11519.07</v>
      </c>
      <c r="N18">
        <v>5</v>
      </c>
      <c r="O18">
        <v>1.0377400000000001</v>
      </c>
      <c r="P18">
        <v>15302.6</v>
      </c>
    </row>
    <row r="19" spans="1:16">
      <c r="A19">
        <v>14</v>
      </c>
      <c r="B19">
        <v>491562</v>
      </c>
      <c r="C19">
        <v>1.11056</v>
      </c>
      <c r="D19">
        <v>4064.61</v>
      </c>
      <c r="E19">
        <v>7</v>
      </c>
      <c r="F19">
        <v>1.9999800000000001</v>
      </c>
      <c r="G19">
        <v>7675.81</v>
      </c>
      <c r="H19">
        <v>5</v>
      </c>
      <c r="I19">
        <v>1.9724699999999999</v>
      </c>
      <c r="J19">
        <v>9919.17</v>
      </c>
      <c r="K19">
        <v>280</v>
      </c>
      <c r="L19">
        <v>1.9994799999999999</v>
      </c>
      <c r="M19">
        <v>10708.95</v>
      </c>
      <c r="N19">
        <v>5</v>
      </c>
      <c r="O19">
        <v>1.9189099999999999</v>
      </c>
      <c r="P19">
        <v>15743.39</v>
      </c>
    </row>
    <row r="20" spans="1:16">
      <c r="A20">
        <v>15</v>
      </c>
      <c r="B20">
        <v>509538</v>
      </c>
      <c r="C20">
        <v>1.28616</v>
      </c>
      <c r="D20">
        <v>4903.9799999999996</v>
      </c>
      <c r="E20">
        <v>5</v>
      </c>
      <c r="F20">
        <v>1.9999899999999999</v>
      </c>
      <c r="G20">
        <v>7078.25</v>
      </c>
      <c r="H20">
        <v>5</v>
      </c>
      <c r="I20">
        <v>1.76922</v>
      </c>
      <c r="J20">
        <v>10955.24</v>
      </c>
      <c r="K20">
        <v>7</v>
      </c>
      <c r="L20">
        <v>1.99997</v>
      </c>
      <c r="M20">
        <v>10812.69</v>
      </c>
      <c r="N20">
        <v>4</v>
      </c>
      <c r="O20">
        <v>1</v>
      </c>
      <c r="P20">
        <v>14470.74</v>
      </c>
    </row>
    <row r="21" spans="1:16">
      <c r="A21">
        <v>16</v>
      </c>
      <c r="B21">
        <v>491958</v>
      </c>
      <c r="C21">
        <v>1.1111</v>
      </c>
      <c r="D21">
        <v>6596.28</v>
      </c>
      <c r="E21">
        <v>5</v>
      </c>
      <c r="F21">
        <v>1.9999899999999999</v>
      </c>
      <c r="G21">
        <v>8684.2900000000009</v>
      </c>
      <c r="H21">
        <v>4</v>
      </c>
      <c r="I21">
        <v>1.9999899999999999</v>
      </c>
      <c r="J21">
        <v>10399.209999999999</v>
      </c>
      <c r="K21">
        <v>17</v>
      </c>
      <c r="L21">
        <v>1.9999499999999999</v>
      </c>
      <c r="M21">
        <v>10677.28</v>
      </c>
      <c r="N21">
        <v>4</v>
      </c>
      <c r="O21">
        <v>1</v>
      </c>
      <c r="P21">
        <v>15101.71</v>
      </c>
    </row>
    <row r="22" spans="1:16">
      <c r="A22">
        <v>17</v>
      </c>
      <c r="B22">
        <v>509304</v>
      </c>
      <c r="C22">
        <v>1.28582</v>
      </c>
      <c r="D22">
        <v>3991.61</v>
      </c>
      <c r="E22">
        <v>5</v>
      </c>
      <c r="F22">
        <v>1.9999899999999999</v>
      </c>
      <c r="G22">
        <v>7444.77</v>
      </c>
      <c r="H22">
        <v>4</v>
      </c>
      <c r="I22">
        <v>1.9999899999999999</v>
      </c>
      <c r="J22">
        <v>11529.92</v>
      </c>
      <c r="K22">
        <v>65</v>
      </c>
      <c r="L22">
        <v>1.99977</v>
      </c>
      <c r="M22">
        <v>10096.11</v>
      </c>
      <c r="N22">
        <v>4</v>
      </c>
      <c r="O22">
        <v>1</v>
      </c>
      <c r="P22">
        <v>15415.72</v>
      </c>
    </row>
    <row r="23" spans="1:16">
      <c r="A23">
        <v>18</v>
      </c>
      <c r="B23">
        <v>466956</v>
      </c>
      <c r="C23">
        <v>1.61174</v>
      </c>
      <c r="D23">
        <v>4638.78</v>
      </c>
      <c r="E23">
        <v>5</v>
      </c>
      <c r="F23">
        <v>1.9999899999999999</v>
      </c>
      <c r="G23">
        <v>6688.09</v>
      </c>
      <c r="H23">
        <v>5</v>
      </c>
      <c r="I23">
        <v>1.4</v>
      </c>
      <c r="J23">
        <v>10286.07</v>
      </c>
      <c r="K23">
        <v>210</v>
      </c>
      <c r="L23">
        <v>1.99929</v>
      </c>
      <c r="M23">
        <v>10650.66</v>
      </c>
      <c r="N23">
        <v>5</v>
      </c>
      <c r="O23">
        <v>1.0000100000000001</v>
      </c>
      <c r="P23">
        <v>21448.77</v>
      </c>
    </row>
    <row r="24" spans="1:16">
      <c r="A24">
        <v>19</v>
      </c>
      <c r="B24">
        <v>504738</v>
      </c>
      <c r="C24">
        <v>1.2710999999999999</v>
      </c>
      <c r="D24">
        <v>3695.26</v>
      </c>
      <c r="E24">
        <v>9</v>
      </c>
      <c r="F24">
        <v>1.9999800000000001</v>
      </c>
      <c r="G24">
        <v>7470.93</v>
      </c>
      <c r="H24">
        <v>6</v>
      </c>
      <c r="I24">
        <v>1.9159900000000001</v>
      </c>
      <c r="J24">
        <v>10805.49</v>
      </c>
      <c r="K24">
        <v>212</v>
      </c>
      <c r="L24">
        <v>1.9990000000000001</v>
      </c>
      <c r="M24">
        <v>10230.549999999999</v>
      </c>
      <c r="N24">
        <v>5</v>
      </c>
      <c r="O24">
        <v>1.0377400000000001</v>
      </c>
      <c r="P24">
        <v>15957.28</v>
      </c>
    </row>
    <row r="25" spans="1:16">
      <c r="A25">
        <v>20</v>
      </c>
      <c r="B25">
        <v>455472</v>
      </c>
      <c r="C25">
        <v>1.64496</v>
      </c>
      <c r="D25">
        <v>4172.26</v>
      </c>
      <c r="E25">
        <v>9</v>
      </c>
      <c r="F25">
        <v>1.9999800000000001</v>
      </c>
      <c r="G25">
        <v>6880.8</v>
      </c>
      <c r="H25">
        <v>6</v>
      </c>
      <c r="I25">
        <v>1.8928499999999999</v>
      </c>
      <c r="J25">
        <v>10753.63</v>
      </c>
      <c r="K25">
        <v>69</v>
      </c>
      <c r="L25">
        <v>1.99976</v>
      </c>
      <c r="M25">
        <v>10730.38</v>
      </c>
      <c r="N25">
        <v>6</v>
      </c>
      <c r="O25">
        <v>1.0769200000000001</v>
      </c>
      <c r="P25">
        <v>14140.89</v>
      </c>
    </row>
    <row r="26" spans="1:16">
      <c r="A26">
        <v>21</v>
      </c>
      <c r="B26">
        <v>491562</v>
      </c>
      <c r="C26">
        <v>1.11056</v>
      </c>
      <c r="D26">
        <v>4854.55</v>
      </c>
      <c r="E26">
        <v>13</v>
      </c>
      <c r="F26">
        <v>1.6096600000000001</v>
      </c>
      <c r="G26">
        <v>8255.44</v>
      </c>
      <c r="H26">
        <v>6</v>
      </c>
      <c r="I26">
        <v>1.6999899999999999</v>
      </c>
      <c r="J26">
        <v>9511.39</v>
      </c>
      <c r="K26">
        <v>216</v>
      </c>
      <c r="L26">
        <v>1.61015</v>
      </c>
      <c r="M26">
        <v>12017.65</v>
      </c>
      <c r="N26">
        <v>6</v>
      </c>
      <c r="O26">
        <v>1.25</v>
      </c>
      <c r="P26">
        <v>19021.810000000001</v>
      </c>
    </row>
    <row r="27" spans="1:16">
      <c r="A27">
        <v>22</v>
      </c>
      <c r="B27">
        <v>507408</v>
      </c>
      <c r="C27">
        <v>1.2817499999999999</v>
      </c>
      <c r="D27">
        <v>3401.02</v>
      </c>
      <c r="E27">
        <v>13</v>
      </c>
      <c r="F27">
        <v>1.99997</v>
      </c>
      <c r="G27">
        <v>10193.780000000001</v>
      </c>
      <c r="H27">
        <v>8</v>
      </c>
      <c r="I27">
        <v>1.97377</v>
      </c>
      <c r="J27">
        <v>9952.6299999999992</v>
      </c>
      <c r="K27">
        <v>139</v>
      </c>
      <c r="L27">
        <v>1.9995099999999999</v>
      </c>
      <c r="M27">
        <v>10900.88</v>
      </c>
      <c r="N27">
        <v>6</v>
      </c>
      <c r="O27">
        <v>1.0110300000000001</v>
      </c>
      <c r="P27">
        <v>16546.330000000002</v>
      </c>
    </row>
    <row r="28" spans="1:16">
      <c r="A28">
        <v>23</v>
      </c>
      <c r="B28">
        <v>507366</v>
      </c>
      <c r="C28">
        <v>1.1467099999999999</v>
      </c>
      <c r="D28">
        <v>3608.43</v>
      </c>
      <c r="E28">
        <v>9</v>
      </c>
      <c r="F28">
        <v>1.9999800000000001</v>
      </c>
      <c r="G28">
        <v>7289.69</v>
      </c>
      <c r="H28">
        <v>7</v>
      </c>
      <c r="I28">
        <v>1.99109</v>
      </c>
      <c r="J28">
        <v>8827.81</v>
      </c>
      <c r="K28">
        <v>424</v>
      </c>
      <c r="L28">
        <v>1.99881</v>
      </c>
      <c r="M28">
        <v>11600.23</v>
      </c>
      <c r="N28">
        <v>5</v>
      </c>
      <c r="O28">
        <v>1.9724699999999999</v>
      </c>
      <c r="P28">
        <v>14339.22</v>
      </c>
    </row>
    <row r="29" spans="1:16">
      <c r="A29">
        <v>24</v>
      </c>
      <c r="B29">
        <v>510636</v>
      </c>
      <c r="C29">
        <v>1.2115</v>
      </c>
      <c r="D29">
        <v>4372.75</v>
      </c>
      <c r="E29">
        <v>12</v>
      </c>
      <c r="F29">
        <v>1.5434699999999999</v>
      </c>
      <c r="G29">
        <v>8411.49</v>
      </c>
      <c r="H29">
        <v>5</v>
      </c>
      <c r="I29">
        <v>1.76922</v>
      </c>
      <c r="J29">
        <v>8985.0300000000007</v>
      </c>
      <c r="K29">
        <v>142</v>
      </c>
      <c r="L29">
        <v>1.5437799999999999</v>
      </c>
      <c r="M29">
        <v>12306.1</v>
      </c>
      <c r="N29">
        <v>6</v>
      </c>
      <c r="O29">
        <v>1</v>
      </c>
      <c r="P29">
        <v>19454.580000000002</v>
      </c>
    </row>
    <row r="30" spans="1:16">
      <c r="A30">
        <v>25</v>
      </c>
      <c r="B30">
        <v>508686</v>
      </c>
      <c r="C30">
        <v>1.2847999999999999</v>
      </c>
      <c r="D30">
        <v>6661.91</v>
      </c>
      <c r="E30">
        <v>5</v>
      </c>
      <c r="F30">
        <v>1.9999899999999999</v>
      </c>
      <c r="G30">
        <v>8353.2999999999993</v>
      </c>
      <c r="H30">
        <v>4</v>
      </c>
      <c r="I30">
        <v>1.9999899999999999</v>
      </c>
      <c r="J30">
        <v>10347.51</v>
      </c>
      <c r="K30">
        <v>104</v>
      </c>
      <c r="L30">
        <v>1.9998</v>
      </c>
      <c r="M30">
        <v>11580.42</v>
      </c>
      <c r="N30">
        <v>4</v>
      </c>
      <c r="O30">
        <v>1</v>
      </c>
      <c r="P30">
        <v>22605.7</v>
      </c>
    </row>
    <row r="31" spans="1:16">
      <c r="A31">
        <v>26</v>
      </c>
      <c r="B31">
        <v>497076</v>
      </c>
      <c r="C31">
        <v>1.22885</v>
      </c>
      <c r="D31">
        <v>4201.2</v>
      </c>
      <c r="E31">
        <v>9</v>
      </c>
      <c r="F31">
        <v>1.9999800000000001</v>
      </c>
      <c r="G31">
        <v>6892.31</v>
      </c>
      <c r="H31">
        <v>6</v>
      </c>
      <c r="I31">
        <v>1.8928499999999999</v>
      </c>
      <c r="J31">
        <v>12143.3</v>
      </c>
      <c r="K31">
        <v>867</v>
      </c>
      <c r="L31">
        <v>1.9963</v>
      </c>
      <c r="M31">
        <v>10740.58</v>
      </c>
      <c r="N31">
        <v>5</v>
      </c>
      <c r="O31">
        <v>1.0377400000000001</v>
      </c>
      <c r="P31">
        <v>15782.01</v>
      </c>
    </row>
    <row r="32" spans="1:16">
      <c r="A32">
        <v>27</v>
      </c>
      <c r="B32">
        <v>507024</v>
      </c>
      <c r="C32">
        <v>1.2811900000000001</v>
      </c>
      <c r="D32">
        <v>4810.28</v>
      </c>
      <c r="E32">
        <v>5</v>
      </c>
      <c r="F32">
        <v>1.9999899999999999</v>
      </c>
      <c r="G32">
        <v>7169.72</v>
      </c>
      <c r="H32">
        <v>4</v>
      </c>
      <c r="I32">
        <v>1.9999899999999999</v>
      </c>
      <c r="J32">
        <v>11048.11</v>
      </c>
      <c r="K32">
        <v>231</v>
      </c>
      <c r="L32">
        <v>1.99959</v>
      </c>
      <c r="M32">
        <v>11122.59</v>
      </c>
      <c r="N32">
        <v>4</v>
      </c>
      <c r="O32">
        <v>1</v>
      </c>
      <c r="P32">
        <v>13971.86</v>
      </c>
    </row>
    <row r="33" spans="1:16">
      <c r="A33">
        <v>28</v>
      </c>
      <c r="B33">
        <v>507024</v>
      </c>
      <c r="C33">
        <v>1.2811900000000001</v>
      </c>
      <c r="D33">
        <v>4428.6000000000004</v>
      </c>
      <c r="E33">
        <v>5</v>
      </c>
      <c r="F33">
        <v>1.9999899999999999</v>
      </c>
      <c r="G33">
        <v>6658.5</v>
      </c>
      <c r="H33">
        <v>4</v>
      </c>
      <c r="I33">
        <v>1.9999899999999999</v>
      </c>
      <c r="J33">
        <v>9844.0400000000009</v>
      </c>
      <c r="K33">
        <v>231</v>
      </c>
      <c r="L33">
        <v>1.99959</v>
      </c>
      <c r="M33">
        <v>11735.05</v>
      </c>
      <c r="N33">
        <v>4</v>
      </c>
      <c r="O33">
        <v>1</v>
      </c>
      <c r="P33">
        <v>22151.14</v>
      </c>
    </row>
    <row r="34" spans="1:16">
      <c r="A34">
        <v>29</v>
      </c>
      <c r="B34">
        <v>466956</v>
      </c>
      <c r="C34">
        <v>1.61174</v>
      </c>
      <c r="D34">
        <v>4942.25</v>
      </c>
      <c r="E34">
        <v>5</v>
      </c>
      <c r="F34">
        <v>1.9999899999999999</v>
      </c>
      <c r="G34">
        <v>7366.16</v>
      </c>
      <c r="H34">
        <v>4</v>
      </c>
      <c r="I34">
        <v>1.9999899999999999</v>
      </c>
      <c r="J34">
        <v>11528.98</v>
      </c>
      <c r="K34">
        <v>56</v>
      </c>
      <c r="L34">
        <v>1.99983</v>
      </c>
      <c r="M34">
        <v>10482.64</v>
      </c>
      <c r="N34">
        <v>5</v>
      </c>
      <c r="O34">
        <v>1.0000100000000001</v>
      </c>
      <c r="P34">
        <v>14213.37</v>
      </c>
    </row>
    <row r="35" spans="1:16">
      <c r="A35">
        <v>30</v>
      </c>
      <c r="B35">
        <v>467352</v>
      </c>
      <c r="C35">
        <v>1.6106499999999999</v>
      </c>
      <c r="D35">
        <v>5159.51</v>
      </c>
      <c r="E35">
        <v>5</v>
      </c>
      <c r="F35">
        <v>1.9999899999999999</v>
      </c>
      <c r="G35">
        <v>7219.97</v>
      </c>
      <c r="H35">
        <v>5</v>
      </c>
      <c r="I35">
        <v>1.4</v>
      </c>
      <c r="J35">
        <v>10487.48</v>
      </c>
      <c r="K35">
        <v>32</v>
      </c>
      <c r="L35">
        <v>1.9999100000000001</v>
      </c>
      <c r="M35">
        <v>11099.07</v>
      </c>
      <c r="N35">
        <v>5</v>
      </c>
      <c r="O35">
        <v>1.0000100000000001</v>
      </c>
      <c r="P35">
        <v>16362.45</v>
      </c>
    </row>
    <row r="36" spans="1:16">
      <c r="A36">
        <v>31</v>
      </c>
      <c r="B36">
        <v>508152</v>
      </c>
      <c r="C36">
        <v>1.2157500000000001</v>
      </c>
      <c r="D36">
        <v>6367.89</v>
      </c>
      <c r="E36">
        <v>14</v>
      </c>
      <c r="F36">
        <v>1.57037</v>
      </c>
      <c r="G36">
        <v>9367.6</v>
      </c>
      <c r="H36">
        <v>7</v>
      </c>
      <c r="I36">
        <v>1.80114</v>
      </c>
      <c r="J36">
        <v>10396.969999999999</v>
      </c>
      <c r="K36">
        <v>485</v>
      </c>
      <c r="L36">
        <v>1.5707199999999999</v>
      </c>
      <c r="M36">
        <v>12112.91</v>
      </c>
      <c r="N36">
        <v>6</v>
      </c>
      <c r="O36">
        <v>1</v>
      </c>
      <c r="P36">
        <v>19876.66</v>
      </c>
    </row>
    <row r="38" spans="1:16">
      <c r="C38" t="s">
        <v>4</v>
      </c>
      <c r="F38" t="s">
        <v>5</v>
      </c>
      <c r="I38" t="s">
        <v>19</v>
      </c>
      <c r="L38" t="s">
        <v>6</v>
      </c>
      <c r="O38" t="s">
        <v>6</v>
      </c>
    </row>
    <row r="39" spans="1:16">
      <c r="B39" t="s">
        <v>7</v>
      </c>
      <c r="C39" t="s">
        <v>8</v>
      </c>
      <c r="D39" t="s">
        <v>9</v>
      </c>
      <c r="E39" t="s">
        <v>7</v>
      </c>
      <c r="F39" t="s">
        <v>8</v>
      </c>
      <c r="G39" t="s">
        <v>9</v>
      </c>
      <c r="H39" t="s">
        <v>7</v>
      </c>
      <c r="I39" t="s">
        <v>8</v>
      </c>
      <c r="J39" t="s">
        <v>9</v>
      </c>
      <c r="K39" t="s">
        <v>7</v>
      </c>
      <c r="L39" t="s">
        <v>8</v>
      </c>
      <c r="M39" t="s">
        <v>10</v>
      </c>
      <c r="N39" t="s">
        <v>7</v>
      </c>
      <c r="O39" t="s">
        <v>8</v>
      </c>
      <c r="P39" t="s">
        <v>10</v>
      </c>
    </row>
    <row r="40" spans="1:16">
      <c r="A40" t="s">
        <v>11</v>
      </c>
      <c r="B40" s="1">
        <f>MAX(B5:B36)</f>
        <v>535560</v>
      </c>
      <c r="C40" s="1">
        <f t="shared" ref="C40:P40" si="0">MAX(C5:C36)</f>
        <v>1.64496</v>
      </c>
      <c r="D40" s="1">
        <f t="shared" si="0"/>
        <v>6661.91</v>
      </c>
      <c r="E40" s="1">
        <f t="shared" si="0"/>
        <v>14</v>
      </c>
      <c r="F40" s="1">
        <f t="shared" si="0"/>
        <v>1.9999899999999999</v>
      </c>
      <c r="G40" s="1">
        <f t="shared" si="0"/>
        <v>20093</v>
      </c>
      <c r="H40" s="1">
        <f t="shared" si="0"/>
        <v>8</v>
      </c>
      <c r="I40" s="1">
        <f t="shared" si="0"/>
        <v>1.9999899999999999</v>
      </c>
      <c r="J40" s="1">
        <f t="shared" si="0"/>
        <v>13881.61</v>
      </c>
      <c r="K40" s="1">
        <f t="shared" si="0"/>
        <v>867</v>
      </c>
      <c r="L40" s="1">
        <f t="shared" si="0"/>
        <v>1.99997</v>
      </c>
      <c r="M40" s="1">
        <f t="shared" si="0"/>
        <v>15764.06</v>
      </c>
      <c r="N40" s="1">
        <f t="shared" si="0"/>
        <v>6</v>
      </c>
      <c r="O40" s="1">
        <f t="shared" si="0"/>
        <v>1.9724699999999999</v>
      </c>
      <c r="P40" s="1">
        <f t="shared" si="0"/>
        <v>22605.7</v>
      </c>
    </row>
    <row r="41" spans="1:16">
      <c r="A41" t="s">
        <v>12</v>
      </c>
      <c r="B41" s="1">
        <f>MIN(B5:B36)</f>
        <v>455472</v>
      </c>
      <c r="C41" s="1">
        <f t="shared" ref="C41:P41" si="1">MIN(C5:C36)</f>
        <v>1.11056</v>
      </c>
      <c r="D41" s="1">
        <f t="shared" si="1"/>
        <v>3401.02</v>
      </c>
      <c r="E41" s="1">
        <f t="shared" si="1"/>
        <v>5</v>
      </c>
      <c r="F41" s="1">
        <f t="shared" si="1"/>
        <v>1.5434699999999999</v>
      </c>
      <c r="G41" s="1">
        <f t="shared" si="1"/>
        <v>6555.32</v>
      </c>
      <c r="H41" s="1">
        <f t="shared" si="1"/>
        <v>4</v>
      </c>
      <c r="I41" s="1">
        <f t="shared" si="1"/>
        <v>1.4</v>
      </c>
      <c r="J41" s="1">
        <f t="shared" si="1"/>
        <v>8033.9</v>
      </c>
      <c r="K41" s="1">
        <f t="shared" si="1"/>
        <v>7</v>
      </c>
      <c r="L41" s="1">
        <f t="shared" si="1"/>
        <v>1.5437799999999999</v>
      </c>
      <c r="M41" s="1">
        <f t="shared" si="1"/>
        <v>9965.49</v>
      </c>
      <c r="N41" s="1">
        <f t="shared" si="1"/>
        <v>4</v>
      </c>
      <c r="O41" s="1">
        <f t="shared" si="1"/>
        <v>1</v>
      </c>
      <c r="P41" s="1">
        <f t="shared" si="1"/>
        <v>13859.95</v>
      </c>
    </row>
    <row r="42" spans="1:16">
      <c r="A42" t="s">
        <v>13</v>
      </c>
      <c r="B42" s="1">
        <f>MEDIAN(B5:B36)</f>
        <v>506073</v>
      </c>
      <c r="C42" s="1">
        <f t="shared" ref="C42:P42" si="2">MEDIAN(C5:C36)</f>
        <v>1.2811900000000001</v>
      </c>
      <c r="D42" s="1">
        <f t="shared" si="2"/>
        <v>4400.6750000000002</v>
      </c>
      <c r="E42" s="1">
        <f t="shared" si="2"/>
        <v>6</v>
      </c>
      <c r="F42" s="1">
        <f t="shared" si="2"/>
        <v>1.9999850000000001</v>
      </c>
      <c r="G42" s="1">
        <f t="shared" si="2"/>
        <v>7254.83</v>
      </c>
      <c r="H42" s="1">
        <f t="shared" si="2"/>
        <v>5</v>
      </c>
      <c r="I42" s="1">
        <f t="shared" si="2"/>
        <v>1.9130799999999999</v>
      </c>
      <c r="J42" s="1">
        <f t="shared" si="2"/>
        <v>10316.790000000001</v>
      </c>
      <c r="K42" s="1">
        <f t="shared" si="2"/>
        <v>176</v>
      </c>
      <c r="L42" s="1">
        <f t="shared" si="2"/>
        <v>1.9995099999999999</v>
      </c>
      <c r="M42" s="1">
        <f t="shared" si="2"/>
        <v>11549.744999999999</v>
      </c>
      <c r="N42" s="1">
        <f t="shared" si="2"/>
        <v>5</v>
      </c>
      <c r="O42" s="1">
        <f t="shared" si="2"/>
        <v>1.0000100000000001</v>
      </c>
      <c r="P42" s="1">
        <f t="shared" si="2"/>
        <v>16159.865000000002</v>
      </c>
    </row>
    <row r="43" spans="1:16">
      <c r="A43" t="s">
        <v>14</v>
      </c>
      <c r="B43" s="1">
        <f>AVERAGE(B5:B36)</f>
        <v>496057.6875</v>
      </c>
      <c r="C43" s="1">
        <f t="shared" ref="C43:P43" si="3">AVERAGE(C5:C36)</f>
        <v>1.3145549999999999</v>
      </c>
      <c r="D43" s="1">
        <f t="shared" si="3"/>
        <v>4709.5209375000004</v>
      </c>
      <c r="E43" s="1">
        <f t="shared" si="3"/>
        <v>7.75</v>
      </c>
      <c r="F43" s="1">
        <f t="shared" si="3"/>
        <v>1.9498043749999994</v>
      </c>
      <c r="G43" s="1">
        <f t="shared" si="3"/>
        <v>7914.4115624999986</v>
      </c>
      <c r="H43" s="1">
        <f t="shared" si="3"/>
        <v>5.3125</v>
      </c>
      <c r="I43" s="1">
        <f t="shared" si="3"/>
        <v>1.8522390624999996</v>
      </c>
      <c r="J43" s="1">
        <f t="shared" si="3"/>
        <v>10222.271249999998</v>
      </c>
      <c r="K43" s="1">
        <f t="shared" si="3"/>
        <v>250.4375</v>
      </c>
      <c r="L43" s="1">
        <f t="shared" si="3"/>
        <v>1.9491546875000001</v>
      </c>
      <c r="M43" s="1">
        <f t="shared" si="3"/>
        <v>11889.873437499999</v>
      </c>
      <c r="N43" s="1">
        <f t="shared" si="3"/>
        <v>4.78125</v>
      </c>
      <c r="O43" s="1">
        <f t="shared" si="3"/>
        <v>1.1599615625000004</v>
      </c>
      <c r="P43" s="1">
        <f t="shared" si="3"/>
        <v>16992.232812500002</v>
      </c>
    </row>
    <row r="44" spans="1:16">
      <c r="A44" t="s">
        <v>15</v>
      </c>
      <c r="B44" s="1">
        <f>STDEV(B5:B36)</f>
        <v>20192.045857198165</v>
      </c>
      <c r="C44" s="1">
        <f t="shared" ref="C44:P44" si="4">STDEV(C5:C36)</f>
        <v>0.17845188526557662</v>
      </c>
      <c r="D44" s="1">
        <f t="shared" si="4"/>
        <v>901.49784645175259</v>
      </c>
      <c r="E44" s="1">
        <f t="shared" si="4"/>
        <v>3.2229019181777079</v>
      </c>
      <c r="F44" s="1">
        <f t="shared" si="4"/>
        <v>0.12970814237971637</v>
      </c>
      <c r="G44" s="1">
        <f t="shared" si="4"/>
        <v>2421.1330457241538</v>
      </c>
      <c r="H44" s="1">
        <f t="shared" si="4"/>
        <v>1.1760376338064324</v>
      </c>
      <c r="I44" s="1">
        <f t="shared" si="4"/>
        <v>0.1804410551123565</v>
      </c>
      <c r="J44" s="1">
        <f t="shared" si="4"/>
        <v>1357.9815994448179</v>
      </c>
      <c r="K44" s="1">
        <f t="shared" si="4"/>
        <v>251.99051921489735</v>
      </c>
      <c r="L44" s="1">
        <f t="shared" si="4"/>
        <v>0.12947402908054886</v>
      </c>
      <c r="M44" s="1">
        <f t="shared" si="4"/>
        <v>1638.3684401328351</v>
      </c>
      <c r="N44" s="1">
        <f t="shared" si="4"/>
        <v>0.70639361228982733</v>
      </c>
      <c r="O44" s="1">
        <f t="shared" si="4"/>
        <v>0.29560879971961729</v>
      </c>
      <c r="P44" s="1">
        <f t="shared" si="4"/>
        <v>2693.6487058026692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Summary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Zhu, Qixin</cp:lastModifiedBy>
  <dcterms:created xsi:type="dcterms:W3CDTF">2017-12-14T21:33:10Z</dcterms:created>
  <dcterms:modified xsi:type="dcterms:W3CDTF">2018-05-07T03:11:22Z</dcterms:modified>
</cp:coreProperties>
</file>