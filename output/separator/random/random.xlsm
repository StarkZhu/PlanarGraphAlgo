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separator/random/"/>
    </mc:Choice>
  </mc:AlternateContent>
  <xr:revisionPtr revIDLastSave="0" documentId="13_ncr:1_{E157A4A6-22E7-5D4B-A1EA-714BE0939639}" xr6:coauthVersionLast="32" xr6:coauthVersionMax="32" xr10:uidLastSave="{00000000-0000-0000-0000-000000000000}"/>
  <bookViews>
    <workbookView xWindow="2080" yWindow="460" windowWidth="21800" windowHeight="13940" tabRatio="500" activeTab="5" xr2:uid="{00000000-000D-0000-FFFF-FFFF00000000}"/>
  </bookViews>
  <sheets>
    <sheet name="1" sheetId="1" r:id="rId1"/>
    <sheet name="2" sheetId="5" r:id="rId2"/>
    <sheet name="3" sheetId="4" r:id="rId3"/>
    <sheet name="4" sheetId="3" r:id="rId4"/>
    <sheet name="5" sheetId="2" r:id="rId5"/>
    <sheet name="Summary" sheetId="6" r:id="rId6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5" i="6" l="1"/>
  <c r="AH6" i="6"/>
  <c r="AH7" i="6"/>
  <c r="AH8" i="6"/>
  <c r="AH4" i="6"/>
  <c r="J40" i="3"/>
  <c r="K40" i="3"/>
  <c r="L40" i="3"/>
  <c r="M40" i="3"/>
  <c r="N40" i="3"/>
  <c r="O40" i="3"/>
  <c r="P40" i="3"/>
  <c r="J41" i="3"/>
  <c r="K41" i="3"/>
  <c r="L41" i="3"/>
  <c r="M41" i="3"/>
  <c r="N41" i="3"/>
  <c r="O41" i="3"/>
  <c r="P41" i="3"/>
  <c r="J42" i="3"/>
  <c r="K42" i="3"/>
  <c r="L42" i="3"/>
  <c r="M42" i="3"/>
  <c r="N42" i="3"/>
  <c r="O42" i="3"/>
  <c r="P42" i="3"/>
  <c r="J43" i="3"/>
  <c r="K43" i="3"/>
  <c r="L43" i="3"/>
  <c r="M43" i="3"/>
  <c r="N43" i="3"/>
  <c r="O43" i="3"/>
  <c r="P43" i="3"/>
  <c r="J44" i="3"/>
  <c r="K44" i="3"/>
  <c r="L44" i="3"/>
  <c r="M44" i="3"/>
  <c r="N44" i="3"/>
  <c r="O44" i="3"/>
  <c r="P44" i="3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B4" i="6"/>
  <c r="B5" i="6"/>
  <c r="B6" i="6"/>
  <c r="B7" i="6"/>
  <c r="B8" i="6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<sst xmlns="http://schemas.openxmlformats.org/spreadsheetml/2006/main" count="301" uniqueCount="26">
  <si>
    <t>Graph Info: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</si>
  <si>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</si>
  <si>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</si>
  <si>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</si>
  <si>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</si>
  <si>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</si>
  <si>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</si>
  <si>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</si>
  <si>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</si>
  <si>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</si>
  <si>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</si>
  <si>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Max</t>
  </si>
  <si>
    <t>Min</t>
  </si>
  <si>
    <t>Median</t>
  </si>
  <si>
    <t>Average</t>
  </si>
  <si>
    <t>Std.Dev</t>
  </si>
  <si>
    <t>StdDev</t>
  </si>
  <si>
    <t>Num of tabs</t>
  </si>
  <si>
    <t>sqrtN</t>
  </si>
  <si>
    <t>ModifiedFCS</t>
  </si>
  <si>
    <t>Simple Cycle Separator</t>
  </si>
  <si>
    <t>random 1</t>
  </si>
  <si>
    <t>random 5</t>
  </si>
  <si>
    <t>random 4</t>
  </si>
  <si>
    <t>random 3</t>
  </si>
  <si>
    <t>random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</si>
</sst>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24"/>
      <color rgb="FF000000"/>
      <name val="System Font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Random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Summary!$C$4:$C$8</c:f>
              <c:numCache>
                <c:formatCode>0.00</c:formatCode>
                <c:ptCount val="5"/>
                <c:pt idx="0">
                  <c:v>27.09375</c:v>
                </c:pt>
                <c:pt idx="1">
                  <c:v>242.4375</c:v>
                </c:pt>
                <c:pt idx="2">
                  <c:v>1977.125</c:v>
                </c:pt>
                <c:pt idx="3">
                  <c:v>16189.90625</c:v>
                </c:pt>
                <c:pt idx="4">
                  <c:v>148368.53125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1-EF49-8002-C54D657629B1}"/>
            </c:ext>
          </c:extLst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Summary!$E$4:$E$8</c:f>
              <c:numCache>
                <c:formatCode>General</c:formatCode>
                <c:ptCount val="5"/>
                <c:pt idx="0">
                  <c:v>5.75</c:v>
                </c:pt>
                <c:pt idx="1">
                  <c:v>6.5625</c:v>
                </c:pt>
                <c:pt idx="2">
                  <c:v>7.40625</c:v>
                </c:pt>
                <c:pt idx="3">
                  <c:v>7.53125</c:v>
                </c:pt>
                <c:pt idx="4">
                  <c:v>8.6875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F1-EF49-8002-C54D657629B1}"/>
            </c:ext>
          </c:extLst>
        </c:ser>
        <c:ser>
          <c:idx val="4"/>
          <c:order val="2"/>
          <c:tx>
            <c:strRef>
              <c:f>Summary!$G$2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Summary!$G$4:$G$8</c:f>
              <c:numCache>
                <c:formatCode>General</c:formatCode>
                <c:ptCount val="5"/>
                <c:pt idx="0">
                  <c:v>4.21875</c:v>
                </c:pt>
                <c:pt idx="1">
                  <c:v>4.5625</c:v>
                </c:pt>
                <c:pt idx="2">
                  <c:v>4.65625</c:v>
                </c:pt>
                <c:pt idx="3">
                  <c:v>4.59375</c:v>
                </c:pt>
                <c:pt idx="4">
                  <c:v>4.875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F1-EF49-8002-C54D657629B1}"/>
            </c:ext>
          </c:extLst>
        </c:ser>
        <c:ser>
          <c:idx val="2"/>
          <c:order val="3"/>
          <c:tx>
            <c:strRef>
              <c:f>Summary!$I$2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Summary!$I$4:$I$8</c:f>
              <c:numCache>
                <c:formatCode>General</c:formatCode>
                <c:ptCount val="5"/>
                <c:pt idx="0">
                  <c:v>7.9375</c:v>
                </c:pt>
                <c:pt idx="1">
                  <c:v>19.84375</c:v>
                </c:pt>
                <c:pt idx="2">
                  <c:v>50.9375</c:v>
                </c:pt>
                <c:pt idx="3">
                  <c:v>137.59375</c:v>
                </c:pt>
                <c:pt idx="4">
                  <c:v>361.875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F1-EF49-8002-C54D657629B1}"/>
            </c:ext>
          </c:extLst>
        </c:ser>
        <c:ser>
          <c:idx val="5"/>
          <c:order val="4"/>
          <c:tx>
            <c:strRef>
              <c:f>Summary!$K$2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Summary!$K$4:$K$8</c:f>
              <c:numCache>
                <c:formatCode>General</c:formatCode>
                <c:ptCount val="5"/>
                <c:pt idx="0">
                  <c:v>3.84375</c:v>
                </c:pt>
                <c:pt idx="1">
                  <c:v>4.375</c:v>
                </c:pt>
                <c:pt idx="2">
                  <c:v>3.625</c:v>
                </c:pt>
                <c:pt idx="3">
                  <c:v>4.03125</c:v>
                </c:pt>
                <c:pt idx="4">
                  <c:v>3.875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F1-EF49-8002-C54D657629B1}"/>
            </c:ext>
          </c:extLst>
        </c:ser>
        <c:ser>
          <c:idx val="3"/>
          <c:order val="5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Summary!$B$4:$B$8</c:f>
              <c:numCache>
                <c:formatCode>0.000</c:formatCode>
                <c:ptCount val="5"/>
                <c:pt idx="0">
                  <c:v>7.2801098892805181</c:v>
                </c:pt>
                <c:pt idx="1">
                  <c:v>22.427661492005804</c:v>
                </c:pt>
                <c:pt idx="2">
                  <c:v>70.731888141064076</c:v>
                </c:pt>
                <c:pt idx="3">
                  <c:v>223.61350585329143</c:v>
                </c:pt>
                <c:pt idx="4">
                  <c:v>707.10890250370915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F1-EF49-8002-C54D65762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Separator Size (# 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Random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Summary!$M$2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Summary!$M$4:$M$8</c:f>
              <c:numCache>
                <c:formatCode>General</c:formatCode>
                <c:ptCount val="5"/>
                <c:pt idx="0">
                  <c:v>1.4989746875000001</c:v>
                </c:pt>
                <c:pt idx="1">
                  <c:v>1.2138409374999999</c:v>
                </c:pt>
                <c:pt idx="2">
                  <c:v>1.3273428125</c:v>
                </c:pt>
                <c:pt idx="3">
                  <c:v>1.3284699999999998</c:v>
                </c:pt>
                <c:pt idx="4">
                  <c:v>1.2939053125000002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9-B64B-924F-B6B72EAF0BF2}"/>
            </c:ext>
          </c:extLst>
        </c:ser>
        <c:ser>
          <c:idx val="1"/>
          <c:order val="1"/>
          <c:tx>
            <c:strRef>
              <c:f>Summary!$O$2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Summary!$O$4:$O$8</c:f>
              <c:numCache>
                <c:formatCode>General</c:formatCode>
                <c:ptCount val="5"/>
                <c:pt idx="0">
                  <c:v>1.4679396874999997</c:v>
                </c:pt>
                <c:pt idx="1">
                  <c:v>1.616455625</c:v>
                </c:pt>
                <c:pt idx="2">
                  <c:v>1.6858078125000002</c:v>
                </c:pt>
                <c:pt idx="3">
                  <c:v>1.5093584374999998</c:v>
                </c:pt>
                <c:pt idx="4">
                  <c:v>1.6556228124999997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A9-B64B-924F-B6B72EAF0BF2}"/>
            </c:ext>
          </c:extLst>
        </c:ser>
        <c:ser>
          <c:idx val="4"/>
          <c:order val="2"/>
          <c:tx>
            <c:strRef>
              <c:f>Summary!$Q$2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Summary!$Q$4:$Q$8</c:f>
              <c:numCache>
                <c:formatCode>General</c:formatCode>
                <c:ptCount val="5"/>
                <c:pt idx="0">
                  <c:v>1.2927703124999996</c:v>
                </c:pt>
                <c:pt idx="1">
                  <c:v>1.381974375</c:v>
                </c:pt>
                <c:pt idx="2">
                  <c:v>1.5851906250000003</c:v>
                </c:pt>
                <c:pt idx="3">
                  <c:v>1.2275878125000002</c:v>
                </c:pt>
                <c:pt idx="4">
                  <c:v>1.4188493750000002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A9-B64B-924F-B6B72EAF0BF2}"/>
            </c:ext>
          </c:extLst>
        </c:ser>
        <c:ser>
          <c:idx val="2"/>
          <c:order val="3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Summary!$S$4:$S$8</c:f>
              <c:numCache>
                <c:formatCode>General</c:formatCode>
                <c:ptCount val="5"/>
                <c:pt idx="0">
                  <c:v>1.2620631250000001</c:v>
                </c:pt>
                <c:pt idx="1">
                  <c:v>1.5832953124999998</c:v>
                </c:pt>
                <c:pt idx="2">
                  <c:v>1.6590281250000001</c:v>
                </c:pt>
                <c:pt idx="3">
                  <c:v>1.5034825000000005</c:v>
                </c:pt>
                <c:pt idx="4">
                  <c:v>1.6528759374999997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A9-B64B-924F-B6B72EAF0BF2}"/>
            </c:ext>
          </c:extLst>
        </c:ser>
        <c:ser>
          <c:idx val="5"/>
          <c:order val="4"/>
          <c:tx>
            <c:strRef>
              <c:f>Summary!$U$2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Summary!$U$4:$U$8</c:f>
              <c:numCache>
                <c:formatCode>General</c:formatCode>
                <c:ptCount val="5"/>
                <c:pt idx="0">
                  <c:v>1.2975603124999995</c:v>
                </c:pt>
                <c:pt idx="1">
                  <c:v>1.5609421874999996</c:v>
                </c:pt>
                <c:pt idx="2">
                  <c:v>1.6532243749999997</c:v>
                </c:pt>
                <c:pt idx="3">
                  <c:v>1.3122162500000003</c:v>
                </c:pt>
                <c:pt idx="4">
                  <c:v>1.2581578124999997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A9-B64B-924F-B6B72EAF0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Balance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  <c:majorUnit val="0.2"/>
        <c:min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Random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Summary!$W$2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Summary!$W$4:$W$8</c:f>
              <c:numCache>
                <c:formatCode>General</c:formatCode>
                <c:ptCount val="5"/>
                <c:pt idx="0">
                  <c:v>0.94531250000000011</c:v>
                </c:pt>
                <c:pt idx="1">
                  <c:v>2.3843749999999995</c:v>
                </c:pt>
                <c:pt idx="2">
                  <c:v>17.511562499999997</c:v>
                </c:pt>
                <c:pt idx="3">
                  <c:v>143.59281249999998</c:v>
                </c:pt>
                <c:pt idx="4">
                  <c:v>1510.3131250000001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5-F94F-81F8-52B22D25E98A}"/>
            </c:ext>
          </c:extLst>
        </c:ser>
        <c:ser>
          <c:idx val="1"/>
          <c:order val="1"/>
          <c:tx>
            <c:strRef>
              <c:f>Summary!$Y$2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Summary!$Y$4:$Y$8</c:f>
              <c:numCache>
                <c:formatCode>General</c:formatCode>
                <c:ptCount val="5"/>
                <c:pt idx="0">
                  <c:v>1.3599999999999999</c:v>
                </c:pt>
                <c:pt idx="1">
                  <c:v>5.5021875000000025</c:v>
                </c:pt>
                <c:pt idx="2">
                  <c:v>27.126249999999995</c:v>
                </c:pt>
                <c:pt idx="3">
                  <c:v>307.12718749999999</c:v>
                </c:pt>
                <c:pt idx="4">
                  <c:v>3367.8346874999997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5-F94F-81F8-52B22D25E98A}"/>
            </c:ext>
          </c:extLst>
        </c:ser>
        <c:ser>
          <c:idx val="4"/>
          <c:order val="2"/>
          <c:tx>
            <c:strRef>
              <c:f>Summary!$AA$2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Summary!$AA$4:$AA$8</c:f>
              <c:numCache>
                <c:formatCode>General</c:formatCode>
                <c:ptCount val="5"/>
                <c:pt idx="0">
                  <c:v>1.8603125000000003</c:v>
                </c:pt>
                <c:pt idx="1">
                  <c:v>13.129375</c:v>
                </c:pt>
                <c:pt idx="2">
                  <c:v>39.313749999999999</c:v>
                </c:pt>
                <c:pt idx="3">
                  <c:v>382.05656249999998</c:v>
                </c:pt>
                <c:pt idx="4">
                  <c:v>4341.4746875000001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5-F94F-81F8-52B22D25E98A}"/>
            </c:ext>
          </c:extLst>
        </c:ser>
        <c:ser>
          <c:idx val="2"/>
          <c:order val="3"/>
          <c:tx>
            <c:strRef>
              <c:f>Summary!$AC$2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Summary!$AC$4:$AC$8</c:f>
              <c:numCache>
                <c:formatCode>General</c:formatCode>
                <c:ptCount val="5"/>
                <c:pt idx="0">
                  <c:v>1.7437500000000004</c:v>
                </c:pt>
                <c:pt idx="1">
                  <c:v>7.7384375000000016</c:v>
                </c:pt>
                <c:pt idx="2">
                  <c:v>40.701249999999987</c:v>
                </c:pt>
                <c:pt idx="3">
                  <c:v>417.95406249999985</c:v>
                </c:pt>
                <c:pt idx="4">
                  <c:v>5294.8812500000004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5-F94F-81F8-52B22D25E98A}"/>
            </c:ext>
          </c:extLst>
        </c:ser>
        <c:ser>
          <c:idx val="5"/>
          <c:order val="4"/>
          <c:tx>
            <c:strRef>
              <c:f>Summary!$AE$2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Summary!$AE$4:$AE$8</c:f>
              <c:numCache>
                <c:formatCode>General</c:formatCode>
                <c:ptCount val="5"/>
                <c:pt idx="0">
                  <c:v>2.7650000000000006</c:v>
                </c:pt>
                <c:pt idx="1">
                  <c:v>14.089374999999999</c:v>
                </c:pt>
                <c:pt idx="2">
                  <c:v>54.244374999999991</c:v>
                </c:pt>
                <c:pt idx="3">
                  <c:v>638.3687500000002</c:v>
                </c:pt>
                <c:pt idx="4">
                  <c:v>6819.8293750000003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5-F94F-81F8-52B22D25E98A}"/>
            </c:ext>
          </c:extLst>
        </c:ser>
        <c:ser>
          <c:idx val="3"/>
          <c:order val="5"/>
          <c:tx>
            <c:v>Linear</c:v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53</c:v>
                </c:pt>
                <c:pt idx="1">
                  <c:v>503</c:v>
                </c:pt>
                <c:pt idx="2">
                  <c:v>5003</c:v>
                </c:pt>
                <c:pt idx="3">
                  <c:v>50003</c:v>
                </c:pt>
                <c:pt idx="4">
                  <c:v>500003</c:v>
                </c:pt>
              </c:numCache>
            </c:numRef>
          </c:xVal>
          <c:yVal>
            <c:numRef>
              <c:f>Summary!$AH$4:$AH$8</c:f>
              <c:numCache>
                <c:formatCode>General</c:formatCode>
                <c:ptCount val="5"/>
                <c:pt idx="0">
                  <c:v>1.7666666666666666</c:v>
                </c:pt>
                <c:pt idx="1">
                  <c:v>16.766666666666666</c:v>
                </c:pt>
                <c:pt idx="2">
                  <c:v>166.76666666666668</c:v>
                </c:pt>
                <c:pt idx="3">
                  <c:v>1666.7666666666667</c:v>
                </c:pt>
                <c:pt idx="4">
                  <c:v>16666.766666666666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5-F94F-81F8-52B22D25E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Runtime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2</xdr:row>
          <xdr:rowOff>12700</xdr:rowOff>
        </xdr:from>
        <xdr:to>
          <xdr:col>36</xdr:col>
          <xdr:colOff>457200</xdr:colOff>
          <xdr:row>6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9</xdr:row>
      <xdr:rowOff>0</xdr:rowOff>
    </xdr:from>
    <xdr:to>
      <xdr:col>10</xdr:col>
      <xdr:colOff>419100</xdr:colOff>
      <xdr:row>31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9</xdr:row>
      <xdr:rowOff>0</xdr:rowOff>
    </xdr:from>
    <xdr:to>
      <xdr:col>20</xdr:col>
      <xdr:colOff>165100</xdr:colOff>
      <xdr:row>31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9</xdr:row>
      <xdr:rowOff>0</xdr:rowOff>
    </xdr:from>
    <xdr:to>
      <xdr:col>31</xdr:col>
      <xdr:colOff>165100</xdr:colOff>
      <xdr:row>31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topLeftCell="A18" workbookViewId="0">
      <selection activeCell="B40" sqref="B40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53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31</v>
      </c>
      <c r="C5">
        <v>1.7096800000000001</v>
      </c>
      <c r="D5">
        <v>6.59</v>
      </c>
      <c r="E5">
        <v>4</v>
      </c>
      <c r="F5">
        <v>1.28</v>
      </c>
      <c r="G5">
        <v>4.53</v>
      </c>
      <c r="H5">
        <v>3</v>
      </c>
      <c r="I5">
        <v>1.24</v>
      </c>
      <c r="J5">
        <v>3.52</v>
      </c>
      <c r="K5">
        <v>6</v>
      </c>
      <c r="L5">
        <v>1.10714</v>
      </c>
      <c r="M5">
        <v>2.9</v>
      </c>
      <c r="N5">
        <v>4</v>
      </c>
      <c r="O5">
        <v>1.375</v>
      </c>
      <c r="P5">
        <v>4.33</v>
      </c>
    </row>
    <row r="6" spans="1:16">
      <c r="A6">
        <v>1</v>
      </c>
      <c r="B6">
        <v>24</v>
      </c>
      <c r="C6">
        <v>1.65517</v>
      </c>
      <c r="D6">
        <v>0.81</v>
      </c>
      <c r="E6">
        <v>7</v>
      </c>
      <c r="F6">
        <v>1.7272700000000001</v>
      </c>
      <c r="G6">
        <v>1.39</v>
      </c>
      <c r="H6">
        <v>5</v>
      </c>
      <c r="I6">
        <v>1.14815</v>
      </c>
      <c r="J6">
        <v>2.0699999999999998</v>
      </c>
      <c r="K6">
        <v>8</v>
      </c>
      <c r="L6">
        <v>1.5416700000000001</v>
      </c>
      <c r="M6">
        <v>2.06</v>
      </c>
      <c r="N6">
        <v>5</v>
      </c>
      <c r="O6">
        <v>1.14815</v>
      </c>
      <c r="P6">
        <v>4.09</v>
      </c>
    </row>
    <row r="7" spans="1:16">
      <c r="A7">
        <v>2</v>
      </c>
      <c r="B7">
        <v>24</v>
      </c>
      <c r="C7">
        <v>1.13889</v>
      </c>
      <c r="D7">
        <v>0.66</v>
      </c>
      <c r="E7">
        <v>6</v>
      </c>
      <c r="F7">
        <v>1.36</v>
      </c>
      <c r="G7">
        <v>1.24</v>
      </c>
      <c r="H7">
        <v>5</v>
      </c>
      <c r="I7">
        <v>1.2307699999999999</v>
      </c>
      <c r="J7">
        <v>1.61</v>
      </c>
      <c r="K7">
        <v>6</v>
      </c>
      <c r="L7">
        <v>1.36</v>
      </c>
      <c r="M7">
        <v>1.76</v>
      </c>
      <c r="N7">
        <v>5</v>
      </c>
      <c r="O7">
        <v>1.5217400000000001</v>
      </c>
      <c r="P7">
        <v>3.18</v>
      </c>
    </row>
    <row r="8" spans="1:16">
      <c r="A8">
        <v>3</v>
      </c>
      <c r="B8">
        <v>34</v>
      </c>
      <c r="C8">
        <v>1.0714300000000001</v>
      </c>
      <c r="D8">
        <v>0.68</v>
      </c>
      <c r="E8">
        <v>5</v>
      </c>
      <c r="F8">
        <v>1.63636</v>
      </c>
      <c r="G8">
        <v>1.18</v>
      </c>
      <c r="H8">
        <v>4</v>
      </c>
      <c r="I8">
        <v>1.28</v>
      </c>
      <c r="J8">
        <v>1.65</v>
      </c>
      <c r="K8">
        <v>9</v>
      </c>
      <c r="L8">
        <v>1.48</v>
      </c>
      <c r="M8">
        <v>1.7</v>
      </c>
      <c r="N8">
        <v>4</v>
      </c>
      <c r="O8">
        <v>1.375</v>
      </c>
      <c r="P8">
        <v>2.21</v>
      </c>
    </row>
    <row r="9" spans="1:16">
      <c r="A9">
        <v>4</v>
      </c>
      <c r="B9">
        <v>25</v>
      </c>
      <c r="C9">
        <v>1.6896599999999999</v>
      </c>
      <c r="D9">
        <v>0.64</v>
      </c>
      <c r="E9">
        <v>4</v>
      </c>
      <c r="F9">
        <v>1.375</v>
      </c>
      <c r="G9">
        <v>1.1000000000000001</v>
      </c>
      <c r="H9">
        <v>3</v>
      </c>
      <c r="I9">
        <v>1.24</v>
      </c>
      <c r="J9">
        <v>1.39</v>
      </c>
      <c r="K9">
        <v>6</v>
      </c>
      <c r="L9">
        <v>1.18519</v>
      </c>
      <c r="M9">
        <v>1.48</v>
      </c>
      <c r="N9">
        <v>3</v>
      </c>
      <c r="O9">
        <v>1.3333299999999999</v>
      </c>
      <c r="P9">
        <v>2.15</v>
      </c>
    </row>
    <row r="10" spans="1:16">
      <c r="A10">
        <v>5</v>
      </c>
      <c r="B10">
        <v>33</v>
      </c>
      <c r="C10">
        <v>1.3243199999999999</v>
      </c>
      <c r="D10">
        <v>0.7</v>
      </c>
      <c r="E10">
        <v>6</v>
      </c>
      <c r="F10">
        <v>1.5652200000000001</v>
      </c>
      <c r="G10">
        <v>1.36</v>
      </c>
      <c r="H10">
        <v>6</v>
      </c>
      <c r="I10">
        <v>1.5652200000000001</v>
      </c>
      <c r="J10">
        <v>1.7</v>
      </c>
      <c r="K10">
        <v>6</v>
      </c>
      <c r="L10">
        <v>1.4583299999999999</v>
      </c>
      <c r="M10">
        <v>1.84</v>
      </c>
      <c r="N10">
        <v>6</v>
      </c>
      <c r="O10">
        <v>1.36</v>
      </c>
      <c r="P10">
        <v>2.17</v>
      </c>
    </row>
    <row r="11" spans="1:16">
      <c r="A11">
        <v>6</v>
      </c>
      <c r="B11">
        <v>22</v>
      </c>
      <c r="C11">
        <v>1.5862099999999999</v>
      </c>
      <c r="D11">
        <v>0.56000000000000005</v>
      </c>
      <c r="E11">
        <v>6</v>
      </c>
      <c r="F11">
        <v>1.5652200000000001</v>
      </c>
      <c r="G11">
        <v>1.01</v>
      </c>
      <c r="H11">
        <v>5</v>
      </c>
      <c r="I11">
        <v>1.0714300000000001</v>
      </c>
      <c r="J11">
        <v>1.29</v>
      </c>
      <c r="K11">
        <v>9</v>
      </c>
      <c r="L11">
        <v>1</v>
      </c>
      <c r="M11">
        <v>1.99</v>
      </c>
      <c r="N11">
        <v>4</v>
      </c>
      <c r="O11">
        <v>1.19231</v>
      </c>
      <c r="P11">
        <v>3.18</v>
      </c>
    </row>
    <row r="12" spans="1:16">
      <c r="A12">
        <v>7</v>
      </c>
      <c r="B12">
        <v>31</v>
      </c>
      <c r="C12">
        <v>1.7096800000000001</v>
      </c>
      <c r="D12">
        <v>0.56999999999999995</v>
      </c>
      <c r="E12">
        <v>4</v>
      </c>
      <c r="F12">
        <v>1.375</v>
      </c>
      <c r="G12">
        <v>1.03</v>
      </c>
      <c r="H12">
        <v>3</v>
      </c>
      <c r="I12">
        <v>1.24</v>
      </c>
      <c r="J12">
        <v>1.25</v>
      </c>
      <c r="K12">
        <v>4</v>
      </c>
      <c r="L12">
        <v>1.375</v>
      </c>
      <c r="M12">
        <v>1.91</v>
      </c>
      <c r="N12">
        <v>3</v>
      </c>
      <c r="O12">
        <v>1.3333299999999999</v>
      </c>
      <c r="P12">
        <v>2.0099999999999998</v>
      </c>
    </row>
    <row r="13" spans="1:16">
      <c r="A13">
        <v>8</v>
      </c>
      <c r="B13">
        <v>31</v>
      </c>
      <c r="C13">
        <v>1.7096800000000001</v>
      </c>
      <c r="D13">
        <v>0.52</v>
      </c>
      <c r="E13">
        <v>4</v>
      </c>
      <c r="F13">
        <v>1.28</v>
      </c>
      <c r="G13">
        <v>0.96</v>
      </c>
      <c r="H13">
        <v>3</v>
      </c>
      <c r="I13">
        <v>1.24</v>
      </c>
      <c r="J13">
        <v>1.23</v>
      </c>
      <c r="K13">
        <v>6</v>
      </c>
      <c r="L13">
        <v>1.10714</v>
      </c>
      <c r="M13">
        <v>1.41</v>
      </c>
      <c r="N13">
        <v>4</v>
      </c>
      <c r="O13">
        <v>1.375</v>
      </c>
      <c r="P13">
        <v>2.25</v>
      </c>
    </row>
    <row r="14" spans="1:16">
      <c r="A14">
        <v>9</v>
      </c>
      <c r="B14">
        <v>29</v>
      </c>
      <c r="C14">
        <v>1.73333</v>
      </c>
      <c r="D14">
        <v>0.54</v>
      </c>
      <c r="E14">
        <v>6</v>
      </c>
      <c r="F14">
        <v>1.5652200000000001</v>
      </c>
      <c r="G14">
        <v>0.96</v>
      </c>
      <c r="H14">
        <v>3</v>
      </c>
      <c r="I14">
        <v>1.24</v>
      </c>
      <c r="J14">
        <v>1.26</v>
      </c>
      <c r="K14">
        <v>9</v>
      </c>
      <c r="L14">
        <v>1.2963</v>
      </c>
      <c r="M14">
        <v>1.52</v>
      </c>
      <c r="N14">
        <v>3</v>
      </c>
      <c r="O14">
        <v>1.24</v>
      </c>
      <c r="P14">
        <v>2.5099999999999998</v>
      </c>
    </row>
    <row r="15" spans="1:16">
      <c r="A15">
        <v>10</v>
      </c>
      <c r="B15">
        <v>22</v>
      </c>
      <c r="C15">
        <v>1.6785699999999999</v>
      </c>
      <c r="D15">
        <v>0.56999999999999995</v>
      </c>
      <c r="E15">
        <v>4</v>
      </c>
      <c r="F15">
        <v>1.375</v>
      </c>
      <c r="G15">
        <v>0.92</v>
      </c>
      <c r="H15">
        <v>3</v>
      </c>
      <c r="I15">
        <v>1.24</v>
      </c>
      <c r="J15">
        <v>0.78</v>
      </c>
      <c r="K15">
        <v>8</v>
      </c>
      <c r="L15">
        <v>1.10345</v>
      </c>
      <c r="M15">
        <v>1.35</v>
      </c>
      <c r="N15">
        <v>3</v>
      </c>
      <c r="O15">
        <v>1.3333299999999999</v>
      </c>
      <c r="P15">
        <v>1.9</v>
      </c>
    </row>
    <row r="16" spans="1:16">
      <c r="A16">
        <v>11</v>
      </c>
      <c r="B16">
        <v>25</v>
      </c>
      <c r="C16">
        <v>1.51613</v>
      </c>
      <c r="D16">
        <v>0.52</v>
      </c>
      <c r="E16">
        <v>7</v>
      </c>
      <c r="F16">
        <v>1.7272700000000001</v>
      </c>
      <c r="G16">
        <v>0.95</v>
      </c>
      <c r="H16">
        <v>5</v>
      </c>
      <c r="I16">
        <v>1.63636</v>
      </c>
      <c r="J16">
        <v>1.1599999999999999</v>
      </c>
      <c r="K16">
        <v>8</v>
      </c>
      <c r="L16">
        <v>1.6521699999999999</v>
      </c>
      <c r="M16">
        <v>1.35</v>
      </c>
      <c r="N16">
        <v>5</v>
      </c>
      <c r="O16">
        <v>1.5217400000000001</v>
      </c>
      <c r="P16">
        <v>7.02</v>
      </c>
    </row>
    <row r="17" spans="1:16">
      <c r="A17">
        <v>12</v>
      </c>
      <c r="B17">
        <v>28</v>
      </c>
      <c r="C17">
        <v>1.89286</v>
      </c>
      <c r="D17">
        <v>0.52</v>
      </c>
      <c r="E17">
        <v>4</v>
      </c>
      <c r="F17">
        <v>1.375</v>
      </c>
      <c r="G17">
        <v>8.83</v>
      </c>
      <c r="H17">
        <v>3</v>
      </c>
      <c r="I17">
        <v>1.3333299999999999</v>
      </c>
      <c r="J17">
        <v>1.22</v>
      </c>
      <c r="K17">
        <v>6</v>
      </c>
      <c r="L17">
        <v>1.18519</v>
      </c>
      <c r="M17">
        <v>1.23</v>
      </c>
      <c r="N17">
        <v>3</v>
      </c>
      <c r="O17">
        <v>1.3333299999999999</v>
      </c>
      <c r="P17">
        <v>1.84</v>
      </c>
    </row>
    <row r="18" spans="1:16">
      <c r="A18">
        <v>13</v>
      </c>
      <c r="B18">
        <v>24</v>
      </c>
      <c r="C18">
        <v>1.75</v>
      </c>
      <c r="D18">
        <v>0.52</v>
      </c>
      <c r="E18">
        <v>5</v>
      </c>
      <c r="F18">
        <v>1.14815</v>
      </c>
      <c r="G18">
        <v>0.9</v>
      </c>
      <c r="H18">
        <v>4</v>
      </c>
      <c r="I18">
        <v>1.375</v>
      </c>
      <c r="J18">
        <v>5.3</v>
      </c>
      <c r="K18">
        <v>5</v>
      </c>
      <c r="L18">
        <v>1.0714300000000001</v>
      </c>
      <c r="M18">
        <v>1.22</v>
      </c>
      <c r="N18">
        <v>4</v>
      </c>
      <c r="O18">
        <v>1.19231</v>
      </c>
      <c r="P18">
        <v>2.39</v>
      </c>
    </row>
    <row r="19" spans="1:16">
      <c r="A19">
        <v>14</v>
      </c>
      <c r="B19">
        <v>29</v>
      </c>
      <c r="C19">
        <v>1.73333</v>
      </c>
      <c r="D19">
        <v>0.51</v>
      </c>
      <c r="E19">
        <v>6</v>
      </c>
      <c r="F19">
        <v>1.5652200000000001</v>
      </c>
      <c r="G19">
        <v>0.86</v>
      </c>
      <c r="H19">
        <v>3</v>
      </c>
      <c r="I19">
        <v>1.24</v>
      </c>
      <c r="J19">
        <v>1.1200000000000001</v>
      </c>
      <c r="K19">
        <v>9</v>
      </c>
      <c r="L19">
        <v>1.2963</v>
      </c>
      <c r="M19">
        <v>1.1299999999999999</v>
      </c>
      <c r="N19">
        <v>3</v>
      </c>
      <c r="O19">
        <v>1.24</v>
      </c>
      <c r="P19">
        <v>1.78</v>
      </c>
    </row>
    <row r="20" spans="1:16">
      <c r="A20">
        <v>15</v>
      </c>
      <c r="B20">
        <v>29</v>
      </c>
      <c r="C20">
        <v>1.10256</v>
      </c>
      <c r="D20">
        <v>0.49</v>
      </c>
      <c r="E20">
        <v>8</v>
      </c>
      <c r="F20">
        <v>1.5416700000000001</v>
      </c>
      <c r="G20">
        <v>0.83</v>
      </c>
      <c r="H20">
        <v>4</v>
      </c>
      <c r="I20">
        <v>1.19231</v>
      </c>
      <c r="J20">
        <v>2.69</v>
      </c>
      <c r="K20">
        <v>8</v>
      </c>
      <c r="L20">
        <v>1.5416700000000001</v>
      </c>
      <c r="M20">
        <v>1.28</v>
      </c>
      <c r="N20">
        <v>3</v>
      </c>
      <c r="O20">
        <v>1.3333299999999999</v>
      </c>
      <c r="P20">
        <v>1.83</v>
      </c>
    </row>
    <row r="21" spans="1:16">
      <c r="A21">
        <v>16</v>
      </c>
      <c r="B21">
        <v>29</v>
      </c>
      <c r="C21">
        <v>1.10256</v>
      </c>
      <c r="D21">
        <v>0.52</v>
      </c>
      <c r="E21">
        <v>6</v>
      </c>
      <c r="F21">
        <v>1.6818200000000001</v>
      </c>
      <c r="G21">
        <v>0.91</v>
      </c>
      <c r="H21">
        <v>4</v>
      </c>
      <c r="I21">
        <v>1.4782599999999999</v>
      </c>
      <c r="J21">
        <v>1.2</v>
      </c>
      <c r="K21">
        <v>8</v>
      </c>
      <c r="L21">
        <v>1.44</v>
      </c>
      <c r="M21">
        <v>1.33</v>
      </c>
      <c r="N21">
        <v>3</v>
      </c>
      <c r="O21">
        <v>1.3333299999999999</v>
      </c>
      <c r="P21">
        <v>1.79</v>
      </c>
    </row>
    <row r="22" spans="1:16">
      <c r="A22">
        <v>17</v>
      </c>
      <c r="B22">
        <v>33</v>
      </c>
      <c r="C22">
        <v>1.2631600000000001</v>
      </c>
      <c r="D22">
        <v>0.5</v>
      </c>
      <c r="E22">
        <v>7</v>
      </c>
      <c r="F22">
        <v>1.7272700000000001</v>
      </c>
      <c r="G22">
        <v>0.85</v>
      </c>
      <c r="H22">
        <v>7</v>
      </c>
      <c r="I22">
        <v>1.7272700000000001</v>
      </c>
      <c r="J22">
        <v>1.1299999999999999</v>
      </c>
      <c r="K22">
        <v>12</v>
      </c>
      <c r="L22">
        <v>1.40741</v>
      </c>
      <c r="M22">
        <v>1.1000000000000001</v>
      </c>
      <c r="N22">
        <v>3</v>
      </c>
      <c r="O22">
        <v>1.24</v>
      </c>
      <c r="P22">
        <v>1.52</v>
      </c>
    </row>
    <row r="23" spans="1:16">
      <c r="A23">
        <v>18</v>
      </c>
      <c r="B23">
        <v>31</v>
      </c>
      <c r="C23">
        <v>1.27027</v>
      </c>
      <c r="D23">
        <v>0.41</v>
      </c>
      <c r="E23">
        <v>6</v>
      </c>
      <c r="F23">
        <v>1.5652200000000001</v>
      </c>
      <c r="G23">
        <v>0.81</v>
      </c>
      <c r="H23">
        <v>3</v>
      </c>
      <c r="I23">
        <v>1.3333299999999999</v>
      </c>
      <c r="J23">
        <v>11.08</v>
      </c>
      <c r="K23">
        <v>13</v>
      </c>
      <c r="L23">
        <v>1.12903</v>
      </c>
      <c r="M23">
        <v>1.1599999999999999</v>
      </c>
      <c r="N23">
        <v>3</v>
      </c>
      <c r="O23">
        <v>1.3333299999999999</v>
      </c>
      <c r="P23">
        <v>1.53</v>
      </c>
    </row>
    <row r="24" spans="1:16">
      <c r="A24">
        <v>19</v>
      </c>
      <c r="B24">
        <v>24</v>
      </c>
      <c r="C24">
        <v>1.48387</v>
      </c>
      <c r="D24">
        <v>7.7</v>
      </c>
      <c r="E24">
        <v>7</v>
      </c>
      <c r="F24">
        <v>1.7272700000000001</v>
      </c>
      <c r="G24">
        <v>0.8</v>
      </c>
      <c r="H24">
        <v>5</v>
      </c>
      <c r="I24">
        <v>1.5217400000000001</v>
      </c>
      <c r="J24">
        <v>0.97</v>
      </c>
      <c r="K24">
        <v>9</v>
      </c>
      <c r="L24">
        <v>1.5833299999999999</v>
      </c>
      <c r="M24">
        <v>0.93</v>
      </c>
      <c r="N24">
        <v>6</v>
      </c>
      <c r="O24">
        <v>1.18519</v>
      </c>
      <c r="P24">
        <v>4.8499999999999996</v>
      </c>
    </row>
    <row r="25" spans="1:16">
      <c r="A25">
        <v>20</v>
      </c>
      <c r="B25">
        <v>22</v>
      </c>
      <c r="C25">
        <v>1.5862099999999999</v>
      </c>
      <c r="D25">
        <v>0.46</v>
      </c>
      <c r="E25">
        <v>6</v>
      </c>
      <c r="F25">
        <v>1.5652200000000001</v>
      </c>
      <c r="G25">
        <v>0.71</v>
      </c>
      <c r="H25">
        <v>5</v>
      </c>
      <c r="I25">
        <v>1.0714300000000001</v>
      </c>
      <c r="J25">
        <v>3.17</v>
      </c>
      <c r="K25">
        <v>9</v>
      </c>
      <c r="L25">
        <v>1</v>
      </c>
      <c r="M25">
        <v>0.92</v>
      </c>
      <c r="N25">
        <v>4</v>
      </c>
      <c r="O25">
        <v>1.19231</v>
      </c>
      <c r="P25">
        <v>3.51</v>
      </c>
    </row>
    <row r="26" spans="1:16">
      <c r="A26">
        <v>21</v>
      </c>
      <c r="B26">
        <v>22</v>
      </c>
      <c r="C26">
        <v>1.6785699999999999</v>
      </c>
      <c r="D26">
        <v>0.37</v>
      </c>
      <c r="E26">
        <v>5</v>
      </c>
      <c r="F26">
        <v>1.0714300000000001</v>
      </c>
      <c r="G26">
        <v>3.39</v>
      </c>
      <c r="H26">
        <v>4</v>
      </c>
      <c r="I26">
        <v>1.4782599999999999</v>
      </c>
      <c r="J26">
        <v>3.1</v>
      </c>
      <c r="K26">
        <v>7</v>
      </c>
      <c r="L26">
        <v>1</v>
      </c>
      <c r="M26">
        <v>2.4500000000000002</v>
      </c>
      <c r="N26">
        <v>4</v>
      </c>
      <c r="O26">
        <v>1.19231</v>
      </c>
      <c r="P26">
        <v>1.42</v>
      </c>
    </row>
    <row r="27" spans="1:16">
      <c r="A27">
        <v>22</v>
      </c>
      <c r="B27">
        <v>25</v>
      </c>
      <c r="C27">
        <v>1.6896599999999999</v>
      </c>
      <c r="D27">
        <v>0.39</v>
      </c>
      <c r="E27">
        <v>4</v>
      </c>
      <c r="F27">
        <v>1.375</v>
      </c>
      <c r="G27">
        <v>0.65</v>
      </c>
      <c r="H27">
        <v>3</v>
      </c>
      <c r="I27">
        <v>1.24</v>
      </c>
      <c r="J27">
        <v>0.92</v>
      </c>
      <c r="K27">
        <v>6</v>
      </c>
      <c r="L27">
        <v>1.18519</v>
      </c>
      <c r="M27">
        <v>2.5299999999999998</v>
      </c>
      <c r="N27">
        <v>3</v>
      </c>
      <c r="O27">
        <v>1.3333299999999999</v>
      </c>
      <c r="P27">
        <v>5.69</v>
      </c>
    </row>
    <row r="28" spans="1:16">
      <c r="A28">
        <v>23</v>
      </c>
      <c r="B28">
        <v>22</v>
      </c>
      <c r="C28">
        <v>1.6785699999999999</v>
      </c>
      <c r="D28">
        <v>1.1299999999999999</v>
      </c>
      <c r="E28">
        <v>5</v>
      </c>
      <c r="F28">
        <v>1.0714300000000001</v>
      </c>
      <c r="G28">
        <v>0.68</v>
      </c>
      <c r="H28">
        <v>4</v>
      </c>
      <c r="I28">
        <v>1.4782599999999999</v>
      </c>
      <c r="J28">
        <v>0.83</v>
      </c>
      <c r="K28">
        <v>7</v>
      </c>
      <c r="L28">
        <v>1</v>
      </c>
      <c r="M28">
        <v>0.78</v>
      </c>
      <c r="N28">
        <v>4</v>
      </c>
      <c r="O28">
        <v>1.19231</v>
      </c>
      <c r="P28">
        <v>1.24</v>
      </c>
    </row>
    <row r="29" spans="1:16">
      <c r="A29">
        <v>24</v>
      </c>
      <c r="B29">
        <v>33</v>
      </c>
      <c r="C29">
        <v>1.04762</v>
      </c>
      <c r="D29">
        <v>0.89</v>
      </c>
      <c r="E29">
        <v>5</v>
      </c>
      <c r="F29">
        <v>1.32</v>
      </c>
      <c r="G29">
        <v>0.92</v>
      </c>
      <c r="H29">
        <v>4</v>
      </c>
      <c r="I29">
        <v>1.28</v>
      </c>
      <c r="J29">
        <v>0.93</v>
      </c>
      <c r="K29">
        <v>7</v>
      </c>
      <c r="L29">
        <v>1.06897</v>
      </c>
      <c r="M29">
        <v>5.89</v>
      </c>
      <c r="N29">
        <v>4</v>
      </c>
      <c r="O29">
        <v>1.375</v>
      </c>
      <c r="P29">
        <v>1.87</v>
      </c>
    </row>
    <row r="30" spans="1:16">
      <c r="A30">
        <v>25</v>
      </c>
      <c r="B30">
        <v>30</v>
      </c>
      <c r="C30">
        <v>1.0243899999999999</v>
      </c>
      <c r="D30">
        <v>0.42</v>
      </c>
      <c r="E30">
        <v>7</v>
      </c>
      <c r="F30">
        <v>1.6087</v>
      </c>
      <c r="G30">
        <v>0.59</v>
      </c>
      <c r="H30">
        <v>6</v>
      </c>
      <c r="I30">
        <v>1.10714</v>
      </c>
      <c r="J30">
        <v>2.89</v>
      </c>
      <c r="K30">
        <v>8</v>
      </c>
      <c r="L30">
        <v>1.0333300000000001</v>
      </c>
      <c r="M30">
        <v>1.07</v>
      </c>
      <c r="N30">
        <v>3</v>
      </c>
      <c r="O30">
        <v>1.3333299999999999</v>
      </c>
      <c r="P30">
        <v>1.34</v>
      </c>
    </row>
    <row r="31" spans="1:16">
      <c r="A31">
        <v>26</v>
      </c>
      <c r="B31">
        <v>33</v>
      </c>
      <c r="C31">
        <v>1.3243199999999999</v>
      </c>
      <c r="D31">
        <v>0.3</v>
      </c>
      <c r="E31">
        <v>6</v>
      </c>
      <c r="F31">
        <v>1.5652200000000001</v>
      </c>
      <c r="G31">
        <v>2.94</v>
      </c>
      <c r="H31">
        <v>6</v>
      </c>
      <c r="I31">
        <v>1.5652200000000001</v>
      </c>
      <c r="J31">
        <v>0.84</v>
      </c>
      <c r="K31">
        <v>6</v>
      </c>
      <c r="L31">
        <v>1.4583299999999999</v>
      </c>
      <c r="M31">
        <v>8.0299999999999994</v>
      </c>
      <c r="N31">
        <v>6</v>
      </c>
      <c r="O31">
        <v>1.36</v>
      </c>
      <c r="P31">
        <v>5.79</v>
      </c>
    </row>
    <row r="32" spans="1:16">
      <c r="A32">
        <v>27</v>
      </c>
      <c r="B32">
        <v>22</v>
      </c>
      <c r="C32">
        <v>1.5862099999999999</v>
      </c>
      <c r="D32">
        <v>0.32</v>
      </c>
      <c r="E32">
        <v>6</v>
      </c>
      <c r="F32">
        <v>1.5652200000000001</v>
      </c>
      <c r="G32">
        <v>0.47</v>
      </c>
      <c r="H32">
        <v>5</v>
      </c>
      <c r="I32">
        <v>1.0714300000000001</v>
      </c>
      <c r="J32">
        <v>0.54</v>
      </c>
      <c r="K32">
        <v>9</v>
      </c>
      <c r="L32">
        <v>1</v>
      </c>
      <c r="M32">
        <v>0.7</v>
      </c>
      <c r="N32">
        <v>4</v>
      </c>
      <c r="O32">
        <v>1.19231</v>
      </c>
      <c r="P32">
        <v>4.76</v>
      </c>
    </row>
    <row r="33" spans="1:16">
      <c r="A33">
        <v>28</v>
      </c>
      <c r="B33">
        <v>22</v>
      </c>
      <c r="C33">
        <v>1.5862099999999999</v>
      </c>
      <c r="D33">
        <v>0.21</v>
      </c>
      <c r="E33">
        <v>6</v>
      </c>
      <c r="F33">
        <v>1.5652200000000001</v>
      </c>
      <c r="G33">
        <v>0.36</v>
      </c>
      <c r="H33">
        <v>5</v>
      </c>
      <c r="I33">
        <v>1.0714300000000001</v>
      </c>
      <c r="J33">
        <v>0.55000000000000004</v>
      </c>
      <c r="K33">
        <v>9</v>
      </c>
      <c r="L33">
        <v>1</v>
      </c>
      <c r="M33">
        <v>0.93</v>
      </c>
      <c r="N33">
        <v>4</v>
      </c>
      <c r="O33">
        <v>1.19231</v>
      </c>
      <c r="P33">
        <v>3.09</v>
      </c>
    </row>
    <row r="34" spans="1:16">
      <c r="A34">
        <v>29</v>
      </c>
      <c r="B34">
        <v>24</v>
      </c>
      <c r="C34">
        <v>1.85185</v>
      </c>
      <c r="D34">
        <v>0.2</v>
      </c>
      <c r="E34">
        <v>8</v>
      </c>
      <c r="F34">
        <v>1.10345</v>
      </c>
      <c r="G34">
        <v>0.56000000000000005</v>
      </c>
      <c r="H34">
        <v>5</v>
      </c>
      <c r="I34">
        <v>1</v>
      </c>
      <c r="J34">
        <v>0.85</v>
      </c>
      <c r="K34">
        <v>11</v>
      </c>
      <c r="L34">
        <v>1.3703700000000001</v>
      </c>
      <c r="M34">
        <v>0.77</v>
      </c>
      <c r="N34">
        <v>4</v>
      </c>
      <c r="O34">
        <v>1.19231</v>
      </c>
      <c r="P34">
        <v>3.49</v>
      </c>
    </row>
    <row r="35" spans="1:16">
      <c r="A35">
        <v>30</v>
      </c>
      <c r="B35">
        <v>29</v>
      </c>
      <c r="C35">
        <v>1.10256</v>
      </c>
      <c r="D35">
        <v>0.82</v>
      </c>
      <c r="E35">
        <v>8</v>
      </c>
      <c r="F35">
        <v>1.5416700000000001</v>
      </c>
      <c r="G35">
        <v>0.46</v>
      </c>
      <c r="H35">
        <v>4</v>
      </c>
      <c r="I35">
        <v>1.19231</v>
      </c>
      <c r="J35">
        <v>0.65</v>
      </c>
      <c r="K35">
        <v>8</v>
      </c>
      <c r="L35">
        <v>1.5416700000000001</v>
      </c>
      <c r="M35">
        <v>0.53</v>
      </c>
      <c r="N35">
        <v>3</v>
      </c>
      <c r="O35">
        <v>1.3333299999999999</v>
      </c>
      <c r="P35">
        <v>0.87</v>
      </c>
    </row>
    <row r="36" spans="1:16">
      <c r="A36">
        <v>31</v>
      </c>
      <c r="B36">
        <v>25</v>
      </c>
      <c r="C36">
        <v>1.6896599999999999</v>
      </c>
      <c r="D36">
        <v>0.21</v>
      </c>
      <c r="E36">
        <v>6</v>
      </c>
      <c r="F36">
        <v>1.4583299999999999</v>
      </c>
      <c r="G36">
        <v>0.37</v>
      </c>
      <c r="H36">
        <v>3</v>
      </c>
      <c r="I36">
        <v>1.24</v>
      </c>
      <c r="J36">
        <v>0.64</v>
      </c>
      <c r="K36">
        <v>12</v>
      </c>
      <c r="L36">
        <v>1.40741</v>
      </c>
      <c r="M36">
        <v>0.55000000000000004</v>
      </c>
      <c r="N36">
        <v>3</v>
      </c>
      <c r="O36">
        <v>1.3333299999999999</v>
      </c>
      <c r="P36">
        <v>0.88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34</v>
      </c>
      <c r="C40" s="1">
        <f t="shared" ref="C40:J40" si="0">MAX(C5:C36)</f>
        <v>1.89286</v>
      </c>
      <c r="D40" s="1">
        <f t="shared" si="0"/>
        <v>7.7</v>
      </c>
      <c r="E40" s="1">
        <f t="shared" si="0"/>
        <v>8</v>
      </c>
      <c r="F40" s="1">
        <f t="shared" si="0"/>
        <v>1.7272700000000001</v>
      </c>
      <c r="G40" s="1">
        <f t="shared" si="0"/>
        <v>8.83</v>
      </c>
      <c r="H40" s="1">
        <f t="shared" si="0"/>
        <v>7</v>
      </c>
      <c r="I40" s="1">
        <f t="shared" si="0"/>
        <v>1.7272700000000001</v>
      </c>
      <c r="J40" s="1">
        <f t="shared" si="0"/>
        <v>11.08</v>
      </c>
      <c r="K40" s="1">
        <f t="shared" ref="K40:P40" si="1">MAX(K5:K36)</f>
        <v>13</v>
      </c>
      <c r="L40" s="1">
        <f t="shared" si="1"/>
        <v>1.6521699999999999</v>
      </c>
      <c r="M40" s="1">
        <f t="shared" si="1"/>
        <v>8.0299999999999994</v>
      </c>
      <c r="N40" s="1">
        <f t="shared" si="1"/>
        <v>6</v>
      </c>
      <c r="O40" s="1">
        <f t="shared" si="1"/>
        <v>1.5217400000000001</v>
      </c>
      <c r="P40" s="1">
        <f t="shared" si="1"/>
        <v>7.02</v>
      </c>
    </row>
    <row r="41" spans="1:16">
      <c r="A41" t="s">
        <v>12</v>
      </c>
      <c r="B41" s="1">
        <f>MIN(B5:B36)</f>
        <v>22</v>
      </c>
      <c r="C41" s="1">
        <f t="shared" ref="C41:J41" si="2">MIN(C5:C36)</f>
        <v>1.0243899999999999</v>
      </c>
      <c r="D41" s="1">
        <f t="shared" si="2"/>
        <v>0.2</v>
      </c>
      <c r="E41" s="1">
        <f t="shared" si="2"/>
        <v>4</v>
      </c>
      <c r="F41" s="1">
        <f t="shared" si="2"/>
        <v>1.0714300000000001</v>
      </c>
      <c r="G41" s="1">
        <f t="shared" si="2"/>
        <v>0.36</v>
      </c>
      <c r="H41" s="1">
        <f t="shared" si="2"/>
        <v>3</v>
      </c>
      <c r="I41" s="1">
        <f t="shared" si="2"/>
        <v>1</v>
      </c>
      <c r="J41" s="1">
        <f t="shared" si="2"/>
        <v>0.54</v>
      </c>
      <c r="K41" s="1">
        <f t="shared" ref="K41:P41" si="3">MIN(K5:K36)</f>
        <v>4</v>
      </c>
      <c r="L41" s="1">
        <f t="shared" si="3"/>
        <v>1</v>
      </c>
      <c r="M41" s="1">
        <f t="shared" si="3"/>
        <v>0.53</v>
      </c>
      <c r="N41" s="1">
        <f t="shared" si="3"/>
        <v>3</v>
      </c>
      <c r="O41" s="1">
        <f t="shared" si="3"/>
        <v>1.14815</v>
      </c>
      <c r="P41" s="1">
        <f t="shared" si="3"/>
        <v>0.87</v>
      </c>
    </row>
    <row r="42" spans="1:16">
      <c r="A42" t="s">
        <v>13</v>
      </c>
      <c r="B42" s="1">
        <f>MEDIAN(B5:B36)</f>
        <v>26.5</v>
      </c>
      <c r="C42" s="1">
        <f t="shared" ref="C42:J42" si="4">MEDIAN(C5:C36)</f>
        <v>1.5862099999999999</v>
      </c>
      <c r="D42" s="1">
        <f t="shared" si="4"/>
        <v>0.52</v>
      </c>
      <c r="E42" s="1">
        <f t="shared" si="4"/>
        <v>6</v>
      </c>
      <c r="F42" s="1">
        <f t="shared" si="4"/>
        <v>1.553445</v>
      </c>
      <c r="G42" s="1">
        <f t="shared" si="4"/>
        <v>0.91500000000000004</v>
      </c>
      <c r="H42" s="1">
        <f t="shared" si="4"/>
        <v>4</v>
      </c>
      <c r="I42" s="1">
        <f t="shared" si="4"/>
        <v>1.24</v>
      </c>
      <c r="J42" s="1">
        <f t="shared" si="4"/>
        <v>1.2250000000000001</v>
      </c>
      <c r="K42" s="1">
        <f t="shared" ref="K42:P42" si="5">MEDIAN(K5:K36)</f>
        <v>8</v>
      </c>
      <c r="L42" s="1">
        <f t="shared" si="5"/>
        <v>1.240745</v>
      </c>
      <c r="M42" s="1">
        <f t="shared" si="5"/>
        <v>1.34</v>
      </c>
      <c r="N42" s="1">
        <f t="shared" si="5"/>
        <v>4</v>
      </c>
      <c r="O42" s="1">
        <f t="shared" si="5"/>
        <v>1.3333299999999999</v>
      </c>
      <c r="P42" s="1">
        <f t="shared" si="5"/>
        <v>2.19</v>
      </c>
    </row>
    <row r="43" spans="1:16">
      <c r="A43" t="s">
        <v>14</v>
      </c>
      <c r="B43" s="1">
        <f>AVERAGE(B5:B36)</f>
        <v>27.09375</v>
      </c>
      <c r="C43" s="1">
        <f t="shared" ref="C43:J43" si="6">AVERAGE(C5:C36)</f>
        <v>1.4989746875000001</v>
      </c>
      <c r="D43" s="1">
        <f t="shared" si="6"/>
        <v>0.94531250000000011</v>
      </c>
      <c r="E43" s="1">
        <f t="shared" si="6"/>
        <v>5.75</v>
      </c>
      <c r="F43" s="1">
        <f t="shared" si="6"/>
        <v>1.4679396874999997</v>
      </c>
      <c r="G43" s="1">
        <f t="shared" si="6"/>
        <v>1.3599999999999999</v>
      </c>
      <c r="H43" s="1">
        <f t="shared" si="6"/>
        <v>4.21875</v>
      </c>
      <c r="I43" s="1">
        <f t="shared" si="6"/>
        <v>1.2927703124999996</v>
      </c>
      <c r="J43" s="1">
        <f t="shared" si="6"/>
        <v>1.8603125000000003</v>
      </c>
      <c r="K43" s="1">
        <f t="shared" ref="K43:P43" si="7">AVERAGE(K5:K36)</f>
        <v>7.9375</v>
      </c>
      <c r="L43" s="1">
        <f t="shared" si="7"/>
        <v>1.2620631250000001</v>
      </c>
      <c r="M43" s="1">
        <f t="shared" si="7"/>
        <v>1.7437500000000004</v>
      </c>
      <c r="N43" s="1">
        <f t="shared" si="7"/>
        <v>3.84375</v>
      </c>
      <c r="O43" s="1">
        <f t="shared" si="7"/>
        <v>1.2975603124999995</v>
      </c>
      <c r="P43" s="1">
        <f t="shared" si="7"/>
        <v>2.7650000000000006</v>
      </c>
    </row>
    <row r="44" spans="1:16">
      <c r="A44" t="s">
        <v>15</v>
      </c>
      <c r="B44" s="1">
        <f>STDEV(B5:B36)</f>
        <v>4.1063238013203884</v>
      </c>
      <c r="C44" s="1">
        <f t="shared" ref="C44:J44" si="8">STDEV(C5:C36)</f>
        <v>0.26812880419419588</v>
      </c>
      <c r="D44" s="1">
        <f t="shared" si="8"/>
        <v>1.644545205049595</v>
      </c>
      <c r="E44" s="1">
        <f t="shared" si="8"/>
        <v>1.2443420336765103</v>
      </c>
      <c r="F44" s="1">
        <f t="shared" si="8"/>
        <v>0.19310660972440813</v>
      </c>
      <c r="G44" s="1">
        <f t="shared" si="8"/>
        <v>1.6235604045112626</v>
      </c>
      <c r="H44" s="1">
        <f t="shared" si="8"/>
        <v>1.1283552117444966</v>
      </c>
      <c r="I44" s="1">
        <f t="shared" si="8"/>
        <v>0.18027498226024768</v>
      </c>
      <c r="J44" s="1">
        <f t="shared" si="8"/>
        <v>1.9846775709126838</v>
      </c>
      <c r="K44" s="1">
        <f t="shared" ref="K44:P44" si="9">STDEV(K5:K36)</f>
        <v>2.0781117359508787</v>
      </c>
      <c r="L44" s="1">
        <f t="shared" si="9"/>
        <v>0.21033013017845781</v>
      </c>
      <c r="M44" s="1">
        <f t="shared" si="9"/>
        <v>1.5056983161825073</v>
      </c>
      <c r="N44" s="1">
        <f t="shared" si="9"/>
        <v>0.95408713337122208</v>
      </c>
      <c r="O44" s="1">
        <f t="shared" si="9"/>
        <v>9.501840468525799E-2</v>
      </c>
      <c r="P44" s="1">
        <f t="shared" si="9"/>
        <v>1.5402136424912369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25</v>
      </c>
      <c r="C1" t="s">
        <v>1</v>
      </c>
      <c r="D1">
        <v>503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202</v>
      </c>
      <c r="C5">
        <v>1.7115400000000001</v>
      </c>
      <c r="D5">
        <v>2.52</v>
      </c>
      <c r="E5">
        <v>8</v>
      </c>
      <c r="F5">
        <v>1.60714</v>
      </c>
      <c r="G5">
        <v>4</v>
      </c>
      <c r="H5">
        <v>6</v>
      </c>
      <c r="I5">
        <v>1.42381</v>
      </c>
      <c r="J5">
        <v>7.44</v>
      </c>
      <c r="K5">
        <v>14</v>
      </c>
      <c r="L5">
        <v>1.6243700000000001</v>
      </c>
      <c r="M5">
        <v>5.29</v>
      </c>
      <c r="N5">
        <v>5</v>
      </c>
      <c r="O5">
        <v>1.91954</v>
      </c>
      <c r="P5">
        <v>9.58</v>
      </c>
    </row>
    <row r="6" spans="1:16">
      <c r="A6">
        <v>1</v>
      </c>
      <c r="B6">
        <v>242</v>
      </c>
      <c r="C6">
        <v>1.23054</v>
      </c>
      <c r="D6">
        <v>1.82</v>
      </c>
      <c r="E6">
        <v>7</v>
      </c>
      <c r="F6">
        <v>1.41706</v>
      </c>
      <c r="G6">
        <v>23.4</v>
      </c>
      <c r="H6">
        <v>4</v>
      </c>
      <c r="I6">
        <v>1.4611700000000001</v>
      </c>
      <c r="J6">
        <v>22.01</v>
      </c>
      <c r="K6">
        <v>26</v>
      </c>
      <c r="L6">
        <v>1.4266099999999999</v>
      </c>
      <c r="M6">
        <v>44.88</v>
      </c>
      <c r="N6">
        <v>6</v>
      </c>
      <c r="O6">
        <v>1.0039400000000001</v>
      </c>
      <c r="P6">
        <v>25.78</v>
      </c>
    </row>
    <row r="7" spans="1:16">
      <c r="A7">
        <v>2</v>
      </c>
      <c r="B7">
        <v>232</v>
      </c>
      <c r="C7">
        <v>1.24085</v>
      </c>
      <c r="D7">
        <v>4.34</v>
      </c>
      <c r="E7">
        <v>7</v>
      </c>
      <c r="F7">
        <v>1.1794899999999999</v>
      </c>
      <c r="G7">
        <v>4.1900000000000004</v>
      </c>
      <c r="H7">
        <v>5</v>
      </c>
      <c r="I7">
        <v>1.27803</v>
      </c>
      <c r="J7">
        <v>7.9</v>
      </c>
      <c r="K7">
        <v>30</v>
      </c>
      <c r="L7">
        <v>1.0739300000000001</v>
      </c>
      <c r="M7">
        <v>6.57</v>
      </c>
      <c r="N7">
        <v>4</v>
      </c>
      <c r="O7">
        <v>1.2837799999999999</v>
      </c>
      <c r="P7">
        <v>10.02</v>
      </c>
    </row>
    <row r="8" spans="1:16">
      <c r="A8">
        <v>3</v>
      </c>
      <c r="B8">
        <v>242</v>
      </c>
      <c r="C8">
        <v>1.23054</v>
      </c>
      <c r="D8">
        <v>1.9</v>
      </c>
      <c r="E8">
        <v>7</v>
      </c>
      <c r="F8">
        <v>1.41706</v>
      </c>
      <c r="G8">
        <v>4.2300000000000004</v>
      </c>
      <c r="H8">
        <v>4</v>
      </c>
      <c r="I8">
        <v>1.4611700000000001</v>
      </c>
      <c r="J8">
        <v>8.59</v>
      </c>
      <c r="K8">
        <v>24</v>
      </c>
      <c r="L8">
        <v>1.41743</v>
      </c>
      <c r="M8">
        <v>5.67</v>
      </c>
      <c r="N8">
        <v>6</v>
      </c>
      <c r="O8">
        <v>1.0039400000000001</v>
      </c>
      <c r="P8">
        <v>13.82</v>
      </c>
    </row>
    <row r="9" spans="1:16">
      <c r="A9">
        <v>4</v>
      </c>
      <c r="B9">
        <v>231</v>
      </c>
      <c r="C9">
        <v>1.22424</v>
      </c>
      <c r="D9">
        <v>1.67</v>
      </c>
      <c r="E9">
        <v>7</v>
      </c>
      <c r="F9">
        <v>1.4878</v>
      </c>
      <c r="G9">
        <v>4.1100000000000003</v>
      </c>
      <c r="H9">
        <v>5</v>
      </c>
      <c r="I9">
        <v>1.3962300000000001</v>
      </c>
      <c r="J9">
        <v>5.5</v>
      </c>
      <c r="K9">
        <v>33</v>
      </c>
      <c r="L9">
        <v>1.4035899999999999</v>
      </c>
      <c r="M9">
        <v>4.9400000000000004</v>
      </c>
      <c r="N9">
        <v>4</v>
      </c>
      <c r="O9">
        <v>1.1666700000000001</v>
      </c>
      <c r="P9">
        <v>7.42</v>
      </c>
    </row>
    <row r="10" spans="1:16">
      <c r="A10">
        <v>5</v>
      </c>
      <c r="B10">
        <v>252</v>
      </c>
      <c r="C10">
        <v>1.41214</v>
      </c>
      <c r="D10">
        <v>4.42</v>
      </c>
      <c r="E10">
        <v>4</v>
      </c>
      <c r="F10">
        <v>1.9137900000000001</v>
      </c>
      <c r="G10">
        <v>6.22</v>
      </c>
      <c r="H10">
        <v>4</v>
      </c>
      <c r="I10">
        <v>1.13924</v>
      </c>
      <c r="J10">
        <v>5.81</v>
      </c>
      <c r="K10">
        <v>7</v>
      </c>
      <c r="L10">
        <v>1.94798</v>
      </c>
      <c r="M10">
        <v>37.89</v>
      </c>
      <c r="N10">
        <v>3</v>
      </c>
      <c r="O10">
        <v>1.81111</v>
      </c>
      <c r="P10">
        <v>14.16</v>
      </c>
    </row>
    <row r="11" spans="1:16">
      <c r="A11">
        <v>6</v>
      </c>
      <c r="B11">
        <v>267</v>
      </c>
      <c r="C11">
        <v>1.12707</v>
      </c>
      <c r="D11">
        <v>5.23</v>
      </c>
      <c r="E11">
        <v>7</v>
      </c>
      <c r="F11">
        <v>1.1888399999999999</v>
      </c>
      <c r="G11">
        <v>6</v>
      </c>
      <c r="H11">
        <v>5</v>
      </c>
      <c r="I11">
        <v>1.1166700000000001</v>
      </c>
      <c r="J11">
        <v>22.88</v>
      </c>
      <c r="K11">
        <v>18</v>
      </c>
      <c r="L11">
        <v>1.15289</v>
      </c>
      <c r="M11">
        <v>24.22</v>
      </c>
      <c r="N11">
        <v>5</v>
      </c>
      <c r="O11">
        <v>1.0483899999999999</v>
      </c>
      <c r="P11">
        <v>13.98</v>
      </c>
    </row>
    <row r="12" spans="1:16">
      <c r="A12">
        <v>7</v>
      </c>
      <c r="B12">
        <v>243</v>
      </c>
      <c r="C12">
        <v>1.2268699999999999</v>
      </c>
      <c r="D12">
        <v>1.7</v>
      </c>
      <c r="E12">
        <v>7</v>
      </c>
      <c r="F12">
        <v>1.41706</v>
      </c>
      <c r="G12">
        <v>11.93</v>
      </c>
      <c r="H12">
        <v>4</v>
      </c>
      <c r="I12">
        <v>1.4611700000000001</v>
      </c>
      <c r="J12">
        <v>6.2</v>
      </c>
      <c r="K12">
        <v>24</v>
      </c>
      <c r="L12">
        <v>1.41743</v>
      </c>
      <c r="M12">
        <v>5.0599999999999996</v>
      </c>
      <c r="N12">
        <v>6</v>
      </c>
      <c r="O12">
        <v>1.0039400000000001</v>
      </c>
      <c r="P12">
        <v>21.02</v>
      </c>
    </row>
    <row r="13" spans="1:16">
      <c r="A13">
        <v>8</v>
      </c>
      <c r="B13">
        <v>243</v>
      </c>
      <c r="C13">
        <v>1.35331</v>
      </c>
      <c r="D13">
        <v>7.26</v>
      </c>
      <c r="E13">
        <v>5</v>
      </c>
      <c r="F13">
        <v>1.7459499999999999</v>
      </c>
      <c r="G13">
        <v>7.26</v>
      </c>
      <c r="H13">
        <v>4</v>
      </c>
      <c r="I13">
        <v>1.13924</v>
      </c>
      <c r="J13">
        <v>7.58</v>
      </c>
      <c r="K13">
        <v>7</v>
      </c>
      <c r="L13">
        <v>1.7127699999999999</v>
      </c>
      <c r="M13">
        <v>3.79</v>
      </c>
      <c r="N13">
        <v>3</v>
      </c>
      <c r="O13">
        <v>1.81111</v>
      </c>
      <c r="P13">
        <v>35.06</v>
      </c>
    </row>
    <row r="14" spans="1:16">
      <c r="A14">
        <v>9</v>
      </c>
      <c r="B14">
        <v>291</v>
      </c>
      <c r="C14">
        <v>1.0569900000000001</v>
      </c>
      <c r="D14">
        <v>2.2400000000000002</v>
      </c>
      <c r="E14">
        <v>8</v>
      </c>
      <c r="F14">
        <v>1.9367799999999999</v>
      </c>
      <c r="G14">
        <v>6.92</v>
      </c>
      <c r="H14">
        <v>5</v>
      </c>
      <c r="I14">
        <v>1.0819700000000001</v>
      </c>
      <c r="J14">
        <v>8.6999999999999993</v>
      </c>
      <c r="K14">
        <v>20</v>
      </c>
      <c r="L14">
        <v>1.8736299999999999</v>
      </c>
      <c r="M14">
        <v>10.59</v>
      </c>
      <c r="N14">
        <v>5</v>
      </c>
      <c r="O14">
        <v>1.80663</v>
      </c>
      <c r="P14">
        <v>11.66</v>
      </c>
    </row>
    <row r="15" spans="1:16">
      <c r="A15">
        <v>10</v>
      </c>
      <c r="B15">
        <v>216</v>
      </c>
      <c r="C15">
        <v>1.15269</v>
      </c>
      <c r="D15">
        <v>6.36</v>
      </c>
      <c r="E15">
        <v>7</v>
      </c>
      <c r="F15">
        <v>1.6701600000000001</v>
      </c>
      <c r="G15">
        <v>4.34</v>
      </c>
      <c r="H15">
        <v>5</v>
      </c>
      <c r="I15">
        <v>1.5786800000000001</v>
      </c>
      <c r="J15">
        <v>20.95</v>
      </c>
      <c r="K15">
        <v>31</v>
      </c>
      <c r="L15">
        <v>1.4837199999999999</v>
      </c>
      <c r="M15">
        <v>5.39</v>
      </c>
      <c r="N15">
        <v>6</v>
      </c>
      <c r="O15">
        <v>1.89205</v>
      </c>
      <c r="P15">
        <v>9.83</v>
      </c>
    </row>
    <row r="16" spans="1:16">
      <c r="A16">
        <v>11</v>
      </c>
      <c r="B16">
        <v>187</v>
      </c>
      <c r="C16">
        <v>1.0535699999999999</v>
      </c>
      <c r="D16">
        <v>1.68</v>
      </c>
      <c r="E16">
        <v>5</v>
      </c>
      <c r="F16">
        <v>1.7459499999999999</v>
      </c>
      <c r="G16">
        <v>5.04</v>
      </c>
      <c r="H16">
        <v>4</v>
      </c>
      <c r="I16">
        <v>1.13924</v>
      </c>
      <c r="J16">
        <v>6.91</v>
      </c>
      <c r="K16">
        <v>10</v>
      </c>
      <c r="L16">
        <v>1.6858599999999999</v>
      </c>
      <c r="M16">
        <v>4.33</v>
      </c>
      <c r="N16">
        <v>3</v>
      </c>
      <c r="O16">
        <v>1.81111</v>
      </c>
      <c r="P16">
        <v>14.82</v>
      </c>
    </row>
    <row r="17" spans="1:16">
      <c r="A17">
        <v>12</v>
      </c>
      <c r="B17">
        <v>263</v>
      </c>
      <c r="C17">
        <v>1.05362</v>
      </c>
      <c r="D17">
        <v>1.65</v>
      </c>
      <c r="E17">
        <v>6</v>
      </c>
      <c r="F17">
        <v>1.97661</v>
      </c>
      <c r="G17">
        <v>7.68</v>
      </c>
      <c r="H17">
        <v>6</v>
      </c>
      <c r="I17">
        <v>1.97661</v>
      </c>
      <c r="J17">
        <v>5.4</v>
      </c>
      <c r="K17">
        <v>16</v>
      </c>
      <c r="L17">
        <v>1.8833299999999999</v>
      </c>
      <c r="M17">
        <v>4.34</v>
      </c>
      <c r="N17">
        <v>5</v>
      </c>
      <c r="O17">
        <v>1.5656600000000001</v>
      </c>
      <c r="P17">
        <v>7.91</v>
      </c>
    </row>
    <row r="18" spans="1:16">
      <c r="A18">
        <v>13</v>
      </c>
      <c r="B18">
        <v>238</v>
      </c>
      <c r="C18">
        <v>1.40584</v>
      </c>
      <c r="D18">
        <v>1.75</v>
      </c>
      <c r="E18">
        <v>8</v>
      </c>
      <c r="F18">
        <v>1.39906</v>
      </c>
      <c r="G18">
        <v>12.55</v>
      </c>
      <c r="H18">
        <v>6</v>
      </c>
      <c r="I18">
        <v>1.3136399999999999</v>
      </c>
      <c r="J18">
        <v>6.04</v>
      </c>
      <c r="K18">
        <v>20</v>
      </c>
      <c r="L18">
        <v>1.37727</v>
      </c>
      <c r="M18">
        <v>8.89</v>
      </c>
      <c r="N18">
        <v>5</v>
      </c>
      <c r="O18">
        <v>1.1709400000000001</v>
      </c>
      <c r="P18">
        <v>21.58</v>
      </c>
    </row>
    <row r="19" spans="1:16">
      <c r="A19">
        <v>14</v>
      </c>
      <c r="B19">
        <v>226</v>
      </c>
      <c r="C19">
        <v>1.1568000000000001</v>
      </c>
      <c r="D19">
        <v>1.21</v>
      </c>
      <c r="E19">
        <v>5</v>
      </c>
      <c r="F19">
        <v>1.90286</v>
      </c>
      <c r="G19">
        <v>2.29</v>
      </c>
      <c r="H19">
        <v>3</v>
      </c>
      <c r="I19">
        <v>1.81111</v>
      </c>
      <c r="J19">
        <v>10.65</v>
      </c>
      <c r="K19">
        <v>32</v>
      </c>
      <c r="L19">
        <v>1.80105</v>
      </c>
      <c r="M19">
        <v>3.24</v>
      </c>
      <c r="N19">
        <v>3</v>
      </c>
      <c r="O19">
        <v>1.81111</v>
      </c>
      <c r="P19">
        <v>11.24</v>
      </c>
    </row>
    <row r="20" spans="1:16">
      <c r="A20">
        <v>15</v>
      </c>
      <c r="B20">
        <v>279</v>
      </c>
      <c r="C20">
        <v>1.05789</v>
      </c>
      <c r="D20">
        <v>1.22</v>
      </c>
      <c r="E20">
        <v>8</v>
      </c>
      <c r="F20">
        <v>1.90341</v>
      </c>
      <c r="G20">
        <v>12.91</v>
      </c>
      <c r="H20">
        <v>4</v>
      </c>
      <c r="I20">
        <v>1.8010999999999999</v>
      </c>
      <c r="J20">
        <v>24.57</v>
      </c>
      <c r="K20">
        <v>17</v>
      </c>
      <c r="L20">
        <v>1.81081</v>
      </c>
      <c r="M20">
        <v>2.84</v>
      </c>
      <c r="N20">
        <v>5</v>
      </c>
      <c r="O20">
        <v>1.82222</v>
      </c>
      <c r="P20">
        <v>5</v>
      </c>
    </row>
    <row r="21" spans="1:16">
      <c r="A21">
        <v>16</v>
      </c>
      <c r="B21">
        <v>253</v>
      </c>
      <c r="C21">
        <v>1.41534</v>
      </c>
      <c r="D21">
        <v>1.21</v>
      </c>
      <c r="E21">
        <v>4</v>
      </c>
      <c r="F21">
        <v>1.9137900000000001</v>
      </c>
      <c r="G21">
        <v>1.97</v>
      </c>
      <c r="H21">
        <v>4</v>
      </c>
      <c r="I21">
        <v>1.1666700000000001</v>
      </c>
      <c r="J21">
        <v>3.69</v>
      </c>
      <c r="K21">
        <v>10</v>
      </c>
      <c r="L21">
        <v>1.93143</v>
      </c>
      <c r="M21">
        <v>2.82</v>
      </c>
      <c r="N21">
        <v>3</v>
      </c>
      <c r="O21">
        <v>1.81111</v>
      </c>
      <c r="P21">
        <v>4.57</v>
      </c>
    </row>
    <row r="22" spans="1:16">
      <c r="A22">
        <v>17</v>
      </c>
      <c r="B22">
        <v>267</v>
      </c>
      <c r="C22">
        <v>1.12707</v>
      </c>
      <c r="D22">
        <v>0.73</v>
      </c>
      <c r="E22">
        <v>7</v>
      </c>
      <c r="F22">
        <v>1.1888399999999999</v>
      </c>
      <c r="G22">
        <v>1.36</v>
      </c>
      <c r="H22">
        <v>5</v>
      </c>
      <c r="I22">
        <v>1.1166700000000001</v>
      </c>
      <c r="J22">
        <v>2.33</v>
      </c>
      <c r="K22">
        <v>18</v>
      </c>
      <c r="L22">
        <v>1.15289</v>
      </c>
      <c r="M22">
        <v>2.37</v>
      </c>
      <c r="N22">
        <v>5</v>
      </c>
      <c r="O22">
        <v>1.0483899999999999</v>
      </c>
      <c r="P22">
        <v>4.26</v>
      </c>
    </row>
    <row r="23" spans="1:16">
      <c r="A23">
        <v>18</v>
      </c>
      <c r="B23">
        <v>291</v>
      </c>
      <c r="C23">
        <v>1.0569900000000001</v>
      </c>
      <c r="D23">
        <v>1.39</v>
      </c>
      <c r="E23">
        <v>8</v>
      </c>
      <c r="F23">
        <v>1.9367799999999999</v>
      </c>
      <c r="G23">
        <v>2.2400000000000002</v>
      </c>
      <c r="H23">
        <v>5</v>
      </c>
      <c r="I23">
        <v>1.0819700000000001</v>
      </c>
      <c r="J23">
        <v>3.47</v>
      </c>
      <c r="K23">
        <v>20</v>
      </c>
      <c r="L23">
        <v>1.8736299999999999</v>
      </c>
      <c r="M23">
        <v>2.82</v>
      </c>
      <c r="N23">
        <v>5</v>
      </c>
      <c r="O23">
        <v>1.80663</v>
      </c>
      <c r="P23">
        <v>6.78</v>
      </c>
    </row>
    <row r="24" spans="1:16">
      <c r="A24">
        <v>19</v>
      </c>
      <c r="B24">
        <v>252</v>
      </c>
      <c r="C24">
        <v>1.1388100000000001</v>
      </c>
      <c r="D24">
        <v>1.35</v>
      </c>
      <c r="E24">
        <v>8</v>
      </c>
      <c r="F24">
        <v>1.3333299999999999</v>
      </c>
      <c r="G24">
        <v>2.1800000000000002</v>
      </c>
      <c r="H24">
        <v>4</v>
      </c>
      <c r="I24">
        <v>1.26339</v>
      </c>
      <c r="J24">
        <v>3.16</v>
      </c>
      <c r="K24">
        <v>30</v>
      </c>
      <c r="L24">
        <v>1.33772</v>
      </c>
      <c r="M24">
        <v>4.75</v>
      </c>
      <c r="N24">
        <v>5</v>
      </c>
      <c r="O24">
        <v>1.27803</v>
      </c>
      <c r="P24">
        <v>4.66</v>
      </c>
    </row>
    <row r="25" spans="1:16">
      <c r="A25">
        <v>20</v>
      </c>
      <c r="B25">
        <v>275</v>
      </c>
      <c r="C25">
        <v>1.1198900000000001</v>
      </c>
      <c r="D25">
        <v>3.91</v>
      </c>
      <c r="E25">
        <v>5</v>
      </c>
      <c r="F25">
        <v>1.88636</v>
      </c>
      <c r="G25">
        <v>2.4900000000000002</v>
      </c>
      <c r="H25">
        <v>3</v>
      </c>
      <c r="I25">
        <v>1.81111</v>
      </c>
      <c r="J25">
        <v>5.32</v>
      </c>
      <c r="K25">
        <v>25</v>
      </c>
      <c r="L25">
        <v>1.77895</v>
      </c>
      <c r="M25">
        <v>2.5499999999999998</v>
      </c>
      <c r="N25">
        <v>3</v>
      </c>
      <c r="O25">
        <v>1.81111</v>
      </c>
      <c r="P25">
        <v>16.79</v>
      </c>
    </row>
    <row r="26" spans="1:16">
      <c r="A26">
        <v>21</v>
      </c>
      <c r="B26">
        <v>243</v>
      </c>
      <c r="C26">
        <v>1.33856</v>
      </c>
      <c r="D26">
        <v>3.75</v>
      </c>
      <c r="E26">
        <v>5</v>
      </c>
      <c r="F26">
        <v>1.7459499999999999</v>
      </c>
      <c r="G26">
        <v>7.33</v>
      </c>
      <c r="H26">
        <v>4</v>
      </c>
      <c r="I26">
        <v>1.13924</v>
      </c>
      <c r="J26">
        <v>10.78</v>
      </c>
      <c r="K26">
        <v>7</v>
      </c>
      <c r="L26">
        <v>1.7127699999999999</v>
      </c>
      <c r="M26">
        <v>3.31</v>
      </c>
      <c r="N26">
        <v>3</v>
      </c>
      <c r="O26">
        <v>1.81111</v>
      </c>
      <c r="P26">
        <v>54.67</v>
      </c>
    </row>
    <row r="27" spans="1:16">
      <c r="A27">
        <v>22</v>
      </c>
      <c r="B27">
        <v>183</v>
      </c>
      <c r="C27">
        <v>1.61832</v>
      </c>
      <c r="D27">
        <v>3</v>
      </c>
      <c r="E27">
        <v>10</v>
      </c>
      <c r="F27">
        <v>1.2901800000000001</v>
      </c>
      <c r="G27">
        <v>2.2400000000000002</v>
      </c>
      <c r="H27">
        <v>8</v>
      </c>
      <c r="I27">
        <v>1.14706</v>
      </c>
      <c r="J27">
        <v>23.06</v>
      </c>
      <c r="K27">
        <v>20</v>
      </c>
      <c r="L27">
        <v>1.25431</v>
      </c>
      <c r="M27">
        <v>12.09</v>
      </c>
      <c r="N27">
        <v>5</v>
      </c>
      <c r="O27">
        <v>1.91954</v>
      </c>
      <c r="P27">
        <v>4.76</v>
      </c>
    </row>
    <row r="28" spans="1:16">
      <c r="A28">
        <v>23</v>
      </c>
      <c r="B28">
        <v>224</v>
      </c>
      <c r="C28">
        <v>1.28616</v>
      </c>
      <c r="D28">
        <v>0.89</v>
      </c>
      <c r="E28">
        <v>5</v>
      </c>
      <c r="F28">
        <v>1.7459499999999999</v>
      </c>
      <c r="G28">
        <v>1.5</v>
      </c>
      <c r="H28">
        <v>4</v>
      </c>
      <c r="I28">
        <v>1.13924</v>
      </c>
      <c r="J28">
        <v>10.029999999999999</v>
      </c>
      <c r="K28">
        <v>15</v>
      </c>
      <c r="L28">
        <v>1.53922</v>
      </c>
      <c r="M28">
        <v>2.54</v>
      </c>
      <c r="N28">
        <v>3</v>
      </c>
      <c r="O28">
        <v>1.81111</v>
      </c>
      <c r="P28">
        <v>6.94</v>
      </c>
    </row>
    <row r="29" spans="1:16">
      <c r="A29">
        <v>24</v>
      </c>
      <c r="B29">
        <v>242</v>
      </c>
      <c r="C29">
        <v>1.23054</v>
      </c>
      <c r="D29">
        <v>0.95</v>
      </c>
      <c r="E29">
        <v>7</v>
      </c>
      <c r="F29">
        <v>1.41706</v>
      </c>
      <c r="G29">
        <v>2.16</v>
      </c>
      <c r="H29">
        <v>4</v>
      </c>
      <c r="I29">
        <v>1.4611700000000001</v>
      </c>
      <c r="J29">
        <v>3.11</v>
      </c>
      <c r="K29">
        <v>26</v>
      </c>
      <c r="L29">
        <v>1.4266099999999999</v>
      </c>
      <c r="M29">
        <v>2.63</v>
      </c>
      <c r="N29">
        <v>6</v>
      </c>
      <c r="O29">
        <v>1.0039400000000001</v>
      </c>
      <c r="P29">
        <v>8.48</v>
      </c>
    </row>
    <row r="30" spans="1:16">
      <c r="A30">
        <v>25</v>
      </c>
      <c r="B30">
        <v>267</v>
      </c>
      <c r="C30">
        <v>1.12707</v>
      </c>
      <c r="D30">
        <v>0.94</v>
      </c>
      <c r="E30">
        <v>9</v>
      </c>
      <c r="F30">
        <v>1.1694899999999999</v>
      </c>
      <c r="G30">
        <v>2.88</v>
      </c>
      <c r="H30">
        <v>7</v>
      </c>
      <c r="I30">
        <v>1.09877</v>
      </c>
      <c r="J30">
        <v>3.6</v>
      </c>
      <c r="K30">
        <v>19</v>
      </c>
      <c r="L30">
        <v>1.1570199999999999</v>
      </c>
      <c r="M30">
        <v>3.56</v>
      </c>
      <c r="N30">
        <v>5</v>
      </c>
      <c r="O30">
        <v>1.0483899999999999</v>
      </c>
      <c r="P30">
        <v>20.29</v>
      </c>
    </row>
    <row r="31" spans="1:16">
      <c r="A31">
        <v>26</v>
      </c>
      <c r="B31">
        <v>226</v>
      </c>
      <c r="C31">
        <v>1.1568000000000001</v>
      </c>
      <c r="D31">
        <v>4.2699999999999996</v>
      </c>
      <c r="E31">
        <v>5</v>
      </c>
      <c r="F31">
        <v>1.90286</v>
      </c>
      <c r="G31">
        <v>2.16</v>
      </c>
      <c r="H31">
        <v>3</v>
      </c>
      <c r="I31">
        <v>1.81111</v>
      </c>
      <c r="J31">
        <v>13.96</v>
      </c>
      <c r="K31">
        <v>12</v>
      </c>
      <c r="L31">
        <v>1.92614</v>
      </c>
      <c r="M31">
        <v>8.3699999999999992</v>
      </c>
      <c r="N31">
        <v>3</v>
      </c>
      <c r="O31">
        <v>1.81111</v>
      </c>
      <c r="P31">
        <v>11.76</v>
      </c>
    </row>
    <row r="32" spans="1:16">
      <c r="A32">
        <v>27</v>
      </c>
      <c r="B32">
        <v>226</v>
      </c>
      <c r="C32">
        <v>1.1568000000000001</v>
      </c>
      <c r="D32">
        <v>1.27</v>
      </c>
      <c r="E32">
        <v>5</v>
      </c>
      <c r="F32">
        <v>1.90286</v>
      </c>
      <c r="G32">
        <v>4</v>
      </c>
      <c r="H32">
        <v>3</v>
      </c>
      <c r="I32">
        <v>1.81111</v>
      </c>
      <c r="J32">
        <v>9.31</v>
      </c>
      <c r="K32">
        <v>14</v>
      </c>
      <c r="L32">
        <v>1.8882699999999999</v>
      </c>
      <c r="M32">
        <v>9.91</v>
      </c>
      <c r="N32">
        <v>3</v>
      </c>
      <c r="O32">
        <v>1.81111</v>
      </c>
      <c r="P32">
        <v>16.57</v>
      </c>
    </row>
    <row r="33" spans="1:16">
      <c r="A33">
        <v>28</v>
      </c>
      <c r="B33">
        <v>216</v>
      </c>
      <c r="C33">
        <v>1.15269</v>
      </c>
      <c r="D33">
        <v>2.5299999999999998</v>
      </c>
      <c r="E33">
        <v>7</v>
      </c>
      <c r="F33">
        <v>1.19828</v>
      </c>
      <c r="G33">
        <v>6.93</v>
      </c>
      <c r="H33">
        <v>5</v>
      </c>
      <c r="I33">
        <v>1.29864</v>
      </c>
      <c r="J33">
        <v>3.75</v>
      </c>
      <c r="K33">
        <v>39</v>
      </c>
      <c r="L33">
        <v>1.7653099999999999</v>
      </c>
      <c r="M33">
        <v>2.75</v>
      </c>
      <c r="N33">
        <v>5</v>
      </c>
      <c r="O33">
        <v>1.5786800000000001</v>
      </c>
      <c r="P33">
        <v>5.21</v>
      </c>
    </row>
    <row r="34" spans="1:16">
      <c r="A34">
        <v>29</v>
      </c>
      <c r="B34">
        <v>201</v>
      </c>
      <c r="C34">
        <v>1.09524</v>
      </c>
      <c r="D34">
        <v>0.94</v>
      </c>
      <c r="E34">
        <v>5</v>
      </c>
      <c r="F34">
        <v>1.7459499999999999</v>
      </c>
      <c r="G34">
        <v>5.0199999999999996</v>
      </c>
      <c r="H34">
        <v>4</v>
      </c>
      <c r="I34">
        <v>1.13924</v>
      </c>
      <c r="J34">
        <v>3.01</v>
      </c>
      <c r="K34">
        <v>8</v>
      </c>
      <c r="L34">
        <v>1.6205099999999999</v>
      </c>
      <c r="M34">
        <v>4.5599999999999996</v>
      </c>
      <c r="N34">
        <v>3</v>
      </c>
      <c r="O34">
        <v>1.81111</v>
      </c>
      <c r="P34">
        <v>20.69</v>
      </c>
    </row>
    <row r="35" spans="1:16">
      <c r="A35">
        <v>30</v>
      </c>
      <c r="B35">
        <v>277</v>
      </c>
      <c r="C35">
        <v>1</v>
      </c>
      <c r="D35">
        <v>0.99</v>
      </c>
      <c r="E35">
        <v>8</v>
      </c>
      <c r="F35">
        <v>1.48058</v>
      </c>
      <c r="G35">
        <v>1.83</v>
      </c>
      <c r="H35">
        <v>5</v>
      </c>
      <c r="I35">
        <v>1.27803</v>
      </c>
      <c r="J35">
        <v>84.18</v>
      </c>
      <c r="K35">
        <v>22</v>
      </c>
      <c r="L35">
        <v>1.37557</v>
      </c>
      <c r="M35">
        <v>2.34</v>
      </c>
      <c r="N35">
        <v>5</v>
      </c>
      <c r="O35">
        <v>1.77596</v>
      </c>
      <c r="P35">
        <v>12.4</v>
      </c>
    </row>
    <row r="36" spans="1:16">
      <c r="A36">
        <v>31</v>
      </c>
      <c r="B36">
        <v>261</v>
      </c>
      <c r="C36">
        <v>1.1281300000000001</v>
      </c>
      <c r="D36">
        <v>1.21</v>
      </c>
      <c r="E36">
        <v>6</v>
      </c>
      <c r="F36">
        <v>1.9593</v>
      </c>
      <c r="G36">
        <v>6.71</v>
      </c>
      <c r="H36">
        <v>4</v>
      </c>
      <c r="I36">
        <v>1.8806799999999999</v>
      </c>
      <c r="J36">
        <v>60.25</v>
      </c>
      <c r="K36">
        <v>21</v>
      </c>
      <c r="L36">
        <v>1.83243</v>
      </c>
      <c r="M36">
        <v>2.33</v>
      </c>
      <c r="N36">
        <v>4</v>
      </c>
      <c r="O36">
        <v>1.8806799999999999</v>
      </c>
      <c r="P36">
        <v>19.149999999999999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291</v>
      </c>
      <c r="C40" s="1">
        <f t="shared" ref="C40:P40" si="0">MAX(C5:C36)</f>
        <v>1.7115400000000001</v>
      </c>
      <c r="D40" s="1">
        <f t="shared" si="0"/>
        <v>7.26</v>
      </c>
      <c r="E40" s="1">
        <f t="shared" si="0"/>
        <v>10</v>
      </c>
      <c r="F40" s="1">
        <f t="shared" si="0"/>
        <v>1.97661</v>
      </c>
      <c r="G40" s="1">
        <f t="shared" si="0"/>
        <v>23.4</v>
      </c>
      <c r="H40" s="1">
        <f t="shared" si="0"/>
        <v>8</v>
      </c>
      <c r="I40" s="1">
        <f t="shared" si="0"/>
        <v>1.97661</v>
      </c>
      <c r="J40" s="1">
        <f t="shared" si="0"/>
        <v>84.18</v>
      </c>
      <c r="K40" s="1">
        <f t="shared" si="0"/>
        <v>39</v>
      </c>
      <c r="L40" s="1">
        <f t="shared" si="0"/>
        <v>1.94798</v>
      </c>
      <c r="M40" s="1">
        <f t="shared" si="0"/>
        <v>44.88</v>
      </c>
      <c r="N40" s="1">
        <f t="shared" si="0"/>
        <v>6</v>
      </c>
      <c r="O40" s="1">
        <f t="shared" si="0"/>
        <v>1.91954</v>
      </c>
      <c r="P40" s="1">
        <f t="shared" si="0"/>
        <v>54.67</v>
      </c>
    </row>
    <row r="41" spans="1:16">
      <c r="A41" t="s">
        <v>12</v>
      </c>
      <c r="B41" s="1">
        <f>MIN(B5:B36)</f>
        <v>183</v>
      </c>
      <c r="C41" s="1">
        <f t="shared" ref="C41:P41" si="1">MIN(C5:C36)</f>
        <v>1</v>
      </c>
      <c r="D41" s="1">
        <f t="shared" si="1"/>
        <v>0.73</v>
      </c>
      <c r="E41" s="1">
        <f t="shared" si="1"/>
        <v>4</v>
      </c>
      <c r="F41" s="1">
        <f t="shared" si="1"/>
        <v>1.1694899999999999</v>
      </c>
      <c r="G41" s="1">
        <f t="shared" si="1"/>
        <v>1.36</v>
      </c>
      <c r="H41" s="1">
        <f t="shared" si="1"/>
        <v>3</v>
      </c>
      <c r="I41" s="1">
        <f t="shared" si="1"/>
        <v>1.0819700000000001</v>
      </c>
      <c r="J41" s="1">
        <f t="shared" si="1"/>
        <v>2.33</v>
      </c>
      <c r="K41" s="1">
        <f t="shared" si="1"/>
        <v>7</v>
      </c>
      <c r="L41" s="1">
        <f t="shared" si="1"/>
        <v>1.0739300000000001</v>
      </c>
      <c r="M41" s="1">
        <f t="shared" si="1"/>
        <v>2.33</v>
      </c>
      <c r="N41" s="1">
        <f t="shared" si="1"/>
        <v>3</v>
      </c>
      <c r="O41" s="1">
        <f t="shared" si="1"/>
        <v>1.0039400000000001</v>
      </c>
      <c r="P41" s="1">
        <f t="shared" si="1"/>
        <v>4.26</v>
      </c>
    </row>
    <row r="42" spans="1:16">
      <c r="A42" t="s">
        <v>13</v>
      </c>
      <c r="B42" s="1">
        <f>MEDIAN(B5:B36)</f>
        <v>242.5</v>
      </c>
      <c r="C42" s="1">
        <f t="shared" ref="C42:P42" si="2">MEDIAN(C5:C36)</f>
        <v>1.1568000000000001</v>
      </c>
      <c r="D42" s="1">
        <f t="shared" si="2"/>
        <v>1.69</v>
      </c>
      <c r="E42" s="1">
        <f t="shared" si="2"/>
        <v>7</v>
      </c>
      <c r="F42" s="1">
        <f t="shared" si="2"/>
        <v>1.7080549999999999</v>
      </c>
      <c r="G42" s="1">
        <f t="shared" si="2"/>
        <v>4.2100000000000009</v>
      </c>
      <c r="H42" s="1">
        <f t="shared" si="2"/>
        <v>4</v>
      </c>
      <c r="I42" s="1">
        <f t="shared" si="2"/>
        <v>1.288335</v>
      </c>
      <c r="J42" s="1">
        <f t="shared" si="2"/>
        <v>7.51</v>
      </c>
      <c r="K42" s="1">
        <f t="shared" si="2"/>
        <v>20</v>
      </c>
      <c r="L42" s="1">
        <f t="shared" si="2"/>
        <v>1.6224400000000001</v>
      </c>
      <c r="M42" s="1">
        <f t="shared" si="2"/>
        <v>4.4499999999999993</v>
      </c>
      <c r="N42" s="1">
        <f t="shared" si="2"/>
        <v>5</v>
      </c>
      <c r="O42" s="1">
        <f t="shared" si="2"/>
        <v>1.80887</v>
      </c>
      <c r="P42" s="1">
        <f t="shared" si="2"/>
        <v>11.71</v>
      </c>
    </row>
    <row r="43" spans="1:16">
      <c r="A43" t="s">
        <v>14</v>
      </c>
      <c r="B43" s="1">
        <f>AVERAGE(B5:B36)</f>
        <v>242.4375</v>
      </c>
      <c r="C43" s="1">
        <f t="shared" ref="C43:P43" si="3">AVERAGE(C5:C36)</f>
        <v>1.2138409374999999</v>
      </c>
      <c r="D43" s="1">
        <f t="shared" si="3"/>
        <v>2.3843749999999995</v>
      </c>
      <c r="E43" s="1">
        <f t="shared" si="3"/>
        <v>6.5625</v>
      </c>
      <c r="F43" s="1">
        <f t="shared" si="3"/>
        <v>1.616455625</v>
      </c>
      <c r="G43" s="1">
        <f t="shared" si="3"/>
        <v>5.5021875000000025</v>
      </c>
      <c r="H43" s="1">
        <f t="shared" si="3"/>
        <v>4.5625</v>
      </c>
      <c r="I43" s="1">
        <f t="shared" si="3"/>
        <v>1.381974375</v>
      </c>
      <c r="J43" s="1">
        <f t="shared" si="3"/>
        <v>13.129375</v>
      </c>
      <c r="K43" s="1">
        <f t="shared" si="3"/>
        <v>19.84375</v>
      </c>
      <c r="L43" s="1">
        <f t="shared" si="3"/>
        <v>1.5832953124999998</v>
      </c>
      <c r="M43" s="1">
        <f t="shared" si="3"/>
        <v>7.7384375000000016</v>
      </c>
      <c r="N43" s="1">
        <f t="shared" si="3"/>
        <v>4.375</v>
      </c>
      <c r="O43" s="1">
        <f t="shared" si="3"/>
        <v>1.5609421874999996</v>
      </c>
      <c r="P43" s="1">
        <f t="shared" si="3"/>
        <v>14.089374999999999</v>
      </c>
    </row>
    <row r="44" spans="1:16">
      <c r="A44" t="s">
        <v>15</v>
      </c>
      <c r="B44" s="1">
        <f>STDEV(B5:B36)</f>
        <v>27.794101834277601</v>
      </c>
      <c r="C44" s="1">
        <f t="shared" ref="C44:P44" si="4">STDEV(C5:C36)</f>
        <v>0.16229038127360385</v>
      </c>
      <c r="D44" s="1">
        <f t="shared" si="4"/>
        <v>1.6919008922015084</v>
      </c>
      <c r="E44" s="1">
        <f t="shared" si="4"/>
        <v>1.50134348437142</v>
      </c>
      <c r="F44" s="1">
        <f t="shared" si="4"/>
        <v>0.28264857947107508</v>
      </c>
      <c r="G44" s="1">
        <f t="shared" si="4"/>
        <v>4.5269570598553468</v>
      </c>
      <c r="H44" s="1">
        <f t="shared" si="4"/>
        <v>1.1341473989656923</v>
      </c>
      <c r="I44" s="1">
        <f t="shared" si="4"/>
        <v>0.28305121516440912</v>
      </c>
      <c r="J44" s="1">
        <f t="shared" si="4"/>
        <v>17.086022194632779</v>
      </c>
      <c r="K44" s="1">
        <f t="shared" si="4"/>
        <v>8.3747291723181956</v>
      </c>
      <c r="L44" s="1">
        <f t="shared" si="4"/>
        <v>0.26743719099805935</v>
      </c>
      <c r="M44" s="1">
        <f t="shared" si="4"/>
        <v>9.8464557597252114</v>
      </c>
      <c r="N44" s="1">
        <f t="shared" si="4"/>
        <v>1.128801819801464</v>
      </c>
      <c r="O44" s="1">
        <f t="shared" si="4"/>
        <v>0.3540812185190913</v>
      </c>
      <c r="P44" s="1">
        <f t="shared" si="4"/>
        <v>10.27009091190091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4"/>
  <sheetViews>
    <sheetView topLeftCell="B13" workbookViewId="0">
      <selection sqref="A1:P36"/>
    </sheetView>
  </sheetViews>
  <sheetFormatPr baseColWidth="10" defaultRowHeight="16"/>
  <sheetData>
    <row r="1" spans="1:16">
      <c r="A1" t="s">
        <v>0</v>
      </c>
      <c r="B1" t="s">
        <v>24</v>
      </c>
      <c r="C1" t="s">
        <v>1</v>
      </c>
      <c r="D1">
        <v>5003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2213</v>
      </c>
      <c r="C5">
        <v>1.2543</v>
      </c>
      <c r="D5">
        <v>111.39</v>
      </c>
      <c r="E5">
        <v>6</v>
      </c>
      <c r="F5">
        <v>1.8235600000000001</v>
      </c>
      <c r="G5">
        <v>35.43</v>
      </c>
      <c r="H5">
        <v>3</v>
      </c>
      <c r="I5">
        <v>1.7221299999999999</v>
      </c>
      <c r="J5">
        <v>54.08</v>
      </c>
      <c r="K5">
        <v>11</v>
      </c>
      <c r="L5">
        <v>1.82161</v>
      </c>
      <c r="M5">
        <v>88.79</v>
      </c>
      <c r="N5">
        <v>3</v>
      </c>
      <c r="O5">
        <v>1.8013399999999999</v>
      </c>
      <c r="P5">
        <v>82.06</v>
      </c>
    </row>
    <row r="6" spans="1:16">
      <c r="A6">
        <v>1</v>
      </c>
      <c r="B6">
        <v>1813</v>
      </c>
      <c r="C6">
        <v>1.0888800000000001</v>
      </c>
      <c r="D6">
        <v>52.71</v>
      </c>
      <c r="E6">
        <v>6</v>
      </c>
      <c r="F6">
        <v>1.40933</v>
      </c>
      <c r="G6">
        <v>34.19</v>
      </c>
      <c r="H6">
        <v>4</v>
      </c>
      <c r="I6">
        <v>1.4072100000000001</v>
      </c>
      <c r="J6">
        <v>96.34</v>
      </c>
      <c r="K6">
        <v>62</v>
      </c>
      <c r="L6">
        <v>1.4004700000000001</v>
      </c>
      <c r="M6">
        <v>74.260000000000005</v>
      </c>
      <c r="N6">
        <v>3</v>
      </c>
      <c r="O6">
        <v>1.8013399999999999</v>
      </c>
      <c r="P6">
        <v>53.14</v>
      </c>
    </row>
    <row r="7" spans="1:16">
      <c r="A7">
        <v>2</v>
      </c>
      <c r="B7">
        <v>2004</v>
      </c>
      <c r="C7">
        <v>1.7075</v>
      </c>
      <c r="D7">
        <v>10.33</v>
      </c>
      <c r="E7">
        <v>11</v>
      </c>
      <c r="F7">
        <v>1.6957</v>
      </c>
      <c r="G7">
        <v>19.399999999999999</v>
      </c>
      <c r="H7">
        <v>8</v>
      </c>
      <c r="I7">
        <v>1.62493</v>
      </c>
      <c r="J7">
        <v>33.409999999999997</v>
      </c>
      <c r="K7">
        <v>71</v>
      </c>
      <c r="L7">
        <v>1.68608</v>
      </c>
      <c r="M7">
        <v>30.27</v>
      </c>
      <c r="N7">
        <v>5</v>
      </c>
      <c r="O7">
        <v>1.7486299999999999</v>
      </c>
      <c r="P7">
        <v>84.98</v>
      </c>
    </row>
    <row r="8" spans="1:16">
      <c r="A8">
        <v>3</v>
      </c>
      <c r="B8">
        <v>1893</v>
      </c>
      <c r="C8">
        <v>1.0432600000000001</v>
      </c>
      <c r="D8">
        <v>20.99</v>
      </c>
      <c r="E8">
        <v>7</v>
      </c>
      <c r="F8">
        <v>1.1392</v>
      </c>
      <c r="G8">
        <v>35.18</v>
      </c>
      <c r="H8">
        <v>4</v>
      </c>
      <c r="I8">
        <v>1.1261099999999999</v>
      </c>
      <c r="J8">
        <v>38.130000000000003</v>
      </c>
      <c r="K8">
        <v>107</v>
      </c>
      <c r="L8">
        <v>1.12297</v>
      </c>
      <c r="M8">
        <v>37.1</v>
      </c>
      <c r="N8">
        <v>3</v>
      </c>
      <c r="O8">
        <v>1.7221299999999999</v>
      </c>
      <c r="P8">
        <v>80.459999999999994</v>
      </c>
    </row>
    <row r="9" spans="1:16">
      <c r="A9">
        <v>4</v>
      </c>
      <c r="B9">
        <v>1923</v>
      </c>
      <c r="C9">
        <v>1.0521499999999999</v>
      </c>
      <c r="D9">
        <v>14.57</v>
      </c>
      <c r="E9">
        <v>10</v>
      </c>
      <c r="F9">
        <v>1.00922</v>
      </c>
      <c r="G9">
        <v>18.37</v>
      </c>
      <c r="H9">
        <v>7</v>
      </c>
      <c r="I9">
        <v>1.7786999999999999</v>
      </c>
      <c r="J9">
        <v>25.14</v>
      </c>
      <c r="K9">
        <v>69</v>
      </c>
      <c r="L9">
        <v>1.01031</v>
      </c>
      <c r="M9">
        <v>27.35</v>
      </c>
      <c r="N9">
        <v>3</v>
      </c>
      <c r="O9">
        <v>1.7221299999999999</v>
      </c>
      <c r="P9">
        <v>34.4</v>
      </c>
    </row>
    <row r="10" spans="1:16">
      <c r="A10">
        <v>5</v>
      </c>
      <c r="B10">
        <v>2221</v>
      </c>
      <c r="C10">
        <v>1.13791</v>
      </c>
      <c r="D10">
        <v>10.119999999999999</v>
      </c>
      <c r="E10">
        <v>5</v>
      </c>
      <c r="F10">
        <v>1.7246999999999999</v>
      </c>
      <c r="G10">
        <v>35.299999999999997</v>
      </c>
      <c r="H10">
        <v>3</v>
      </c>
      <c r="I10">
        <v>1.7221299999999999</v>
      </c>
      <c r="J10">
        <v>48.1</v>
      </c>
      <c r="K10">
        <v>35</v>
      </c>
      <c r="L10">
        <v>1.6898</v>
      </c>
      <c r="M10">
        <v>34.770000000000003</v>
      </c>
      <c r="N10">
        <v>3</v>
      </c>
      <c r="O10">
        <v>1.7221299999999999</v>
      </c>
      <c r="P10">
        <v>46.65</v>
      </c>
    </row>
    <row r="11" spans="1:16">
      <c r="A11">
        <v>6</v>
      </c>
      <c r="B11">
        <v>1822</v>
      </c>
      <c r="C11">
        <v>1.0916300000000001</v>
      </c>
      <c r="D11">
        <v>12.72</v>
      </c>
      <c r="E11">
        <v>6</v>
      </c>
      <c r="F11">
        <v>1.40933</v>
      </c>
      <c r="G11">
        <v>32.17</v>
      </c>
      <c r="H11">
        <v>4</v>
      </c>
      <c r="I11">
        <v>1.4072100000000001</v>
      </c>
      <c r="J11">
        <v>66.16</v>
      </c>
      <c r="K11">
        <v>54</v>
      </c>
      <c r="L11">
        <v>1.40924</v>
      </c>
      <c r="M11">
        <v>63.66</v>
      </c>
      <c r="N11">
        <v>3</v>
      </c>
      <c r="O11">
        <v>1.8013399999999999</v>
      </c>
      <c r="P11">
        <v>34.979999999999997</v>
      </c>
    </row>
    <row r="12" spans="1:16">
      <c r="A12">
        <v>7</v>
      </c>
      <c r="B12">
        <v>1907</v>
      </c>
      <c r="C12">
        <v>1.7247600000000001</v>
      </c>
      <c r="D12">
        <v>8.6300000000000008</v>
      </c>
      <c r="E12">
        <v>6</v>
      </c>
      <c r="F12">
        <v>1.8235600000000001</v>
      </c>
      <c r="G12">
        <v>18.079999999999998</v>
      </c>
      <c r="H12">
        <v>3</v>
      </c>
      <c r="I12">
        <v>1.7221299999999999</v>
      </c>
      <c r="J12">
        <v>47.7</v>
      </c>
      <c r="K12">
        <v>72</v>
      </c>
      <c r="L12">
        <v>1.70956</v>
      </c>
      <c r="M12">
        <v>62.52</v>
      </c>
      <c r="N12">
        <v>3</v>
      </c>
      <c r="O12">
        <v>1.8013399999999999</v>
      </c>
      <c r="P12">
        <v>48.49</v>
      </c>
    </row>
    <row r="13" spans="1:16">
      <c r="A13">
        <v>8</v>
      </c>
      <c r="B13">
        <v>1907</v>
      </c>
      <c r="C13">
        <v>1.7247600000000001</v>
      </c>
      <c r="D13">
        <v>8.91</v>
      </c>
      <c r="E13">
        <v>6</v>
      </c>
      <c r="F13">
        <v>1.8235600000000001</v>
      </c>
      <c r="G13">
        <v>17.760000000000002</v>
      </c>
      <c r="H13">
        <v>3</v>
      </c>
      <c r="I13">
        <v>1.7221299999999999</v>
      </c>
      <c r="J13">
        <v>22.1</v>
      </c>
      <c r="K13">
        <v>31</v>
      </c>
      <c r="L13">
        <v>1.79511</v>
      </c>
      <c r="M13">
        <v>19.760000000000002</v>
      </c>
      <c r="N13">
        <v>3</v>
      </c>
      <c r="O13">
        <v>1.8013399999999999</v>
      </c>
      <c r="P13">
        <v>46.48</v>
      </c>
    </row>
    <row r="14" spans="1:16">
      <c r="A14">
        <v>9</v>
      </c>
      <c r="B14">
        <v>2169</v>
      </c>
      <c r="C14">
        <v>1.27972</v>
      </c>
      <c r="D14">
        <v>16.18</v>
      </c>
      <c r="E14">
        <v>6</v>
      </c>
      <c r="F14">
        <v>1.9258200000000001</v>
      </c>
      <c r="G14">
        <v>39.46</v>
      </c>
      <c r="H14">
        <v>3</v>
      </c>
      <c r="I14">
        <v>1.7221299999999999</v>
      </c>
      <c r="J14">
        <v>32.04</v>
      </c>
      <c r="K14">
        <v>12</v>
      </c>
      <c r="L14">
        <v>1.9173899999999999</v>
      </c>
      <c r="M14">
        <v>21.18</v>
      </c>
      <c r="N14">
        <v>3</v>
      </c>
      <c r="O14">
        <v>1.7221299999999999</v>
      </c>
      <c r="P14">
        <v>43.3</v>
      </c>
    </row>
    <row r="15" spans="1:16">
      <c r="A15">
        <v>10</v>
      </c>
      <c r="B15">
        <v>2165</v>
      </c>
      <c r="C15">
        <v>1.2879</v>
      </c>
      <c r="D15">
        <v>11.65</v>
      </c>
      <c r="E15">
        <v>11</v>
      </c>
      <c r="F15">
        <v>1.6855899999999999</v>
      </c>
      <c r="G15">
        <v>23.89</v>
      </c>
      <c r="H15">
        <v>7</v>
      </c>
      <c r="I15">
        <v>1.51254</v>
      </c>
      <c r="J15">
        <v>45.12</v>
      </c>
      <c r="K15">
        <v>19</v>
      </c>
      <c r="L15">
        <v>1.6741200000000001</v>
      </c>
      <c r="M15">
        <v>48.22</v>
      </c>
      <c r="N15">
        <v>4</v>
      </c>
      <c r="O15">
        <v>1.4997499999999999</v>
      </c>
      <c r="P15">
        <v>57.41</v>
      </c>
    </row>
    <row r="16" spans="1:16">
      <c r="A16">
        <v>11</v>
      </c>
      <c r="B16">
        <v>1814</v>
      </c>
      <c r="C16">
        <v>1.08918</v>
      </c>
      <c r="D16">
        <v>10.34</v>
      </c>
      <c r="E16">
        <v>10</v>
      </c>
      <c r="F16">
        <v>1.9592700000000001</v>
      </c>
      <c r="G16">
        <v>16.75</v>
      </c>
      <c r="H16">
        <v>6</v>
      </c>
      <c r="I16">
        <v>1.1978899999999999</v>
      </c>
      <c r="J16">
        <v>20.73</v>
      </c>
      <c r="K16">
        <v>74</v>
      </c>
      <c r="L16">
        <v>1.88958</v>
      </c>
      <c r="M16">
        <v>20.03</v>
      </c>
      <c r="N16">
        <v>3</v>
      </c>
      <c r="O16">
        <v>1.8013399999999999</v>
      </c>
      <c r="P16">
        <v>42.08</v>
      </c>
    </row>
    <row r="17" spans="1:16">
      <c r="A17">
        <v>12</v>
      </c>
      <c r="B17">
        <v>2213</v>
      </c>
      <c r="C17">
        <v>1.2543</v>
      </c>
      <c r="D17">
        <v>14.34</v>
      </c>
      <c r="E17">
        <v>6</v>
      </c>
      <c r="F17">
        <v>1.8235600000000001</v>
      </c>
      <c r="G17">
        <v>23.89</v>
      </c>
      <c r="H17">
        <v>3</v>
      </c>
      <c r="I17">
        <v>1.7221299999999999</v>
      </c>
      <c r="J17">
        <v>46.59</v>
      </c>
      <c r="K17">
        <v>11</v>
      </c>
      <c r="L17">
        <v>1.82161</v>
      </c>
      <c r="M17">
        <v>40.25</v>
      </c>
      <c r="N17">
        <v>3</v>
      </c>
      <c r="O17">
        <v>1.8013399999999999</v>
      </c>
      <c r="P17">
        <v>34.770000000000003</v>
      </c>
    </row>
    <row r="18" spans="1:16">
      <c r="A18">
        <v>13</v>
      </c>
      <c r="B18">
        <v>2086</v>
      </c>
      <c r="C18">
        <v>1.0807199999999999</v>
      </c>
      <c r="D18">
        <v>8.09</v>
      </c>
      <c r="E18">
        <v>7</v>
      </c>
      <c r="F18">
        <v>1.9298200000000001</v>
      </c>
      <c r="G18">
        <v>17.45</v>
      </c>
      <c r="H18">
        <v>3</v>
      </c>
      <c r="I18">
        <v>1.8013399999999999</v>
      </c>
      <c r="J18">
        <v>25.45</v>
      </c>
      <c r="K18">
        <v>47</v>
      </c>
      <c r="L18">
        <v>1.8890199999999999</v>
      </c>
      <c r="M18">
        <v>45.87</v>
      </c>
      <c r="N18">
        <v>3</v>
      </c>
      <c r="O18">
        <v>1.7221299999999999</v>
      </c>
      <c r="P18">
        <v>69.099999999999994</v>
      </c>
    </row>
    <row r="19" spans="1:16">
      <c r="A19">
        <v>14</v>
      </c>
      <c r="B19">
        <v>2042</v>
      </c>
      <c r="C19">
        <v>1.45214</v>
      </c>
      <c r="D19">
        <v>8.2200000000000006</v>
      </c>
      <c r="E19">
        <v>7</v>
      </c>
      <c r="F19">
        <v>1.91618</v>
      </c>
      <c r="G19">
        <v>17.22</v>
      </c>
      <c r="H19">
        <v>6</v>
      </c>
      <c r="I19">
        <v>1.62114</v>
      </c>
      <c r="J19">
        <v>27.31</v>
      </c>
      <c r="K19">
        <v>84</v>
      </c>
      <c r="L19">
        <v>1.83714</v>
      </c>
      <c r="M19">
        <v>32.68</v>
      </c>
      <c r="N19">
        <v>3</v>
      </c>
      <c r="O19">
        <v>1.7221299999999999</v>
      </c>
      <c r="P19">
        <v>51.76</v>
      </c>
    </row>
    <row r="20" spans="1:16">
      <c r="A20">
        <v>15</v>
      </c>
      <c r="B20">
        <v>1955</v>
      </c>
      <c r="C20">
        <v>1.1709799999999999</v>
      </c>
      <c r="D20">
        <v>15.28</v>
      </c>
      <c r="E20">
        <v>6</v>
      </c>
      <c r="F20">
        <v>1.8203800000000001</v>
      </c>
      <c r="G20">
        <v>46.18</v>
      </c>
      <c r="H20">
        <v>3</v>
      </c>
      <c r="I20">
        <v>1.7221299999999999</v>
      </c>
      <c r="J20">
        <v>45.47</v>
      </c>
      <c r="K20">
        <v>53</v>
      </c>
      <c r="L20">
        <v>1.76738</v>
      </c>
      <c r="M20">
        <v>51.63</v>
      </c>
      <c r="N20">
        <v>3</v>
      </c>
      <c r="O20">
        <v>1.7221299999999999</v>
      </c>
      <c r="P20">
        <v>40.229999999999997</v>
      </c>
    </row>
    <row r="21" spans="1:16">
      <c r="A21">
        <v>16</v>
      </c>
      <c r="B21">
        <v>1910</v>
      </c>
      <c r="C21">
        <v>1.65069</v>
      </c>
      <c r="D21">
        <v>9.15</v>
      </c>
      <c r="E21">
        <v>6</v>
      </c>
      <c r="F21">
        <v>1.9258200000000001</v>
      </c>
      <c r="G21">
        <v>33.26</v>
      </c>
      <c r="H21">
        <v>3</v>
      </c>
      <c r="I21">
        <v>1.7221299999999999</v>
      </c>
      <c r="J21">
        <v>49.86</v>
      </c>
      <c r="K21">
        <v>70</v>
      </c>
      <c r="L21">
        <v>1.9171899999999999</v>
      </c>
      <c r="M21">
        <v>40.1</v>
      </c>
      <c r="N21">
        <v>3</v>
      </c>
      <c r="O21">
        <v>1.7221299999999999</v>
      </c>
      <c r="P21">
        <v>46.78</v>
      </c>
    </row>
    <row r="22" spans="1:16">
      <c r="A22">
        <v>17</v>
      </c>
      <c r="B22">
        <v>1956</v>
      </c>
      <c r="C22">
        <v>1.3431</v>
      </c>
      <c r="D22">
        <v>9.9700000000000006</v>
      </c>
      <c r="E22">
        <v>8</v>
      </c>
      <c r="F22">
        <v>1.7730999999999999</v>
      </c>
      <c r="G22">
        <v>17.329999999999998</v>
      </c>
      <c r="H22">
        <v>6</v>
      </c>
      <c r="I22">
        <v>1.772</v>
      </c>
      <c r="J22">
        <v>46.3</v>
      </c>
      <c r="K22">
        <v>51</v>
      </c>
      <c r="L22">
        <v>1.74078</v>
      </c>
      <c r="M22">
        <v>99.51</v>
      </c>
      <c r="N22">
        <v>3</v>
      </c>
      <c r="O22">
        <v>1.8013399999999999</v>
      </c>
      <c r="P22">
        <v>137.13</v>
      </c>
    </row>
    <row r="23" spans="1:16">
      <c r="A23">
        <v>18</v>
      </c>
      <c r="B23">
        <v>2016</v>
      </c>
      <c r="C23">
        <v>1.44309</v>
      </c>
      <c r="D23">
        <v>33.21</v>
      </c>
      <c r="E23">
        <v>10</v>
      </c>
      <c r="F23">
        <v>1.7038800000000001</v>
      </c>
      <c r="G23">
        <v>67.2</v>
      </c>
      <c r="H23">
        <v>8</v>
      </c>
      <c r="I23">
        <v>1.53209</v>
      </c>
      <c r="J23">
        <v>67.19</v>
      </c>
      <c r="K23">
        <v>99</v>
      </c>
      <c r="L23">
        <v>1.71383</v>
      </c>
      <c r="M23">
        <v>30.57</v>
      </c>
      <c r="N23">
        <v>5</v>
      </c>
      <c r="O23">
        <v>1.1374299999999999</v>
      </c>
      <c r="P23">
        <v>122.75</v>
      </c>
    </row>
    <row r="24" spans="1:16">
      <c r="A24">
        <v>19</v>
      </c>
      <c r="B24">
        <v>2058</v>
      </c>
      <c r="C24">
        <v>1.4440999999999999</v>
      </c>
      <c r="D24">
        <v>14.38</v>
      </c>
      <c r="E24">
        <v>8</v>
      </c>
      <c r="F24">
        <v>1.92187</v>
      </c>
      <c r="G24">
        <v>20.3</v>
      </c>
      <c r="H24">
        <v>6</v>
      </c>
      <c r="I24">
        <v>1.67289</v>
      </c>
      <c r="J24">
        <v>25.59</v>
      </c>
      <c r="K24">
        <v>63</v>
      </c>
      <c r="L24">
        <v>1.8589199999999999</v>
      </c>
      <c r="M24">
        <v>25.32</v>
      </c>
      <c r="N24">
        <v>4</v>
      </c>
      <c r="O24">
        <v>1.78321</v>
      </c>
      <c r="P24">
        <v>49.73</v>
      </c>
    </row>
    <row r="25" spans="1:16">
      <c r="A25">
        <v>20</v>
      </c>
      <c r="B25">
        <v>1865</v>
      </c>
      <c r="C25">
        <v>1.6671800000000001</v>
      </c>
      <c r="D25">
        <v>9.17</v>
      </c>
      <c r="E25">
        <v>10</v>
      </c>
      <c r="F25">
        <v>1.7711399999999999</v>
      </c>
      <c r="G25">
        <v>24.16</v>
      </c>
      <c r="H25">
        <v>6</v>
      </c>
      <c r="I25">
        <v>1.5779700000000001</v>
      </c>
      <c r="J25">
        <v>25.11</v>
      </c>
      <c r="K25">
        <v>31</v>
      </c>
      <c r="L25">
        <v>1.7523200000000001</v>
      </c>
      <c r="M25">
        <v>31.48</v>
      </c>
      <c r="N25">
        <v>5</v>
      </c>
      <c r="O25">
        <v>1.25484</v>
      </c>
      <c r="P25">
        <v>69.430000000000007</v>
      </c>
    </row>
    <row r="26" spans="1:16">
      <c r="A26">
        <v>21</v>
      </c>
      <c r="B26">
        <v>2226</v>
      </c>
      <c r="C26">
        <v>1.1362300000000001</v>
      </c>
      <c r="D26">
        <v>18.850000000000001</v>
      </c>
      <c r="E26">
        <v>5</v>
      </c>
      <c r="F26">
        <v>1.7246999999999999</v>
      </c>
      <c r="G26">
        <v>31.53</v>
      </c>
      <c r="H26">
        <v>3</v>
      </c>
      <c r="I26">
        <v>1.7221299999999999</v>
      </c>
      <c r="J26">
        <v>21.47</v>
      </c>
      <c r="K26">
        <v>17</v>
      </c>
      <c r="L26">
        <v>1.7120500000000001</v>
      </c>
      <c r="M26">
        <v>22.65</v>
      </c>
      <c r="N26">
        <v>3</v>
      </c>
      <c r="O26">
        <v>1.7221299999999999</v>
      </c>
      <c r="P26">
        <v>37.07</v>
      </c>
    </row>
    <row r="27" spans="1:16">
      <c r="A27">
        <v>22</v>
      </c>
      <c r="B27">
        <v>1603</v>
      </c>
      <c r="C27">
        <v>1.5466500000000001</v>
      </c>
      <c r="D27">
        <v>16.940000000000001</v>
      </c>
      <c r="E27">
        <v>8</v>
      </c>
      <c r="F27">
        <v>1.2891699999999999</v>
      </c>
      <c r="G27">
        <v>26.76</v>
      </c>
      <c r="H27">
        <v>4</v>
      </c>
      <c r="I27">
        <v>1.1619200000000001</v>
      </c>
      <c r="J27">
        <v>41.77</v>
      </c>
      <c r="K27">
        <v>21</v>
      </c>
      <c r="L27">
        <v>1.2763899999999999</v>
      </c>
      <c r="M27">
        <v>39.92</v>
      </c>
      <c r="N27">
        <v>5</v>
      </c>
      <c r="O27">
        <v>1.25993</v>
      </c>
      <c r="P27">
        <v>37.130000000000003</v>
      </c>
    </row>
    <row r="28" spans="1:16">
      <c r="A28">
        <v>23</v>
      </c>
      <c r="B28">
        <v>1915</v>
      </c>
      <c r="C28">
        <v>1.42652</v>
      </c>
      <c r="D28">
        <v>16.87</v>
      </c>
      <c r="E28">
        <v>9</v>
      </c>
      <c r="F28">
        <v>1.46654</v>
      </c>
      <c r="G28">
        <v>28.63</v>
      </c>
      <c r="H28">
        <v>7</v>
      </c>
      <c r="I28">
        <v>1.21485</v>
      </c>
      <c r="J28">
        <v>53.3</v>
      </c>
      <c r="K28">
        <v>66</v>
      </c>
      <c r="L28">
        <v>1.43468</v>
      </c>
      <c r="M28">
        <v>46.24</v>
      </c>
      <c r="N28">
        <v>5</v>
      </c>
      <c r="O28">
        <v>1.1651499999999999</v>
      </c>
      <c r="P28">
        <v>45.28</v>
      </c>
    </row>
    <row r="29" spans="1:16">
      <c r="A29">
        <v>24</v>
      </c>
      <c r="B29">
        <v>2212</v>
      </c>
      <c r="C29">
        <v>1.2546900000000001</v>
      </c>
      <c r="D29">
        <v>12.29</v>
      </c>
      <c r="E29">
        <v>6</v>
      </c>
      <c r="F29">
        <v>1.8235600000000001</v>
      </c>
      <c r="G29">
        <v>32.82</v>
      </c>
      <c r="H29">
        <v>3</v>
      </c>
      <c r="I29">
        <v>1.7221299999999999</v>
      </c>
      <c r="J29">
        <v>55.5</v>
      </c>
      <c r="K29">
        <v>15</v>
      </c>
      <c r="L29">
        <v>1.81752</v>
      </c>
      <c r="M29">
        <v>68.63</v>
      </c>
      <c r="N29">
        <v>3</v>
      </c>
      <c r="O29">
        <v>1.8013399999999999</v>
      </c>
      <c r="P29">
        <v>40.840000000000003</v>
      </c>
    </row>
    <row r="30" spans="1:16">
      <c r="A30">
        <v>25</v>
      </c>
      <c r="B30">
        <v>1789</v>
      </c>
      <c r="C30">
        <v>1.08152</v>
      </c>
      <c r="D30">
        <v>8.9499999999999993</v>
      </c>
      <c r="E30">
        <v>6</v>
      </c>
      <c r="F30">
        <v>1.40933</v>
      </c>
      <c r="G30">
        <v>18.89</v>
      </c>
      <c r="H30">
        <v>4</v>
      </c>
      <c r="I30">
        <v>1.4072100000000001</v>
      </c>
      <c r="J30">
        <v>23.01</v>
      </c>
      <c r="K30">
        <v>92</v>
      </c>
      <c r="L30">
        <v>1.3808400000000001</v>
      </c>
      <c r="M30">
        <v>21.02</v>
      </c>
      <c r="N30">
        <v>3</v>
      </c>
      <c r="O30">
        <v>1.8013399999999999</v>
      </c>
      <c r="P30">
        <v>33.76</v>
      </c>
    </row>
    <row r="31" spans="1:16">
      <c r="A31">
        <v>26</v>
      </c>
      <c r="B31">
        <v>2130</v>
      </c>
      <c r="C31">
        <v>1.32043</v>
      </c>
      <c r="D31">
        <v>25.47</v>
      </c>
      <c r="E31">
        <v>10</v>
      </c>
      <c r="F31">
        <v>1.7650300000000001</v>
      </c>
      <c r="G31">
        <v>32.25</v>
      </c>
      <c r="H31">
        <v>7</v>
      </c>
      <c r="I31">
        <v>1.7437</v>
      </c>
      <c r="J31">
        <v>33.1</v>
      </c>
      <c r="K31">
        <v>22</v>
      </c>
      <c r="L31">
        <v>1.76251</v>
      </c>
      <c r="M31">
        <v>33.47</v>
      </c>
      <c r="N31">
        <v>4</v>
      </c>
      <c r="O31">
        <v>1.73308</v>
      </c>
      <c r="P31">
        <v>32.07</v>
      </c>
    </row>
    <row r="32" spans="1:16">
      <c r="A32">
        <v>27</v>
      </c>
      <c r="B32">
        <v>1776</v>
      </c>
      <c r="C32">
        <v>1.0711900000000001</v>
      </c>
      <c r="D32">
        <v>8.08</v>
      </c>
      <c r="E32">
        <v>8</v>
      </c>
      <c r="F32">
        <v>1.9083000000000001</v>
      </c>
      <c r="G32">
        <v>17.87</v>
      </c>
      <c r="H32">
        <v>6</v>
      </c>
      <c r="I32">
        <v>1.88703</v>
      </c>
      <c r="J32">
        <v>22.19</v>
      </c>
      <c r="K32">
        <v>53</v>
      </c>
      <c r="L32">
        <v>1.8874899999999999</v>
      </c>
      <c r="M32">
        <v>35.369999999999997</v>
      </c>
      <c r="N32">
        <v>6</v>
      </c>
      <c r="O32">
        <v>1.36832</v>
      </c>
      <c r="P32">
        <v>69</v>
      </c>
    </row>
    <row r="33" spans="1:16">
      <c r="A33">
        <v>28</v>
      </c>
      <c r="B33">
        <v>1929</v>
      </c>
      <c r="C33">
        <v>1.0046299999999999</v>
      </c>
      <c r="D33">
        <v>13.78</v>
      </c>
      <c r="E33">
        <v>7</v>
      </c>
      <c r="F33">
        <v>1.9298200000000001</v>
      </c>
      <c r="G33">
        <v>18.510000000000002</v>
      </c>
      <c r="H33">
        <v>3</v>
      </c>
      <c r="I33">
        <v>1.8013399999999999</v>
      </c>
      <c r="J33">
        <v>24.89</v>
      </c>
      <c r="K33">
        <v>46</v>
      </c>
      <c r="L33">
        <v>1.9000600000000001</v>
      </c>
      <c r="M33">
        <v>20.32</v>
      </c>
      <c r="N33">
        <v>3</v>
      </c>
      <c r="O33">
        <v>1.7221299999999999</v>
      </c>
      <c r="P33">
        <v>32</v>
      </c>
    </row>
    <row r="34" spans="1:16">
      <c r="A34">
        <v>29</v>
      </c>
      <c r="B34">
        <v>1913</v>
      </c>
      <c r="C34">
        <v>1.7206900000000001</v>
      </c>
      <c r="D34">
        <v>7.81</v>
      </c>
      <c r="E34">
        <v>6</v>
      </c>
      <c r="F34">
        <v>1.8235600000000001</v>
      </c>
      <c r="G34">
        <v>18.55</v>
      </c>
      <c r="H34">
        <v>3</v>
      </c>
      <c r="I34">
        <v>1.7221299999999999</v>
      </c>
      <c r="J34">
        <v>43.51</v>
      </c>
      <c r="K34">
        <v>43</v>
      </c>
      <c r="L34">
        <v>1.7832300000000001</v>
      </c>
      <c r="M34">
        <v>47.1</v>
      </c>
      <c r="N34">
        <v>3</v>
      </c>
      <c r="O34">
        <v>1.8013399999999999</v>
      </c>
      <c r="P34">
        <v>40.36</v>
      </c>
    </row>
    <row r="35" spans="1:16">
      <c r="A35">
        <v>30</v>
      </c>
      <c r="B35">
        <v>1908</v>
      </c>
      <c r="C35">
        <v>1.4976499999999999</v>
      </c>
      <c r="D35">
        <v>7.73</v>
      </c>
      <c r="E35">
        <v>7</v>
      </c>
      <c r="F35">
        <v>1.30982</v>
      </c>
      <c r="G35">
        <v>18.260000000000002</v>
      </c>
      <c r="H35">
        <v>5</v>
      </c>
      <c r="I35">
        <v>1.30783</v>
      </c>
      <c r="J35">
        <v>20.309999999999999</v>
      </c>
      <c r="K35">
        <v>61</v>
      </c>
      <c r="L35">
        <v>1.2728900000000001</v>
      </c>
      <c r="M35">
        <v>20.91</v>
      </c>
      <c r="N35">
        <v>5</v>
      </c>
      <c r="O35">
        <v>1.7516499999999999</v>
      </c>
      <c r="P35">
        <v>56.75</v>
      </c>
    </row>
    <row r="36" spans="1:16">
      <c r="A36">
        <v>31</v>
      </c>
      <c r="B36">
        <v>1915</v>
      </c>
      <c r="C36">
        <v>1.42652</v>
      </c>
      <c r="D36">
        <v>13.25</v>
      </c>
      <c r="E36">
        <v>7</v>
      </c>
      <c r="F36">
        <v>1.48143</v>
      </c>
      <c r="G36">
        <v>31</v>
      </c>
      <c r="H36">
        <v>5</v>
      </c>
      <c r="I36">
        <v>1.2267699999999999</v>
      </c>
      <c r="J36">
        <v>31.07</v>
      </c>
      <c r="K36">
        <v>68</v>
      </c>
      <c r="L36">
        <v>1.4368099999999999</v>
      </c>
      <c r="M36">
        <v>21.49</v>
      </c>
      <c r="N36">
        <v>5</v>
      </c>
      <c r="O36">
        <v>1.1651499999999999</v>
      </c>
      <c r="P36">
        <v>35.450000000000003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2226</v>
      </c>
      <c r="C40" s="1">
        <f t="shared" ref="C40:P40" si="0">MAX(C5:C36)</f>
        <v>1.7247600000000001</v>
      </c>
      <c r="D40" s="1">
        <f t="shared" si="0"/>
        <v>111.39</v>
      </c>
      <c r="E40" s="1">
        <f t="shared" si="0"/>
        <v>11</v>
      </c>
      <c r="F40" s="1">
        <f t="shared" si="0"/>
        <v>1.9592700000000001</v>
      </c>
      <c r="G40" s="1">
        <f t="shared" si="0"/>
        <v>67.2</v>
      </c>
      <c r="H40" s="1">
        <f t="shared" si="0"/>
        <v>8</v>
      </c>
      <c r="I40" s="1">
        <f t="shared" si="0"/>
        <v>1.88703</v>
      </c>
      <c r="J40" s="1">
        <f t="shared" si="0"/>
        <v>96.34</v>
      </c>
      <c r="K40" s="1">
        <f t="shared" si="0"/>
        <v>107</v>
      </c>
      <c r="L40" s="1">
        <f t="shared" si="0"/>
        <v>1.9173899999999999</v>
      </c>
      <c r="M40" s="1">
        <f t="shared" si="0"/>
        <v>99.51</v>
      </c>
      <c r="N40" s="1">
        <f t="shared" si="0"/>
        <v>6</v>
      </c>
      <c r="O40" s="1">
        <f t="shared" si="0"/>
        <v>1.8013399999999999</v>
      </c>
      <c r="P40" s="1">
        <f t="shared" si="0"/>
        <v>137.13</v>
      </c>
    </row>
    <row r="41" spans="1:16">
      <c r="A41" t="s">
        <v>12</v>
      </c>
      <c r="B41" s="1">
        <f>MIN(B5:B36)</f>
        <v>1603</v>
      </c>
      <c r="C41" s="1">
        <f t="shared" ref="C41:P41" si="1">MIN(C5:C36)</f>
        <v>1.0046299999999999</v>
      </c>
      <c r="D41" s="1">
        <f t="shared" si="1"/>
        <v>7.73</v>
      </c>
      <c r="E41" s="1">
        <f t="shared" si="1"/>
        <v>5</v>
      </c>
      <c r="F41" s="1">
        <f t="shared" si="1"/>
        <v>1.00922</v>
      </c>
      <c r="G41" s="1">
        <f t="shared" si="1"/>
        <v>16.75</v>
      </c>
      <c r="H41" s="1">
        <f t="shared" si="1"/>
        <v>3</v>
      </c>
      <c r="I41" s="1">
        <f t="shared" si="1"/>
        <v>1.1261099999999999</v>
      </c>
      <c r="J41" s="1">
        <f t="shared" si="1"/>
        <v>20.309999999999999</v>
      </c>
      <c r="K41" s="1">
        <f t="shared" si="1"/>
        <v>11</v>
      </c>
      <c r="L41" s="1">
        <f t="shared" si="1"/>
        <v>1.01031</v>
      </c>
      <c r="M41" s="1">
        <f t="shared" si="1"/>
        <v>19.760000000000002</v>
      </c>
      <c r="N41" s="1">
        <f t="shared" si="1"/>
        <v>3</v>
      </c>
      <c r="O41" s="1">
        <f t="shared" si="1"/>
        <v>1.1374299999999999</v>
      </c>
      <c r="P41" s="1">
        <f t="shared" si="1"/>
        <v>32</v>
      </c>
    </row>
    <row r="42" spans="1:16">
      <c r="A42" t="s">
        <v>13</v>
      </c>
      <c r="B42" s="1">
        <f>MEDIAN(B5:B36)</f>
        <v>1926</v>
      </c>
      <c r="C42" s="1">
        <f t="shared" ref="C42:P42" si="2">MEDIAN(C5:C36)</f>
        <v>1.2838099999999999</v>
      </c>
      <c r="D42" s="1">
        <f t="shared" si="2"/>
        <v>12.504999999999999</v>
      </c>
      <c r="E42" s="1">
        <f t="shared" si="2"/>
        <v>7</v>
      </c>
      <c r="F42" s="1">
        <f t="shared" si="2"/>
        <v>1.7721199999999999</v>
      </c>
      <c r="G42" s="1">
        <f t="shared" si="2"/>
        <v>24.024999999999999</v>
      </c>
      <c r="H42" s="1">
        <f t="shared" si="2"/>
        <v>4</v>
      </c>
      <c r="I42" s="1">
        <f t="shared" si="2"/>
        <v>1.7221299999999999</v>
      </c>
      <c r="J42" s="1">
        <f t="shared" si="2"/>
        <v>35.769999999999996</v>
      </c>
      <c r="K42" s="1">
        <f t="shared" si="2"/>
        <v>53</v>
      </c>
      <c r="L42" s="1">
        <f t="shared" si="2"/>
        <v>1.74655</v>
      </c>
      <c r="M42" s="1">
        <f t="shared" si="2"/>
        <v>35.07</v>
      </c>
      <c r="N42" s="1">
        <f t="shared" si="2"/>
        <v>3</v>
      </c>
      <c r="O42" s="1">
        <f t="shared" si="2"/>
        <v>1.7221299999999999</v>
      </c>
      <c r="P42" s="1">
        <f t="shared" si="2"/>
        <v>46.564999999999998</v>
      </c>
    </row>
    <row r="43" spans="1:16">
      <c r="A43" t="s">
        <v>14</v>
      </c>
      <c r="B43" s="1">
        <f>AVERAGE(B5:B36)</f>
        <v>1977.125</v>
      </c>
      <c r="C43" s="1">
        <f t="shared" ref="C43:P43" si="3">AVERAGE(C5:C36)</f>
        <v>1.3273428125</v>
      </c>
      <c r="D43" s="1">
        <f t="shared" si="3"/>
        <v>17.511562499999997</v>
      </c>
      <c r="E43" s="1">
        <f t="shared" si="3"/>
        <v>7.40625</v>
      </c>
      <c r="F43" s="1">
        <f t="shared" si="3"/>
        <v>1.6858078125000002</v>
      </c>
      <c r="G43" s="1">
        <f t="shared" si="3"/>
        <v>27.126249999999995</v>
      </c>
      <c r="H43" s="1">
        <f t="shared" si="3"/>
        <v>4.65625</v>
      </c>
      <c r="I43" s="1">
        <f t="shared" si="3"/>
        <v>1.5851906250000003</v>
      </c>
      <c r="J43" s="1">
        <f t="shared" si="3"/>
        <v>39.313749999999999</v>
      </c>
      <c r="K43" s="1">
        <f t="shared" si="3"/>
        <v>50.9375</v>
      </c>
      <c r="L43" s="1">
        <f t="shared" si="3"/>
        <v>1.6590281250000001</v>
      </c>
      <c r="M43" s="1">
        <f t="shared" si="3"/>
        <v>40.701249999999987</v>
      </c>
      <c r="N43" s="1">
        <f t="shared" si="3"/>
        <v>3.625</v>
      </c>
      <c r="O43" s="1">
        <f t="shared" si="3"/>
        <v>1.6532243749999997</v>
      </c>
      <c r="P43" s="1">
        <f t="shared" si="3"/>
        <v>54.244374999999991</v>
      </c>
    </row>
    <row r="44" spans="1:16">
      <c r="A44" t="s">
        <v>15</v>
      </c>
      <c r="B44" s="1">
        <f>STDEV(B5:B36)</f>
        <v>156.40904808412026</v>
      </c>
      <c r="C44" s="1">
        <f t="shared" ref="C44:P44" si="4">STDEV(C5:C36)</f>
        <v>0.2347310436914547</v>
      </c>
      <c r="D44" s="1">
        <f t="shared" si="4"/>
        <v>19.312767147645975</v>
      </c>
      <c r="E44" s="1">
        <f t="shared" si="4"/>
        <v>1.7935255423237613</v>
      </c>
      <c r="F44" s="1">
        <f t="shared" si="4"/>
        <v>0.25389709890139261</v>
      </c>
      <c r="G44" s="1">
        <f t="shared" si="4"/>
        <v>10.906799225934199</v>
      </c>
      <c r="H44" s="1">
        <f t="shared" si="4"/>
        <v>1.7340866332490148</v>
      </c>
      <c r="I44" s="1">
        <f t="shared" si="4"/>
        <v>0.21883109701079942</v>
      </c>
      <c r="J44" s="1">
        <f t="shared" si="4"/>
        <v>17.126199275172034</v>
      </c>
      <c r="K44" s="1">
        <f t="shared" si="4"/>
        <v>26.796650609189346</v>
      </c>
      <c r="L44" s="1">
        <f t="shared" si="4"/>
        <v>0.24701550388115689</v>
      </c>
      <c r="M44" s="1">
        <f t="shared" si="4"/>
        <v>20.475514842477519</v>
      </c>
      <c r="N44" s="1">
        <f t="shared" si="4"/>
        <v>0.94185814971976989</v>
      </c>
      <c r="O44" s="1">
        <f t="shared" si="4"/>
        <v>0.21934330028574317</v>
      </c>
      <c r="P44" s="1">
        <f t="shared" si="4"/>
        <v>24.949577530523701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4"/>
  <sheetViews>
    <sheetView topLeftCell="A14" workbookViewId="0">
      <selection sqref="A1:P36"/>
    </sheetView>
  </sheetViews>
  <sheetFormatPr baseColWidth="10" defaultRowHeight="16"/>
  <sheetData>
    <row r="1" spans="1:16">
      <c r="A1" t="s">
        <v>0</v>
      </c>
      <c r="B1" t="s">
        <v>23</v>
      </c>
      <c r="C1" t="s">
        <v>1</v>
      </c>
      <c r="D1">
        <v>50003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13869</v>
      </c>
      <c r="C5">
        <v>1.3358699999999999</v>
      </c>
      <c r="D5">
        <v>116.46</v>
      </c>
      <c r="E5">
        <v>7</v>
      </c>
      <c r="F5">
        <v>1.0477399999999999</v>
      </c>
      <c r="G5">
        <v>408.01</v>
      </c>
      <c r="H5">
        <v>4</v>
      </c>
      <c r="I5">
        <v>1.2039200000000001</v>
      </c>
      <c r="J5">
        <v>354.2</v>
      </c>
      <c r="K5">
        <v>56</v>
      </c>
      <c r="L5">
        <v>1.0483199999999999</v>
      </c>
      <c r="M5">
        <v>591.47</v>
      </c>
      <c r="N5">
        <v>3</v>
      </c>
      <c r="O5">
        <v>1.0664499999999999</v>
      </c>
      <c r="P5">
        <v>1072.4100000000001</v>
      </c>
    </row>
    <row r="6" spans="1:16">
      <c r="A6">
        <v>1</v>
      </c>
      <c r="B6">
        <v>15422</v>
      </c>
      <c r="C6">
        <v>1.56549</v>
      </c>
      <c r="D6">
        <v>157.41999999999999</v>
      </c>
      <c r="E6">
        <v>5</v>
      </c>
      <c r="F6">
        <v>1.9323300000000001</v>
      </c>
      <c r="G6">
        <v>279.93</v>
      </c>
      <c r="H6">
        <v>3</v>
      </c>
      <c r="I6">
        <v>1.0664499999999999</v>
      </c>
      <c r="J6">
        <v>398.55</v>
      </c>
      <c r="K6">
        <v>118</v>
      </c>
      <c r="L6">
        <v>1.9260900000000001</v>
      </c>
      <c r="M6">
        <v>390.25</v>
      </c>
      <c r="N6">
        <v>4</v>
      </c>
      <c r="O6">
        <v>1.8733</v>
      </c>
      <c r="P6">
        <v>556.27</v>
      </c>
    </row>
    <row r="7" spans="1:16">
      <c r="A7">
        <v>2</v>
      </c>
      <c r="B7">
        <v>13302</v>
      </c>
      <c r="C7">
        <v>1.3676900000000001</v>
      </c>
      <c r="D7">
        <v>116.69</v>
      </c>
      <c r="E7">
        <v>7</v>
      </c>
      <c r="F7">
        <v>1.0477399999999999</v>
      </c>
      <c r="G7">
        <v>346.61</v>
      </c>
      <c r="H7">
        <v>4</v>
      </c>
      <c r="I7">
        <v>1.2039200000000001</v>
      </c>
      <c r="J7">
        <v>487.81</v>
      </c>
      <c r="K7">
        <v>67</v>
      </c>
      <c r="L7">
        <v>1.04877</v>
      </c>
      <c r="M7">
        <v>471.72</v>
      </c>
      <c r="N7">
        <v>3</v>
      </c>
      <c r="O7">
        <v>1.0664499999999999</v>
      </c>
      <c r="P7">
        <v>980.19</v>
      </c>
    </row>
    <row r="8" spans="1:16">
      <c r="A8">
        <v>3</v>
      </c>
      <c r="B8">
        <v>16386</v>
      </c>
      <c r="C8">
        <v>1.3704400000000001</v>
      </c>
      <c r="D8">
        <v>131.66999999999999</v>
      </c>
      <c r="E8">
        <v>5</v>
      </c>
      <c r="F8">
        <v>1.52668</v>
      </c>
      <c r="G8">
        <v>309.64</v>
      </c>
      <c r="H8">
        <v>3</v>
      </c>
      <c r="I8">
        <v>1.19113</v>
      </c>
      <c r="J8">
        <v>462.41</v>
      </c>
      <c r="K8">
        <v>87</v>
      </c>
      <c r="L8">
        <v>1.5212699999999999</v>
      </c>
      <c r="M8">
        <v>373.91</v>
      </c>
      <c r="N8">
        <v>3</v>
      </c>
      <c r="O8">
        <v>1.0664499999999999</v>
      </c>
      <c r="P8">
        <v>530.03</v>
      </c>
    </row>
    <row r="9" spans="1:16">
      <c r="A9">
        <v>4</v>
      </c>
      <c r="B9">
        <v>15693</v>
      </c>
      <c r="C9">
        <v>1.3722099999999999</v>
      </c>
      <c r="D9">
        <v>144.9</v>
      </c>
      <c r="E9">
        <v>5</v>
      </c>
      <c r="F9">
        <v>1.52668</v>
      </c>
      <c r="G9">
        <v>336.97</v>
      </c>
      <c r="H9">
        <v>3</v>
      </c>
      <c r="I9">
        <v>1.19113</v>
      </c>
      <c r="J9">
        <v>371.05</v>
      </c>
      <c r="K9">
        <v>152</v>
      </c>
      <c r="L9">
        <v>1.5117700000000001</v>
      </c>
      <c r="M9">
        <v>369.94</v>
      </c>
      <c r="N9">
        <v>3</v>
      </c>
      <c r="O9">
        <v>1.0664499999999999</v>
      </c>
      <c r="P9">
        <v>763.98</v>
      </c>
    </row>
    <row r="10" spans="1:16">
      <c r="A10">
        <v>5</v>
      </c>
      <c r="B10">
        <v>17381</v>
      </c>
      <c r="C10">
        <v>1.1655</v>
      </c>
      <c r="D10">
        <v>109.02</v>
      </c>
      <c r="E10">
        <v>7</v>
      </c>
      <c r="F10">
        <v>1.0592999999999999</v>
      </c>
      <c r="G10">
        <v>297.54000000000002</v>
      </c>
      <c r="H10">
        <v>5</v>
      </c>
      <c r="I10">
        <v>1.0581100000000001</v>
      </c>
      <c r="J10">
        <v>435.6</v>
      </c>
      <c r="K10">
        <v>78</v>
      </c>
      <c r="L10">
        <v>1.05671</v>
      </c>
      <c r="M10">
        <v>354.63</v>
      </c>
      <c r="N10">
        <v>6</v>
      </c>
      <c r="O10">
        <v>1.2073199999999999</v>
      </c>
      <c r="P10">
        <v>555.97</v>
      </c>
    </row>
    <row r="11" spans="1:16">
      <c r="A11">
        <v>6</v>
      </c>
      <c r="B11">
        <v>16445</v>
      </c>
      <c r="C11">
        <v>1.3667199999999999</v>
      </c>
      <c r="D11">
        <v>138.02000000000001</v>
      </c>
      <c r="E11">
        <v>5</v>
      </c>
      <c r="F11">
        <v>1.52668</v>
      </c>
      <c r="G11">
        <v>258.7</v>
      </c>
      <c r="H11">
        <v>3</v>
      </c>
      <c r="I11">
        <v>1.19113</v>
      </c>
      <c r="J11">
        <v>391.59</v>
      </c>
      <c r="K11">
        <v>162</v>
      </c>
      <c r="L11">
        <v>1.5107600000000001</v>
      </c>
      <c r="M11">
        <v>369.24</v>
      </c>
      <c r="N11">
        <v>3</v>
      </c>
      <c r="O11">
        <v>1.0664499999999999</v>
      </c>
      <c r="P11">
        <v>618.80999999999995</v>
      </c>
    </row>
    <row r="12" spans="1:16">
      <c r="A12">
        <v>7</v>
      </c>
      <c r="B12">
        <v>17268</v>
      </c>
      <c r="C12">
        <v>1.1400699999999999</v>
      </c>
      <c r="D12">
        <v>187.86</v>
      </c>
      <c r="E12">
        <v>14</v>
      </c>
      <c r="F12">
        <v>1.9918100000000001</v>
      </c>
      <c r="G12">
        <v>474.9</v>
      </c>
      <c r="H12">
        <v>11</v>
      </c>
      <c r="I12">
        <v>1.5165500000000001</v>
      </c>
      <c r="J12">
        <v>396.92</v>
      </c>
      <c r="K12">
        <v>266</v>
      </c>
      <c r="L12">
        <v>1.9743200000000001</v>
      </c>
      <c r="M12">
        <v>386.01</v>
      </c>
      <c r="N12">
        <v>6</v>
      </c>
      <c r="O12">
        <v>1.7373700000000001</v>
      </c>
      <c r="P12">
        <v>695.5</v>
      </c>
    </row>
    <row r="13" spans="1:16">
      <c r="A13">
        <v>8</v>
      </c>
      <c r="B13">
        <v>19644</v>
      </c>
      <c r="C13">
        <v>1.0978000000000001</v>
      </c>
      <c r="D13">
        <v>126.32</v>
      </c>
      <c r="E13">
        <v>12</v>
      </c>
      <c r="F13">
        <v>1.6855100000000001</v>
      </c>
      <c r="G13">
        <v>294.63</v>
      </c>
      <c r="H13">
        <v>8</v>
      </c>
      <c r="I13">
        <v>1.0372699999999999</v>
      </c>
      <c r="J13">
        <v>604.59</v>
      </c>
      <c r="K13">
        <v>143</v>
      </c>
      <c r="L13">
        <v>1.67517</v>
      </c>
      <c r="M13">
        <v>999.32</v>
      </c>
      <c r="N13">
        <v>5</v>
      </c>
      <c r="O13">
        <v>1.27237</v>
      </c>
      <c r="P13">
        <v>824.92</v>
      </c>
    </row>
    <row r="14" spans="1:16">
      <c r="A14">
        <v>9</v>
      </c>
      <c r="B14">
        <v>17167</v>
      </c>
      <c r="C14">
        <v>1.1413500000000001</v>
      </c>
      <c r="D14">
        <v>193.14</v>
      </c>
      <c r="E14">
        <v>5</v>
      </c>
      <c r="F14">
        <v>1.9323300000000001</v>
      </c>
      <c r="G14">
        <v>501.53</v>
      </c>
      <c r="H14">
        <v>4</v>
      </c>
      <c r="I14">
        <v>1.2172099999999999</v>
      </c>
      <c r="J14">
        <v>603.49</v>
      </c>
      <c r="K14">
        <v>223</v>
      </c>
      <c r="L14">
        <v>1.9071</v>
      </c>
      <c r="M14">
        <v>690.97</v>
      </c>
      <c r="N14">
        <v>4</v>
      </c>
      <c r="O14">
        <v>1.8733</v>
      </c>
      <c r="P14">
        <v>511.83</v>
      </c>
    </row>
    <row r="15" spans="1:16">
      <c r="A15">
        <v>10</v>
      </c>
      <c r="B15">
        <v>15841</v>
      </c>
      <c r="C15">
        <v>1.41187</v>
      </c>
      <c r="D15">
        <v>136.97</v>
      </c>
      <c r="E15">
        <v>5</v>
      </c>
      <c r="F15">
        <v>1.52668</v>
      </c>
      <c r="G15">
        <v>274.86</v>
      </c>
      <c r="H15">
        <v>3</v>
      </c>
      <c r="I15">
        <v>1.19113</v>
      </c>
      <c r="J15">
        <v>341.28</v>
      </c>
      <c r="K15">
        <v>139</v>
      </c>
      <c r="L15">
        <v>1.51755</v>
      </c>
      <c r="M15">
        <v>355.67</v>
      </c>
      <c r="N15">
        <v>3</v>
      </c>
      <c r="O15">
        <v>1.0664499999999999</v>
      </c>
      <c r="P15">
        <v>484.05</v>
      </c>
    </row>
    <row r="16" spans="1:16">
      <c r="A16">
        <v>11</v>
      </c>
      <c r="B16">
        <v>17457</v>
      </c>
      <c r="C16">
        <v>1.21376</v>
      </c>
      <c r="D16">
        <v>107.58</v>
      </c>
      <c r="E16">
        <v>7</v>
      </c>
      <c r="F16">
        <v>1.52627</v>
      </c>
      <c r="G16">
        <v>264.97000000000003</v>
      </c>
      <c r="H16">
        <v>5</v>
      </c>
      <c r="I16">
        <v>1.3045199999999999</v>
      </c>
      <c r="J16">
        <v>310.18</v>
      </c>
      <c r="K16">
        <v>276</v>
      </c>
      <c r="L16">
        <v>1.5167200000000001</v>
      </c>
      <c r="M16">
        <v>354.29</v>
      </c>
      <c r="N16">
        <v>5</v>
      </c>
      <c r="O16">
        <v>1.52668</v>
      </c>
      <c r="P16">
        <v>485.98</v>
      </c>
    </row>
    <row r="17" spans="1:16">
      <c r="A17">
        <v>12</v>
      </c>
      <c r="B17">
        <v>15409</v>
      </c>
      <c r="C17">
        <v>1.56498</v>
      </c>
      <c r="D17">
        <v>120.51</v>
      </c>
      <c r="E17">
        <v>5</v>
      </c>
      <c r="F17">
        <v>1.9323300000000001</v>
      </c>
      <c r="G17">
        <v>272.49</v>
      </c>
      <c r="H17">
        <v>3</v>
      </c>
      <c r="I17">
        <v>1.0664499999999999</v>
      </c>
      <c r="J17">
        <v>355.33</v>
      </c>
      <c r="K17">
        <v>150</v>
      </c>
      <c r="L17">
        <v>1.9226700000000001</v>
      </c>
      <c r="M17">
        <v>340.74</v>
      </c>
      <c r="N17">
        <v>4</v>
      </c>
      <c r="O17">
        <v>1.8733</v>
      </c>
      <c r="P17">
        <v>527.28</v>
      </c>
    </row>
    <row r="18" spans="1:16">
      <c r="A18">
        <v>13</v>
      </c>
      <c r="B18">
        <v>14427</v>
      </c>
      <c r="C18">
        <v>1.50583</v>
      </c>
      <c r="D18">
        <v>106.35</v>
      </c>
      <c r="E18">
        <v>5</v>
      </c>
      <c r="F18">
        <v>1.52668</v>
      </c>
      <c r="G18">
        <v>254.71</v>
      </c>
      <c r="H18">
        <v>3</v>
      </c>
      <c r="I18">
        <v>1.19113</v>
      </c>
      <c r="J18">
        <v>318.94</v>
      </c>
      <c r="K18">
        <v>131</v>
      </c>
      <c r="L18">
        <v>1.51816</v>
      </c>
      <c r="M18">
        <v>409.53</v>
      </c>
      <c r="N18">
        <v>3</v>
      </c>
      <c r="O18">
        <v>1.0664499999999999</v>
      </c>
      <c r="P18">
        <v>531.13</v>
      </c>
    </row>
    <row r="19" spans="1:16">
      <c r="A19">
        <v>14</v>
      </c>
      <c r="B19">
        <v>14863</v>
      </c>
      <c r="C19">
        <v>1.23576</v>
      </c>
      <c r="D19">
        <v>131.79</v>
      </c>
      <c r="E19">
        <v>7</v>
      </c>
      <c r="F19">
        <v>1.3081199999999999</v>
      </c>
      <c r="G19">
        <v>245</v>
      </c>
      <c r="H19">
        <v>4</v>
      </c>
      <c r="I19">
        <v>1.9322699999999999</v>
      </c>
      <c r="J19">
        <v>407.45</v>
      </c>
      <c r="K19">
        <v>132</v>
      </c>
      <c r="L19">
        <v>1.3073900000000001</v>
      </c>
      <c r="M19">
        <v>436.58</v>
      </c>
      <c r="N19">
        <v>6</v>
      </c>
      <c r="O19">
        <v>1.0071000000000001</v>
      </c>
      <c r="P19">
        <v>715.72</v>
      </c>
    </row>
    <row r="20" spans="1:16">
      <c r="A20">
        <v>15</v>
      </c>
      <c r="B20">
        <v>18301</v>
      </c>
      <c r="C20">
        <v>1.0124899999999999</v>
      </c>
      <c r="D20">
        <v>192.66</v>
      </c>
      <c r="E20">
        <v>9</v>
      </c>
      <c r="F20">
        <v>1.8873599999999999</v>
      </c>
      <c r="G20">
        <v>245.6</v>
      </c>
      <c r="H20">
        <v>4</v>
      </c>
      <c r="I20">
        <v>1.45265</v>
      </c>
      <c r="J20">
        <v>329.16</v>
      </c>
      <c r="K20">
        <v>68</v>
      </c>
      <c r="L20">
        <v>1.8851100000000001</v>
      </c>
      <c r="M20">
        <v>444.02</v>
      </c>
      <c r="N20">
        <v>3</v>
      </c>
      <c r="O20">
        <v>1.19113</v>
      </c>
      <c r="P20">
        <v>508.3</v>
      </c>
    </row>
    <row r="21" spans="1:16">
      <c r="A21">
        <v>16</v>
      </c>
      <c r="B21">
        <v>15332</v>
      </c>
      <c r="C21">
        <v>1.56115</v>
      </c>
      <c r="D21">
        <v>109.37</v>
      </c>
      <c r="E21">
        <v>7</v>
      </c>
      <c r="F21">
        <v>1.7365299999999999</v>
      </c>
      <c r="G21">
        <v>243.14</v>
      </c>
      <c r="H21">
        <v>3</v>
      </c>
      <c r="I21">
        <v>1.0664499999999999</v>
      </c>
      <c r="J21">
        <v>331.95</v>
      </c>
      <c r="K21">
        <v>118</v>
      </c>
      <c r="L21">
        <v>1.7297499999999999</v>
      </c>
      <c r="M21">
        <v>392.57</v>
      </c>
      <c r="N21">
        <v>4</v>
      </c>
      <c r="O21">
        <v>1.5377799999999999</v>
      </c>
      <c r="P21">
        <v>507.3</v>
      </c>
    </row>
    <row r="22" spans="1:16">
      <c r="A22">
        <v>17</v>
      </c>
      <c r="B22">
        <v>17368</v>
      </c>
      <c r="C22">
        <v>1.1433199999999999</v>
      </c>
      <c r="D22">
        <v>109.05</v>
      </c>
      <c r="E22">
        <v>12</v>
      </c>
      <c r="F22">
        <v>1.89455</v>
      </c>
      <c r="G22">
        <v>253.1</v>
      </c>
      <c r="H22">
        <v>11</v>
      </c>
      <c r="I22">
        <v>1.3820699999999999</v>
      </c>
      <c r="J22">
        <v>302.82</v>
      </c>
      <c r="K22">
        <v>86</v>
      </c>
      <c r="L22">
        <v>1.89314</v>
      </c>
      <c r="M22">
        <v>353.04</v>
      </c>
      <c r="N22">
        <v>6</v>
      </c>
      <c r="O22">
        <v>1.7373700000000001</v>
      </c>
      <c r="P22">
        <v>531.29</v>
      </c>
    </row>
    <row r="23" spans="1:16">
      <c r="A23">
        <v>18</v>
      </c>
      <c r="B23">
        <v>17443</v>
      </c>
      <c r="C23">
        <v>1.2133</v>
      </c>
      <c r="D23">
        <v>110.52</v>
      </c>
      <c r="E23">
        <v>9</v>
      </c>
      <c r="F23">
        <v>1.3001400000000001</v>
      </c>
      <c r="G23">
        <v>313.88</v>
      </c>
      <c r="H23">
        <v>7</v>
      </c>
      <c r="I23">
        <v>1.2986800000000001</v>
      </c>
      <c r="J23">
        <v>292.38</v>
      </c>
      <c r="K23">
        <v>97</v>
      </c>
      <c r="L23">
        <v>1.29606</v>
      </c>
      <c r="M23">
        <v>369.34</v>
      </c>
      <c r="N23">
        <v>6</v>
      </c>
      <c r="O23">
        <v>1.53505</v>
      </c>
      <c r="P23">
        <v>533.35</v>
      </c>
    </row>
    <row r="24" spans="1:16">
      <c r="A24">
        <v>19</v>
      </c>
      <c r="B24">
        <v>13248</v>
      </c>
      <c r="C24">
        <v>1.3709899999999999</v>
      </c>
      <c r="D24">
        <v>105.57</v>
      </c>
      <c r="E24">
        <v>7</v>
      </c>
      <c r="F24">
        <v>1.0477399999999999</v>
      </c>
      <c r="G24">
        <v>268.68</v>
      </c>
      <c r="H24">
        <v>4</v>
      </c>
      <c r="I24">
        <v>1.2039200000000001</v>
      </c>
      <c r="J24">
        <v>312.05</v>
      </c>
      <c r="K24">
        <v>123</v>
      </c>
      <c r="L24">
        <v>1.0510699999999999</v>
      </c>
      <c r="M24">
        <v>378.41</v>
      </c>
      <c r="N24">
        <v>3</v>
      </c>
      <c r="O24">
        <v>1.0664499999999999</v>
      </c>
      <c r="P24">
        <v>631.55999999999995</v>
      </c>
    </row>
    <row r="25" spans="1:16">
      <c r="A25">
        <v>20</v>
      </c>
      <c r="B25">
        <v>17914</v>
      </c>
      <c r="C25">
        <v>1.4313400000000001</v>
      </c>
      <c r="D25">
        <v>114</v>
      </c>
      <c r="E25">
        <v>8</v>
      </c>
      <c r="F25">
        <v>1.0373600000000001</v>
      </c>
      <c r="G25">
        <v>240.88</v>
      </c>
      <c r="H25">
        <v>5</v>
      </c>
      <c r="I25">
        <v>1.0347500000000001</v>
      </c>
      <c r="J25">
        <v>322.44</v>
      </c>
      <c r="K25">
        <v>216</v>
      </c>
      <c r="L25">
        <v>1.03332</v>
      </c>
      <c r="M25">
        <v>393.05</v>
      </c>
      <c r="N25">
        <v>5</v>
      </c>
      <c r="O25">
        <v>1.49081</v>
      </c>
      <c r="P25">
        <v>489.67</v>
      </c>
    </row>
    <row r="26" spans="1:16">
      <c r="A26">
        <v>21</v>
      </c>
      <c r="B26">
        <v>15576</v>
      </c>
      <c r="C26">
        <v>1.4436</v>
      </c>
      <c r="D26">
        <v>140.1</v>
      </c>
      <c r="E26">
        <v>8</v>
      </c>
      <c r="F26">
        <v>1.5422400000000001</v>
      </c>
      <c r="G26">
        <v>245.33</v>
      </c>
      <c r="H26">
        <v>3</v>
      </c>
      <c r="I26">
        <v>1.0664499999999999</v>
      </c>
      <c r="J26">
        <v>329.5</v>
      </c>
      <c r="K26">
        <v>140</v>
      </c>
      <c r="L26">
        <v>1.5395300000000001</v>
      </c>
      <c r="M26">
        <v>440.11</v>
      </c>
      <c r="N26">
        <v>3</v>
      </c>
      <c r="O26">
        <v>1.19113</v>
      </c>
      <c r="P26">
        <v>1224.1400000000001</v>
      </c>
    </row>
    <row r="27" spans="1:16">
      <c r="A27">
        <v>22</v>
      </c>
      <c r="B27">
        <v>15671</v>
      </c>
      <c r="C27">
        <v>1.37279</v>
      </c>
      <c r="D27">
        <v>345.07</v>
      </c>
      <c r="E27">
        <v>5</v>
      </c>
      <c r="F27">
        <v>1.52668</v>
      </c>
      <c r="G27">
        <v>879.52</v>
      </c>
      <c r="H27">
        <v>3</v>
      </c>
      <c r="I27">
        <v>1.19113</v>
      </c>
      <c r="J27">
        <v>640.79999999999995</v>
      </c>
      <c r="K27">
        <v>172</v>
      </c>
      <c r="L27">
        <v>1.51491</v>
      </c>
      <c r="M27">
        <v>341.09</v>
      </c>
      <c r="N27">
        <v>3</v>
      </c>
      <c r="O27">
        <v>1.0664499999999999</v>
      </c>
      <c r="P27">
        <v>476.47</v>
      </c>
    </row>
    <row r="28" spans="1:16">
      <c r="A28">
        <v>23</v>
      </c>
      <c r="B28">
        <v>17924</v>
      </c>
      <c r="C28">
        <v>1.1812</v>
      </c>
      <c r="D28">
        <v>107.39</v>
      </c>
      <c r="E28">
        <v>11</v>
      </c>
      <c r="F28">
        <v>1.99736</v>
      </c>
      <c r="G28">
        <v>232.35</v>
      </c>
      <c r="H28">
        <v>4</v>
      </c>
      <c r="I28">
        <v>1.34006</v>
      </c>
      <c r="J28">
        <v>362.1</v>
      </c>
      <c r="K28">
        <v>77</v>
      </c>
      <c r="L28">
        <v>1.9925299999999999</v>
      </c>
      <c r="M28">
        <v>382.89</v>
      </c>
      <c r="N28">
        <v>5</v>
      </c>
      <c r="O28">
        <v>1.4269799999999999</v>
      </c>
      <c r="P28">
        <v>547.12</v>
      </c>
    </row>
    <row r="29" spans="1:16">
      <c r="A29">
        <v>24</v>
      </c>
      <c r="B29">
        <v>14355</v>
      </c>
      <c r="C29">
        <v>1.30467</v>
      </c>
      <c r="D29">
        <v>110.45</v>
      </c>
      <c r="E29">
        <v>7</v>
      </c>
      <c r="F29">
        <v>1.0477399999999999</v>
      </c>
      <c r="G29">
        <v>287.41000000000003</v>
      </c>
      <c r="H29">
        <v>4</v>
      </c>
      <c r="I29">
        <v>1.2039200000000001</v>
      </c>
      <c r="J29">
        <v>464.04</v>
      </c>
      <c r="K29">
        <v>129</v>
      </c>
      <c r="L29">
        <v>1.05131</v>
      </c>
      <c r="M29">
        <v>441.54</v>
      </c>
      <c r="N29">
        <v>3</v>
      </c>
      <c r="O29">
        <v>1.0664499999999999</v>
      </c>
      <c r="P29">
        <v>1008.71</v>
      </c>
    </row>
    <row r="30" spans="1:16">
      <c r="A30">
        <v>25</v>
      </c>
      <c r="B30">
        <v>15206</v>
      </c>
      <c r="C30">
        <v>1.4023399999999999</v>
      </c>
      <c r="D30">
        <v>320.29000000000002</v>
      </c>
      <c r="E30">
        <v>7</v>
      </c>
      <c r="F30">
        <v>1.4165300000000001</v>
      </c>
      <c r="G30">
        <v>302.05</v>
      </c>
      <c r="H30">
        <v>5</v>
      </c>
      <c r="I30">
        <v>1.28128</v>
      </c>
      <c r="J30">
        <v>352.57</v>
      </c>
      <c r="K30">
        <v>42</v>
      </c>
      <c r="L30">
        <v>1.4153</v>
      </c>
      <c r="M30">
        <v>371.96</v>
      </c>
      <c r="N30">
        <v>3</v>
      </c>
      <c r="O30">
        <v>1.0664499999999999</v>
      </c>
      <c r="P30">
        <v>565.67999999999995</v>
      </c>
    </row>
    <row r="31" spans="1:16">
      <c r="A31">
        <v>26</v>
      </c>
      <c r="B31">
        <v>13316</v>
      </c>
      <c r="C31">
        <v>1.3668899999999999</v>
      </c>
      <c r="D31">
        <v>139.65</v>
      </c>
      <c r="E31">
        <v>7</v>
      </c>
      <c r="F31">
        <v>1.0477399999999999</v>
      </c>
      <c r="G31">
        <v>250.49</v>
      </c>
      <c r="H31">
        <v>4</v>
      </c>
      <c r="I31">
        <v>1.2039200000000001</v>
      </c>
      <c r="J31">
        <v>329.03</v>
      </c>
      <c r="K31">
        <v>59</v>
      </c>
      <c r="L31">
        <v>1.0484500000000001</v>
      </c>
      <c r="M31">
        <v>396.31</v>
      </c>
      <c r="N31">
        <v>3</v>
      </c>
      <c r="O31">
        <v>1.0664499999999999</v>
      </c>
      <c r="P31">
        <v>553.95000000000005</v>
      </c>
    </row>
    <row r="32" spans="1:16">
      <c r="A32">
        <v>27</v>
      </c>
      <c r="B32">
        <v>17144</v>
      </c>
      <c r="C32">
        <v>1.55837</v>
      </c>
      <c r="D32">
        <v>115.47</v>
      </c>
      <c r="E32">
        <v>5</v>
      </c>
      <c r="F32">
        <v>1.9323300000000001</v>
      </c>
      <c r="G32">
        <v>279.13</v>
      </c>
      <c r="H32">
        <v>3</v>
      </c>
      <c r="I32">
        <v>1.0664499999999999</v>
      </c>
      <c r="J32">
        <v>332.41</v>
      </c>
      <c r="K32">
        <v>119</v>
      </c>
      <c r="L32">
        <v>1.92615</v>
      </c>
      <c r="M32">
        <v>373.39</v>
      </c>
      <c r="N32">
        <v>4</v>
      </c>
      <c r="O32">
        <v>1.8733</v>
      </c>
      <c r="P32">
        <v>1052.99</v>
      </c>
    </row>
    <row r="33" spans="1:16">
      <c r="A33">
        <v>28</v>
      </c>
      <c r="B33">
        <v>15321</v>
      </c>
      <c r="C33">
        <v>1.2256100000000001</v>
      </c>
      <c r="D33">
        <v>173.66</v>
      </c>
      <c r="E33">
        <v>12</v>
      </c>
      <c r="F33">
        <v>1.82395</v>
      </c>
      <c r="G33">
        <v>245</v>
      </c>
      <c r="H33">
        <v>9</v>
      </c>
      <c r="I33">
        <v>1.76248</v>
      </c>
      <c r="J33">
        <v>295</v>
      </c>
      <c r="K33">
        <v>139</v>
      </c>
      <c r="L33">
        <v>1.8206100000000001</v>
      </c>
      <c r="M33">
        <v>384.21</v>
      </c>
      <c r="N33">
        <v>6</v>
      </c>
      <c r="O33">
        <v>1.0117100000000001</v>
      </c>
      <c r="P33">
        <v>470.22</v>
      </c>
    </row>
    <row r="34" spans="1:16">
      <c r="A34">
        <v>29</v>
      </c>
      <c r="B34">
        <v>17404</v>
      </c>
      <c r="C34">
        <v>1.29518</v>
      </c>
      <c r="D34">
        <v>106.74</v>
      </c>
      <c r="E34">
        <v>12</v>
      </c>
      <c r="F34">
        <v>1.05122</v>
      </c>
      <c r="G34">
        <v>255.92</v>
      </c>
      <c r="H34">
        <v>6</v>
      </c>
      <c r="I34">
        <v>1.03338</v>
      </c>
      <c r="J34">
        <v>316.64</v>
      </c>
      <c r="K34">
        <v>156</v>
      </c>
      <c r="L34">
        <v>1.0487299999999999</v>
      </c>
      <c r="M34">
        <v>337.17</v>
      </c>
      <c r="N34">
        <v>5</v>
      </c>
      <c r="O34">
        <v>1.44526</v>
      </c>
      <c r="P34">
        <v>504.04</v>
      </c>
    </row>
    <row r="35" spans="1:16">
      <c r="A35">
        <v>30</v>
      </c>
      <c r="B35">
        <v>16055</v>
      </c>
      <c r="C35">
        <v>1.4894700000000001</v>
      </c>
      <c r="D35">
        <v>158.80000000000001</v>
      </c>
      <c r="E35">
        <v>8</v>
      </c>
      <c r="F35">
        <v>1.5422400000000001</v>
      </c>
      <c r="G35">
        <v>223.61</v>
      </c>
      <c r="H35">
        <v>3</v>
      </c>
      <c r="I35">
        <v>1.0664499999999999</v>
      </c>
      <c r="J35">
        <v>305.60000000000002</v>
      </c>
      <c r="K35">
        <v>171</v>
      </c>
      <c r="L35">
        <v>1.5369900000000001</v>
      </c>
      <c r="M35">
        <v>328.1</v>
      </c>
      <c r="N35">
        <v>3</v>
      </c>
      <c r="O35">
        <v>1.19113</v>
      </c>
      <c r="P35">
        <v>488.04</v>
      </c>
    </row>
    <row r="36" spans="1:16">
      <c r="A36">
        <v>31</v>
      </c>
      <c r="B36">
        <v>19925</v>
      </c>
      <c r="C36">
        <v>1.2829900000000001</v>
      </c>
      <c r="D36">
        <v>111.48</v>
      </c>
      <c r="E36">
        <v>6</v>
      </c>
      <c r="F36">
        <v>1.3708800000000001</v>
      </c>
      <c r="G36">
        <v>241.49</v>
      </c>
      <c r="H36">
        <v>3</v>
      </c>
      <c r="I36">
        <v>1.0664499999999999</v>
      </c>
      <c r="J36">
        <v>367.93</v>
      </c>
      <c r="K36">
        <v>311</v>
      </c>
      <c r="L36">
        <v>1.36571</v>
      </c>
      <c r="M36">
        <v>353.06</v>
      </c>
      <c r="N36">
        <v>3</v>
      </c>
      <c r="O36">
        <v>1.19113</v>
      </c>
      <c r="P36">
        <v>480.9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19925</v>
      </c>
      <c r="C40" s="1">
        <f t="shared" ref="C40:I40" si="0">MAX(C5:C36)</f>
        <v>1.56549</v>
      </c>
      <c r="D40" s="1">
        <f t="shared" si="0"/>
        <v>345.07</v>
      </c>
      <c r="E40" s="1">
        <f t="shared" si="0"/>
        <v>14</v>
      </c>
      <c r="F40" s="1">
        <f t="shared" si="0"/>
        <v>1.99736</v>
      </c>
      <c r="G40" s="1">
        <f t="shared" si="0"/>
        <v>879.52</v>
      </c>
      <c r="H40" s="1">
        <f t="shared" si="0"/>
        <v>11</v>
      </c>
      <c r="I40" s="1">
        <f t="shared" si="0"/>
        <v>1.9322699999999999</v>
      </c>
      <c r="J40" s="1">
        <f t="shared" ref="J40:P40" si="1">MAX(J5:J36)</f>
        <v>640.79999999999995</v>
      </c>
      <c r="K40" s="1">
        <f t="shared" si="1"/>
        <v>311</v>
      </c>
      <c r="L40" s="1">
        <f t="shared" si="1"/>
        <v>1.9925299999999999</v>
      </c>
      <c r="M40" s="1">
        <f t="shared" si="1"/>
        <v>999.32</v>
      </c>
      <c r="N40" s="1">
        <f t="shared" si="1"/>
        <v>6</v>
      </c>
      <c r="O40" s="1">
        <f t="shared" si="1"/>
        <v>1.8733</v>
      </c>
      <c r="P40" s="1">
        <f t="shared" si="1"/>
        <v>1224.1400000000001</v>
      </c>
    </row>
    <row r="41" spans="1:16">
      <c r="A41" t="s">
        <v>12</v>
      </c>
      <c r="B41" s="1">
        <f>MIN(B5:B36)</f>
        <v>13248</v>
      </c>
      <c r="C41" s="1">
        <f t="shared" ref="C41:I41" si="2">MIN(C5:C36)</f>
        <v>1.0124899999999999</v>
      </c>
      <c r="D41" s="1">
        <f t="shared" si="2"/>
        <v>105.57</v>
      </c>
      <c r="E41" s="1">
        <f t="shared" si="2"/>
        <v>5</v>
      </c>
      <c r="F41" s="1">
        <f t="shared" si="2"/>
        <v>1.0373600000000001</v>
      </c>
      <c r="G41" s="1">
        <f t="shared" si="2"/>
        <v>223.61</v>
      </c>
      <c r="H41" s="1">
        <f t="shared" si="2"/>
        <v>3</v>
      </c>
      <c r="I41" s="1">
        <f t="shared" si="2"/>
        <v>1.03338</v>
      </c>
      <c r="J41" s="1">
        <f t="shared" ref="J41:P41" si="3">MIN(J5:J36)</f>
        <v>292.38</v>
      </c>
      <c r="K41" s="1">
        <f t="shared" si="3"/>
        <v>42</v>
      </c>
      <c r="L41" s="1">
        <f t="shared" si="3"/>
        <v>1.03332</v>
      </c>
      <c r="M41" s="1">
        <f t="shared" si="3"/>
        <v>328.1</v>
      </c>
      <c r="N41" s="1">
        <f t="shared" si="3"/>
        <v>3</v>
      </c>
      <c r="O41" s="1">
        <f t="shared" si="3"/>
        <v>1.0071000000000001</v>
      </c>
      <c r="P41" s="1">
        <f t="shared" si="3"/>
        <v>470.22</v>
      </c>
    </row>
    <row r="42" spans="1:16">
      <c r="A42" t="s">
        <v>13</v>
      </c>
      <c r="B42" s="1">
        <f>MEDIAN(B5:B36)</f>
        <v>15948</v>
      </c>
      <c r="C42" s="1">
        <f t="shared" ref="C42:I42" si="4">MEDIAN(C5:C36)</f>
        <v>1.3668049999999998</v>
      </c>
      <c r="D42" s="1">
        <f t="shared" si="4"/>
        <v>123.41499999999999</v>
      </c>
      <c r="E42" s="1">
        <f t="shared" si="4"/>
        <v>7</v>
      </c>
      <c r="F42" s="1">
        <f t="shared" si="4"/>
        <v>1.52668</v>
      </c>
      <c r="G42" s="1">
        <f t="shared" si="4"/>
        <v>270.58500000000004</v>
      </c>
      <c r="H42" s="1">
        <f t="shared" si="4"/>
        <v>4</v>
      </c>
      <c r="I42" s="1">
        <f t="shared" si="4"/>
        <v>1.19113</v>
      </c>
      <c r="J42" s="1">
        <f t="shared" ref="J42:P42" si="5">MEDIAN(J5:J36)</f>
        <v>353.38499999999999</v>
      </c>
      <c r="K42" s="1">
        <f t="shared" si="5"/>
        <v>131.5</v>
      </c>
      <c r="L42" s="1">
        <f t="shared" si="5"/>
        <v>1.5171350000000001</v>
      </c>
      <c r="M42" s="1">
        <f t="shared" si="5"/>
        <v>380.65</v>
      </c>
      <c r="N42" s="1">
        <f t="shared" si="5"/>
        <v>3.5</v>
      </c>
      <c r="O42" s="1">
        <f t="shared" si="5"/>
        <v>1.19113</v>
      </c>
      <c r="P42" s="1">
        <f t="shared" si="5"/>
        <v>540.23500000000001</v>
      </c>
    </row>
    <row r="43" spans="1:16">
      <c r="A43" t="s">
        <v>14</v>
      </c>
      <c r="B43" s="1">
        <f>AVERAGE(B5:B36)</f>
        <v>16189.90625</v>
      </c>
      <c r="C43" s="1">
        <f t="shared" ref="C43:I43" si="6">AVERAGE(C5:C36)</f>
        <v>1.3284699999999998</v>
      </c>
      <c r="D43" s="1">
        <f t="shared" si="6"/>
        <v>143.59281249999998</v>
      </c>
      <c r="E43" s="1">
        <f t="shared" si="6"/>
        <v>7.53125</v>
      </c>
      <c r="F43" s="1">
        <f t="shared" si="6"/>
        <v>1.5093584374999998</v>
      </c>
      <c r="G43" s="1">
        <f t="shared" si="6"/>
        <v>307.12718749999999</v>
      </c>
      <c r="H43" s="1">
        <f t="shared" si="6"/>
        <v>4.59375</v>
      </c>
      <c r="I43" s="1">
        <f t="shared" si="6"/>
        <v>1.2275878125000002</v>
      </c>
      <c r="J43" s="1">
        <f t="shared" ref="J43:P43" si="7">AVERAGE(J5:J36)</f>
        <v>382.05656249999998</v>
      </c>
      <c r="K43" s="1">
        <f t="shared" si="7"/>
        <v>137.59375</v>
      </c>
      <c r="L43" s="1">
        <f t="shared" si="7"/>
        <v>1.5034825000000005</v>
      </c>
      <c r="M43" s="1">
        <f t="shared" si="7"/>
        <v>417.95406249999985</v>
      </c>
      <c r="N43" s="1">
        <f t="shared" si="7"/>
        <v>4.03125</v>
      </c>
      <c r="O43" s="1">
        <f t="shared" si="7"/>
        <v>1.3122162500000003</v>
      </c>
      <c r="P43" s="1">
        <f t="shared" si="7"/>
        <v>638.3687500000002</v>
      </c>
    </row>
    <row r="44" spans="1:16">
      <c r="A44" t="s">
        <v>15</v>
      </c>
      <c r="B44" s="1">
        <f>STDEV(B5:B36)</f>
        <v>1708.3563947761547</v>
      </c>
      <c r="C44" s="1">
        <f t="shared" ref="C44:I44" si="8">STDEV(C5:C36)</f>
        <v>0.14812212844637412</v>
      </c>
      <c r="D44" s="1">
        <f t="shared" si="8"/>
        <v>56.193428799298154</v>
      </c>
      <c r="E44" s="1">
        <f t="shared" si="8"/>
        <v>2.5901099117293671</v>
      </c>
      <c r="F44" s="1">
        <f t="shared" si="8"/>
        <v>0.33487512373641642</v>
      </c>
      <c r="G44" s="1">
        <f t="shared" si="8"/>
        <v>122.92912629574292</v>
      </c>
      <c r="H44" s="1">
        <f t="shared" si="8"/>
        <v>2.2555934059362794</v>
      </c>
      <c r="I44" s="1">
        <f t="shared" si="8"/>
        <v>0.20475768827558943</v>
      </c>
      <c r="J44" s="1">
        <f t="shared" ref="J44:P44" si="9">STDEV(J5:J36)</f>
        <v>91.876043127170448</v>
      </c>
      <c r="K44" s="1">
        <f t="shared" si="9"/>
        <v>64.796883325586563</v>
      </c>
      <c r="L44" s="1">
        <f t="shared" si="9"/>
        <v>0.33141149284099297</v>
      </c>
      <c r="M44" s="1">
        <f t="shared" si="9"/>
        <v>128.89609908908506</v>
      </c>
      <c r="N44" s="1">
        <f t="shared" si="9"/>
        <v>1.2044105772989864</v>
      </c>
      <c r="O44" s="1">
        <f t="shared" si="9"/>
        <v>0.30104752522408795</v>
      </c>
      <c r="P44" s="1">
        <f t="shared" si="9"/>
        <v>208.62075954831531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22</v>
      </c>
      <c r="C1" t="s">
        <v>1</v>
      </c>
      <c r="D1">
        <v>500003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155923</v>
      </c>
      <c r="C5">
        <v>1.2112000000000001</v>
      </c>
      <c r="D5">
        <v>2226.39</v>
      </c>
      <c r="E5">
        <v>8</v>
      </c>
      <c r="F5">
        <v>1.5197000000000001</v>
      </c>
      <c r="G5">
        <v>3289.97</v>
      </c>
      <c r="H5">
        <v>4</v>
      </c>
      <c r="I5">
        <v>1.44798</v>
      </c>
      <c r="J5">
        <v>4215.4399999999996</v>
      </c>
      <c r="K5">
        <v>565</v>
      </c>
      <c r="L5">
        <v>1.5166299999999999</v>
      </c>
      <c r="M5">
        <v>8004.33</v>
      </c>
      <c r="N5">
        <v>5</v>
      </c>
      <c r="O5">
        <v>1.0325599999999999</v>
      </c>
      <c r="P5">
        <v>7087.13</v>
      </c>
    </row>
    <row r="6" spans="1:16">
      <c r="A6">
        <v>1</v>
      </c>
      <c r="B6">
        <v>136824</v>
      </c>
      <c r="C6">
        <v>1.39401</v>
      </c>
      <c r="D6">
        <v>1430.78</v>
      </c>
      <c r="E6">
        <v>8</v>
      </c>
      <c r="F6">
        <v>1.8233600000000001</v>
      </c>
      <c r="G6">
        <v>4740.51</v>
      </c>
      <c r="H6">
        <v>4</v>
      </c>
      <c r="I6">
        <v>1.41981</v>
      </c>
      <c r="J6">
        <v>4904.41</v>
      </c>
      <c r="K6">
        <v>191</v>
      </c>
      <c r="L6">
        <v>1.8215699999999999</v>
      </c>
      <c r="M6">
        <v>7547.56</v>
      </c>
      <c r="N6">
        <v>4</v>
      </c>
      <c r="O6">
        <v>1.0808199999999999</v>
      </c>
      <c r="P6">
        <v>6637.87</v>
      </c>
    </row>
    <row r="7" spans="1:16">
      <c r="A7">
        <v>2</v>
      </c>
      <c r="B7">
        <v>164527</v>
      </c>
      <c r="C7">
        <v>1.39595</v>
      </c>
      <c r="D7">
        <v>1662.98</v>
      </c>
      <c r="E7">
        <v>7</v>
      </c>
      <c r="F7">
        <v>1.9390400000000001</v>
      </c>
      <c r="G7">
        <v>2820.99</v>
      </c>
      <c r="H7">
        <v>4</v>
      </c>
      <c r="I7">
        <v>1.1735</v>
      </c>
      <c r="J7">
        <v>4123.49</v>
      </c>
      <c r="K7">
        <v>722</v>
      </c>
      <c r="L7">
        <v>1.929</v>
      </c>
      <c r="M7">
        <v>5346.75</v>
      </c>
      <c r="N7">
        <v>3</v>
      </c>
      <c r="O7">
        <v>1.16913</v>
      </c>
      <c r="P7">
        <v>6475.21</v>
      </c>
    </row>
    <row r="8" spans="1:16">
      <c r="A8">
        <v>3</v>
      </c>
      <c r="B8">
        <v>145753</v>
      </c>
      <c r="C8">
        <v>1.3855500000000001</v>
      </c>
      <c r="D8">
        <v>1398.51</v>
      </c>
      <c r="E8">
        <v>6</v>
      </c>
      <c r="F8">
        <v>1.4756800000000001</v>
      </c>
      <c r="G8">
        <v>4024.26</v>
      </c>
      <c r="H8">
        <v>4</v>
      </c>
      <c r="I8">
        <v>1.47305</v>
      </c>
      <c r="J8">
        <v>4392.6099999999997</v>
      </c>
      <c r="K8">
        <v>532</v>
      </c>
      <c r="L8">
        <v>1.47146</v>
      </c>
      <c r="M8">
        <v>5376.62</v>
      </c>
      <c r="N8">
        <v>4</v>
      </c>
      <c r="O8">
        <v>1.1675899999999999</v>
      </c>
      <c r="P8">
        <v>8295.89</v>
      </c>
    </row>
    <row r="9" spans="1:16">
      <c r="A9">
        <v>4</v>
      </c>
      <c r="B9">
        <v>160404</v>
      </c>
      <c r="C9">
        <v>1.3839900000000001</v>
      </c>
      <c r="D9">
        <v>2105.7600000000002</v>
      </c>
      <c r="E9">
        <v>8</v>
      </c>
      <c r="F9">
        <v>1.5089999999999999</v>
      </c>
      <c r="G9">
        <v>4383.3599999999997</v>
      </c>
      <c r="H9">
        <v>3</v>
      </c>
      <c r="I9">
        <v>1.16913</v>
      </c>
      <c r="J9">
        <v>5582.48</v>
      </c>
      <c r="K9">
        <v>271</v>
      </c>
      <c r="L9">
        <v>1.5075000000000001</v>
      </c>
      <c r="M9">
        <v>5342.75</v>
      </c>
      <c r="N9">
        <v>3</v>
      </c>
      <c r="O9">
        <v>1.16913</v>
      </c>
      <c r="P9">
        <v>8409.7199999999993</v>
      </c>
    </row>
    <row r="10" spans="1:16">
      <c r="A10">
        <v>5</v>
      </c>
      <c r="B10">
        <v>146712</v>
      </c>
      <c r="C10">
        <v>1.4068499999999999</v>
      </c>
      <c r="D10">
        <v>1907.63</v>
      </c>
      <c r="E10">
        <v>17</v>
      </c>
      <c r="F10">
        <v>1.8308899999999999</v>
      </c>
      <c r="G10">
        <v>4956.6000000000004</v>
      </c>
      <c r="H10">
        <v>12</v>
      </c>
      <c r="I10">
        <v>1.7965</v>
      </c>
      <c r="J10">
        <v>5415.34</v>
      </c>
      <c r="K10">
        <v>375</v>
      </c>
      <c r="L10">
        <v>1.8293600000000001</v>
      </c>
      <c r="M10">
        <v>6660.16</v>
      </c>
      <c r="N10">
        <v>5</v>
      </c>
      <c r="O10">
        <v>1.0717699999999999</v>
      </c>
      <c r="P10">
        <v>9340.31</v>
      </c>
    </row>
    <row r="11" spans="1:16">
      <c r="A11">
        <v>6</v>
      </c>
      <c r="B11">
        <v>142556</v>
      </c>
      <c r="C11">
        <v>1.1003700000000001</v>
      </c>
      <c r="D11">
        <v>2230.64</v>
      </c>
      <c r="E11">
        <v>8</v>
      </c>
      <c r="F11">
        <v>1.34741</v>
      </c>
      <c r="G11">
        <v>5301.93</v>
      </c>
      <c r="H11">
        <v>6</v>
      </c>
      <c r="I11">
        <v>1.3977200000000001</v>
      </c>
      <c r="J11">
        <v>5941.56</v>
      </c>
      <c r="K11">
        <v>212</v>
      </c>
      <c r="L11">
        <v>1.34727</v>
      </c>
      <c r="M11">
        <v>7616.84</v>
      </c>
      <c r="N11">
        <v>3</v>
      </c>
      <c r="O11">
        <v>1.27003</v>
      </c>
      <c r="P11">
        <v>9366.2199999999993</v>
      </c>
    </row>
    <row r="12" spans="1:16">
      <c r="A12">
        <v>7</v>
      </c>
      <c r="B12">
        <v>160309</v>
      </c>
      <c r="C12">
        <v>1.42828</v>
      </c>
      <c r="D12">
        <v>2191.2800000000002</v>
      </c>
      <c r="E12">
        <v>11</v>
      </c>
      <c r="F12">
        <v>1.6269499999999999</v>
      </c>
      <c r="G12">
        <v>3905.25</v>
      </c>
      <c r="H12">
        <v>3</v>
      </c>
      <c r="I12">
        <v>1.16913</v>
      </c>
      <c r="J12">
        <v>4886.51</v>
      </c>
      <c r="K12">
        <v>254</v>
      </c>
      <c r="L12">
        <v>1.6259399999999999</v>
      </c>
      <c r="M12">
        <v>5076.58</v>
      </c>
      <c r="N12">
        <v>3</v>
      </c>
      <c r="O12">
        <v>1.27003</v>
      </c>
      <c r="P12">
        <v>9052.2199999999993</v>
      </c>
    </row>
    <row r="13" spans="1:16">
      <c r="A13">
        <v>8</v>
      </c>
      <c r="B13">
        <v>132900</v>
      </c>
      <c r="C13">
        <v>1.28695</v>
      </c>
      <c r="D13">
        <v>1341.92</v>
      </c>
      <c r="E13">
        <v>9</v>
      </c>
      <c r="F13">
        <v>1.9795100000000001</v>
      </c>
      <c r="G13">
        <v>2883.8</v>
      </c>
      <c r="H13">
        <v>3</v>
      </c>
      <c r="I13">
        <v>1.27003</v>
      </c>
      <c r="J13">
        <v>4605.32</v>
      </c>
      <c r="K13">
        <v>688</v>
      </c>
      <c r="L13">
        <v>1.97485</v>
      </c>
      <c r="M13">
        <v>5036.3100000000004</v>
      </c>
      <c r="N13">
        <v>3</v>
      </c>
      <c r="O13">
        <v>1.16913</v>
      </c>
      <c r="P13">
        <v>6104.64</v>
      </c>
    </row>
    <row r="14" spans="1:16">
      <c r="A14">
        <v>9</v>
      </c>
      <c r="B14">
        <v>151757</v>
      </c>
      <c r="C14">
        <v>1.46594</v>
      </c>
      <c r="D14">
        <v>1406.32</v>
      </c>
      <c r="E14">
        <v>6</v>
      </c>
      <c r="F14">
        <v>1.4756800000000001</v>
      </c>
      <c r="G14">
        <v>4034.71</v>
      </c>
      <c r="H14">
        <v>4</v>
      </c>
      <c r="I14">
        <v>1.47305</v>
      </c>
      <c r="J14">
        <v>6155.75</v>
      </c>
      <c r="K14">
        <v>513</v>
      </c>
      <c r="L14">
        <v>1.4711000000000001</v>
      </c>
      <c r="M14">
        <v>4891.0200000000004</v>
      </c>
      <c r="N14">
        <v>4</v>
      </c>
      <c r="O14">
        <v>1.1675899999999999</v>
      </c>
      <c r="P14">
        <v>6580.6</v>
      </c>
    </row>
    <row r="15" spans="1:16">
      <c r="A15">
        <v>10</v>
      </c>
      <c r="B15">
        <v>156442</v>
      </c>
      <c r="C15">
        <v>1.2089000000000001</v>
      </c>
      <c r="D15">
        <v>1390.47</v>
      </c>
      <c r="E15">
        <v>12</v>
      </c>
      <c r="F15">
        <v>1.93845</v>
      </c>
      <c r="G15">
        <v>3036.88</v>
      </c>
      <c r="H15">
        <v>4</v>
      </c>
      <c r="I15">
        <v>1.44798</v>
      </c>
      <c r="J15">
        <v>4047.14</v>
      </c>
      <c r="K15">
        <v>569</v>
      </c>
      <c r="L15">
        <v>1.9333899999999999</v>
      </c>
      <c r="M15">
        <v>5585.78</v>
      </c>
      <c r="N15">
        <v>5</v>
      </c>
      <c r="O15">
        <v>1.04525</v>
      </c>
      <c r="P15">
        <v>7666.41</v>
      </c>
    </row>
    <row r="16" spans="1:16">
      <c r="A16">
        <v>11</v>
      </c>
      <c r="B16">
        <v>143327</v>
      </c>
      <c r="C16">
        <v>1.09659</v>
      </c>
      <c r="D16">
        <v>1311.12</v>
      </c>
      <c r="E16">
        <v>8</v>
      </c>
      <c r="F16">
        <v>1.34741</v>
      </c>
      <c r="G16">
        <v>3162.47</v>
      </c>
      <c r="H16">
        <v>6</v>
      </c>
      <c r="I16">
        <v>1.3977200000000001</v>
      </c>
      <c r="J16">
        <v>3953.25</v>
      </c>
      <c r="K16">
        <v>239</v>
      </c>
      <c r="L16">
        <v>1.3473999999999999</v>
      </c>
      <c r="M16">
        <v>5492.99</v>
      </c>
      <c r="N16">
        <v>3</v>
      </c>
      <c r="O16">
        <v>1.27003</v>
      </c>
      <c r="P16">
        <v>6330.38</v>
      </c>
    </row>
    <row r="17" spans="1:16">
      <c r="A17">
        <v>12</v>
      </c>
      <c r="B17">
        <v>148063</v>
      </c>
      <c r="C17">
        <v>1.24519</v>
      </c>
      <c r="D17">
        <v>1322.39</v>
      </c>
      <c r="E17">
        <v>10</v>
      </c>
      <c r="F17">
        <v>1.9616899999999999</v>
      </c>
      <c r="G17">
        <v>2832.51</v>
      </c>
      <c r="H17">
        <v>6</v>
      </c>
      <c r="I17">
        <v>1.0185599999999999</v>
      </c>
      <c r="J17">
        <v>3721.88</v>
      </c>
      <c r="K17">
        <v>354</v>
      </c>
      <c r="L17">
        <v>1.9587699999999999</v>
      </c>
      <c r="M17">
        <v>4357.7299999999996</v>
      </c>
      <c r="N17">
        <v>3</v>
      </c>
      <c r="O17">
        <v>1.16913</v>
      </c>
      <c r="P17">
        <v>6076.88</v>
      </c>
    </row>
    <row r="18" spans="1:16">
      <c r="A18">
        <v>13</v>
      </c>
      <c r="B18">
        <v>141283</v>
      </c>
      <c r="C18">
        <v>1.3588199999999999</v>
      </c>
      <c r="D18">
        <v>1393.74</v>
      </c>
      <c r="E18">
        <v>8</v>
      </c>
      <c r="F18">
        <v>1.8233600000000001</v>
      </c>
      <c r="G18">
        <v>2861.71</v>
      </c>
      <c r="H18">
        <v>4</v>
      </c>
      <c r="I18">
        <v>1.41981</v>
      </c>
      <c r="J18">
        <v>3981.02</v>
      </c>
      <c r="K18">
        <v>182</v>
      </c>
      <c r="L18">
        <v>1.82189</v>
      </c>
      <c r="M18">
        <v>4461</v>
      </c>
      <c r="N18">
        <v>4</v>
      </c>
      <c r="O18">
        <v>1.0808199999999999</v>
      </c>
      <c r="P18">
        <v>5825.42</v>
      </c>
    </row>
    <row r="19" spans="1:16">
      <c r="A19">
        <v>14</v>
      </c>
      <c r="B19">
        <v>151649</v>
      </c>
      <c r="C19">
        <v>1.2141999999999999</v>
      </c>
      <c r="D19">
        <v>1383.26</v>
      </c>
      <c r="E19">
        <v>8</v>
      </c>
      <c r="F19">
        <v>1.48634</v>
      </c>
      <c r="G19">
        <v>3043.06</v>
      </c>
      <c r="H19">
        <v>3</v>
      </c>
      <c r="I19">
        <v>1.16913</v>
      </c>
      <c r="J19">
        <v>3688.24</v>
      </c>
      <c r="K19">
        <v>489</v>
      </c>
      <c r="L19">
        <v>1.4827999999999999</v>
      </c>
      <c r="M19">
        <v>4502.5600000000004</v>
      </c>
      <c r="N19">
        <v>4</v>
      </c>
      <c r="O19">
        <v>1.8813</v>
      </c>
      <c r="P19">
        <v>5499.86</v>
      </c>
    </row>
    <row r="20" spans="1:16">
      <c r="A20">
        <v>15</v>
      </c>
      <c r="B20">
        <v>156503</v>
      </c>
      <c r="C20">
        <v>1.4121999999999999</v>
      </c>
      <c r="D20">
        <v>1431.96</v>
      </c>
      <c r="E20">
        <v>7</v>
      </c>
      <c r="F20">
        <v>1.1993100000000001</v>
      </c>
      <c r="G20">
        <v>3510.87</v>
      </c>
      <c r="H20">
        <v>4</v>
      </c>
      <c r="I20">
        <v>1.47305</v>
      </c>
      <c r="J20">
        <v>4426.67</v>
      </c>
      <c r="K20">
        <v>221</v>
      </c>
      <c r="L20">
        <v>1.19926</v>
      </c>
      <c r="M20">
        <v>5447.96</v>
      </c>
      <c r="N20">
        <v>5</v>
      </c>
      <c r="O20">
        <v>1.6177900000000001</v>
      </c>
      <c r="P20">
        <v>6563.41</v>
      </c>
    </row>
    <row r="21" spans="1:16">
      <c r="A21">
        <v>16</v>
      </c>
      <c r="B21">
        <v>143715</v>
      </c>
      <c r="C21">
        <v>1.0950299999999999</v>
      </c>
      <c r="D21">
        <v>1263.3499999999999</v>
      </c>
      <c r="E21">
        <v>8</v>
      </c>
      <c r="F21">
        <v>1.34741</v>
      </c>
      <c r="G21">
        <v>2971.75</v>
      </c>
      <c r="H21">
        <v>6</v>
      </c>
      <c r="I21">
        <v>1.3977200000000001</v>
      </c>
      <c r="J21">
        <v>3718</v>
      </c>
      <c r="K21">
        <v>349</v>
      </c>
      <c r="L21">
        <v>1.3479099999999999</v>
      </c>
      <c r="M21">
        <v>4714.82</v>
      </c>
      <c r="N21">
        <v>3</v>
      </c>
      <c r="O21">
        <v>1.27003</v>
      </c>
      <c r="P21">
        <v>7146.24</v>
      </c>
    </row>
    <row r="22" spans="1:16">
      <c r="A22">
        <v>17</v>
      </c>
      <c r="B22">
        <v>147384</v>
      </c>
      <c r="C22">
        <v>1.0889</v>
      </c>
      <c r="D22">
        <v>1573.22</v>
      </c>
      <c r="E22">
        <v>8</v>
      </c>
      <c r="F22">
        <v>1.8041799999999999</v>
      </c>
      <c r="G22">
        <v>2879.74</v>
      </c>
      <c r="H22">
        <v>5</v>
      </c>
      <c r="I22">
        <v>1.7808999999999999</v>
      </c>
      <c r="J22">
        <v>4484.83</v>
      </c>
      <c r="K22">
        <v>110</v>
      </c>
      <c r="L22">
        <v>1.80325</v>
      </c>
      <c r="M22">
        <v>5673.73</v>
      </c>
      <c r="N22">
        <v>5</v>
      </c>
      <c r="O22">
        <v>1.39062</v>
      </c>
      <c r="P22">
        <v>6231.38</v>
      </c>
    </row>
    <row r="23" spans="1:16">
      <c r="A23">
        <v>18</v>
      </c>
      <c r="B23">
        <v>159452</v>
      </c>
      <c r="C23">
        <v>1.3431900000000001</v>
      </c>
      <c r="D23">
        <v>1393.04</v>
      </c>
      <c r="E23">
        <v>11</v>
      </c>
      <c r="F23">
        <v>1.0679399999999999</v>
      </c>
      <c r="G23">
        <v>3145.55</v>
      </c>
      <c r="H23">
        <v>7</v>
      </c>
      <c r="I23">
        <v>1.71001</v>
      </c>
      <c r="J23">
        <v>3952.86</v>
      </c>
      <c r="K23">
        <v>359</v>
      </c>
      <c r="L23">
        <v>1.0680700000000001</v>
      </c>
      <c r="M23">
        <v>5046.1000000000004</v>
      </c>
      <c r="N23">
        <v>3</v>
      </c>
      <c r="O23">
        <v>1.16913</v>
      </c>
      <c r="P23">
        <v>6440.66</v>
      </c>
    </row>
    <row r="24" spans="1:16">
      <c r="A24">
        <v>19</v>
      </c>
      <c r="B24">
        <v>130467</v>
      </c>
      <c r="C24">
        <v>1.44539</v>
      </c>
      <c r="D24">
        <v>1353.13</v>
      </c>
      <c r="E24">
        <v>8</v>
      </c>
      <c r="F24">
        <v>1.8233600000000001</v>
      </c>
      <c r="G24">
        <v>2976.25</v>
      </c>
      <c r="H24">
        <v>4</v>
      </c>
      <c r="I24">
        <v>1.41981</v>
      </c>
      <c r="J24">
        <v>4056.99</v>
      </c>
      <c r="K24">
        <v>283</v>
      </c>
      <c r="L24">
        <v>1.8196699999999999</v>
      </c>
      <c r="M24">
        <v>4548.3599999999997</v>
      </c>
      <c r="N24">
        <v>4</v>
      </c>
      <c r="O24">
        <v>1.0808199999999999</v>
      </c>
      <c r="P24">
        <v>6147.57</v>
      </c>
    </row>
    <row r="25" spans="1:16">
      <c r="A25">
        <v>20</v>
      </c>
      <c r="B25">
        <v>148224</v>
      </c>
      <c r="C25">
        <v>1.08494</v>
      </c>
      <c r="D25">
        <v>1386.15</v>
      </c>
      <c r="E25">
        <v>8</v>
      </c>
      <c r="F25">
        <v>1.8041799999999999</v>
      </c>
      <c r="G25">
        <v>3959.19</v>
      </c>
      <c r="H25">
        <v>5</v>
      </c>
      <c r="I25">
        <v>1.7808999999999999</v>
      </c>
      <c r="J25">
        <v>3632.39</v>
      </c>
      <c r="K25">
        <v>228</v>
      </c>
      <c r="L25">
        <v>1.80182</v>
      </c>
      <c r="M25">
        <v>4405.01</v>
      </c>
      <c r="N25">
        <v>5</v>
      </c>
      <c r="O25">
        <v>1.39062</v>
      </c>
      <c r="P25">
        <v>5477.5</v>
      </c>
    </row>
    <row r="26" spans="1:16">
      <c r="A26">
        <v>21</v>
      </c>
      <c r="B26">
        <v>129227</v>
      </c>
      <c r="C26">
        <v>1.4629300000000001</v>
      </c>
      <c r="D26">
        <v>1411.58</v>
      </c>
      <c r="E26">
        <v>8</v>
      </c>
      <c r="F26">
        <v>1.8233600000000001</v>
      </c>
      <c r="G26">
        <v>2643.94</v>
      </c>
      <c r="H26">
        <v>7</v>
      </c>
      <c r="I26">
        <v>1.46149</v>
      </c>
      <c r="J26">
        <v>6464.22</v>
      </c>
      <c r="K26">
        <v>235</v>
      </c>
      <c r="L26">
        <v>1.8211999999999999</v>
      </c>
      <c r="M26">
        <v>5983.9</v>
      </c>
      <c r="N26">
        <v>4</v>
      </c>
      <c r="O26">
        <v>1.0808199999999999</v>
      </c>
      <c r="P26">
        <v>6026.98</v>
      </c>
    </row>
    <row r="27" spans="1:16">
      <c r="A27">
        <v>22</v>
      </c>
      <c r="B27">
        <v>146974</v>
      </c>
      <c r="C27">
        <v>1.4086099999999999</v>
      </c>
      <c r="D27">
        <v>1396.32</v>
      </c>
      <c r="E27">
        <v>7</v>
      </c>
      <c r="F27">
        <v>1.1993100000000001</v>
      </c>
      <c r="G27">
        <v>2969.32</v>
      </c>
      <c r="H27">
        <v>4</v>
      </c>
      <c r="I27">
        <v>1.47305</v>
      </c>
      <c r="J27">
        <v>3765.72</v>
      </c>
      <c r="K27">
        <v>608</v>
      </c>
      <c r="L27">
        <v>1.20096</v>
      </c>
      <c r="M27">
        <v>4962.6000000000004</v>
      </c>
      <c r="N27">
        <v>5</v>
      </c>
      <c r="O27">
        <v>1.6177900000000001</v>
      </c>
      <c r="P27">
        <v>6526.97</v>
      </c>
    </row>
    <row r="28" spans="1:16">
      <c r="A28">
        <v>23</v>
      </c>
      <c r="B28">
        <v>143717</v>
      </c>
      <c r="C28">
        <v>1.0950200000000001</v>
      </c>
      <c r="D28">
        <v>1436.3</v>
      </c>
      <c r="E28">
        <v>8</v>
      </c>
      <c r="F28">
        <v>1.34741</v>
      </c>
      <c r="G28">
        <v>5404.07</v>
      </c>
      <c r="H28">
        <v>6</v>
      </c>
      <c r="I28">
        <v>1.3977200000000001</v>
      </c>
      <c r="J28">
        <v>4093.29</v>
      </c>
      <c r="K28">
        <v>309</v>
      </c>
      <c r="L28">
        <v>1.3477300000000001</v>
      </c>
      <c r="M28">
        <v>4574.0200000000004</v>
      </c>
      <c r="N28">
        <v>3</v>
      </c>
      <c r="O28">
        <v>1.27003</v>
      </c>
      <c r="P28">
        <v>7134.05</v>
      </c>
    </row>
    <row r="29" spans="1:16">
      <c r="A29">
        <v>24</v>
      </c>
      <c r="B29">
        <v>156465</v>
      </c>
      <c r="C29">
        <v>1.4979499999999999</v>
      </c>
      <c r="D29">
        <v>1314.09</v>
      </c>
      <c r="E29">
        <v>6</v>
      </c>
      <c r="F29">
        <v>1.4756800000000001</v>
      </c>
      <c r="G29">
        <v>2793.78</v>
      </c>
      <c r="H29">
        <v>4</v>
      </c>
      <c r="I29">
        <v>1.47305</v>
      </c>
      <c r="J29">
        <v>3569.06</v>
      </c>
      <c r="K29">
        <v>202</v>
      </c>
      <c r="L29">
        <v>1.47441</v>
      </c>
      <c r="M29">
        <v>4731.03</v>
      </c>
      <c r="N29">
        <v>4</v>
      </c>
      <c r="O29">
        <v>1.1675899999999999</v>
      </c>
      <c r="P29">
        <v>8259.14</v>
      </c>
    </row>
    <row r="30" spans="1:16">
      <c r="A30">
        <v>25</v>
      </c>
      <c r="B30">
        <v>168546</v>
      </c>
      <c r="C30">
        <v>1.16496</v>
      </c>
      <c r="D30">
        <v>1522.63</v>
      </c>
      <c r="E30">
        <v>8</v>
      </c>
      <c r="F30">
        <v>1.8233600000000001</v>
      </c>
      <c r="G30">
        <v>2612.9299999999998</v>
      </c>
      <c r="H30">
        <v>3</v>
      </c>
      <c r="I30">
        <v>1.16913</v>
      </c>
      <c r="J30">
        <v>3746.65</v>
      </c>
      <c r="K30">
        <v>457</v>
      </c>
      <c r="L30">
        <v>1.8160499999999999</v>
      </c>
      <c r="M30">
        <v>4459.7299999999996</v>
      </c>
      <c r="N30">
        <v>4</v>
      </c>
      <c r="O30">
        <v>1.0808199999999999</v>
      </c>
      <c r="P30">
        <v>5713.99</v>
      </c>
    </row>
    <row r="31" spans="1:16">
      <c r="A31">
        <v>26</v>
      </c>
      <c r="B31">
        <v>150825</v>
      </c>
      <c r="C31">
        <v>1.43174</v>
      </c>
      <c r="D31">
        <v>1268.68</v>
      </c>
      <c r="E31">
        <v>10</v>
      </c>
      <c r="F31">
        <v>1.94354</v>
      </c>
      <c r="G31">
        <v>2953.87</v>
      </c>
      <c r="H31">
        <v>7</v>
      </c>
      <c r="I31">
        <v>1.6162399999999999</v>
      </c>
      <c r="J31">
        <v>5522.3</v>
      </c>
      <c r="K31">
        <v>738</v>
      </c>
      <c r="L31">
        <v>1.9349499999999999</v>
      </c>
      <c r="M31">
        <v>6761.44</v>
      </c>
      <c r="N31">
        <v>6</v>
      </c>
      <c r="O31">
        <v>1.43937</v>
      </c>
      <c r="P31">
        <v>6743.36</v>
      </c>
    </row>
    <row r="32" spans="1:16">
      <c r="A32">
        <v>27</v>
      </c>
      <c r="B32">
        <v>152083</v>
      </c>
      <c r="C32">
        <v>1.0841499999999999</v>
      </c>
      <c r="D32">
        <v>1300.92</v>
      </c>
      <c r="E32">
        <v>9</v>
      </c>
      <c r="F32">
        <v>1.9441200000000001</v>
      </c>
      <c r="G32">
        <v>2709.16</v>
      </c>
      <c r="H32">
        <v>6</v>
      </c>
      <c r="I32">
        <v>1.61578</v>
      </c>
      <c r="J32">
        <v>3774.06</v>
      </c>
      <c r="K32">
        <v>453</v>
      </c>
      <c r="L32">
        <v>1.93567</v>
      </c>
      <c r="M32">
        <v>4137.7700000000004</v>
      </c>
      <c r="N32">
        <v>3</v>
      </c>
      <c r="O32">
        <v>1.16913</v>
      </c>
      <c r="P32">
        <v>5647.74</v>
      </c>
    </row>
    <row r="33" spans="1:16">
      <c r="A33">
        <v>28</v>
      </c>
      <c r="B33">
        <v>132734</v>
      </c>
      <c r="C33">
        <v>1.31311</v>
      </c>
      <c r="D33">
        <v>1272.44</v>
      </c>
      <c r="E33">
        <v>10</v>
      </c>
      <c r="F33">
        <v>1.9959</v>
      </c>
      <c r="G33">
        <v>2744.09</v>
      </c>
      <c r="H33">
        <v>7</v>
      </c>
      <c r="I33">
        <v>1.43729</v>
      </c>
      <c r="J33">
        <v>3464.35</v>
      </c>
      <c r="K33">
        <v>501</v>
      </c>
      <c r="L33">
        <v>1.9888999999999999</v>
      </c>
      <c r="M33">
        <v>5620.14</v>
      </c>
      <c r="N33">
        <v>3</v>
      </c>
      <c r="O33">
        <v>1.27003</v>
      </c>
      <c r="P33">
        <v>6617.37</v>
      </c>
    </row>
    <row r="34" spans="1:16">
      <c r="A34">
        <v>29</v>
      </c>
      <c r="B34">
        <v>129230</v>
      </c>
      <c r="C34">
        <v>1.46292</v>
      </c>
      <c r="D34">
        <v>1278.55</v>
      </c>
      <c r="E34">
        <v>12</v>
      </c>
      <c r="F34">
        <v>1.9866999999999999</v>
      </c>
      <c r="G34">
        <v>2599.0300000000002</v>
      </c>
      <c r="H34">
        <v>5</v>
      </c>
      <c r="I34">
        <v>1.61568</v>
      </c>
      <c r="J34">
        <v>3322.02</v>
      </c>
      <c r="K34">
        <v>51</v>
      </c>
      <c r="L34">
        <v>1.9862</v>
      </c>
      <c r="M34">
        <v>4186.12</v>
      </c>
      <c r="N34">
        <v>3</v>
      </c>
      <c r="O34">
        <v>1.27003</v>
      </c>
      <c r="P34">
        <v>5533.09</v>
      </c>
    </row>
    <row r="35" spans="1:16">
      <c r="A35">
        <v>30</v>
      </c>
      <c r="B35">
        <v>153202</v>
      </c>
      <c r="C35">
        <v>1.0456099999999999</v>
      </c>
      <c r="D35">
        <v>1308.68</v>
      </c>
      <c r="E35">
        <v>8</v>
      </c>
      <c r="F35">
        <v>1.8233600000000001</v>
      </c>
      <c r="G35">
        <v>2712.99</v>
      </c>
      <c r="H35">
        <v>3</v>
      </c>
      <c r="I35">
        <v>1.16913</v>
      </c>
      <c r="J35">
        <v>3814.01</v>
      </c>
      <c r="K35">
        <v>145</v>
      </c>
      <c r="L35">
        <v>1.8216600000000001</v>
      </c>
      <c r="M35">
        <v>4247.41</v>
      </c>
      <c r="N35">
        <v>4</v>
      </c>
      <c r="O35">
        <v>1.0808199999999999</v>
      </c>
      <c r="P35">
        <v>7661.92</v>
      </c>
    </row>
    <row r="36" spans="1:16">
      <c r="A36">
        <v>31</v>
      </c>
      <c r="B36">
        <v>160616</v>
      </c>
      <c r="C36">
        <v>1.3855299999999999</v>
      </c>
      <c r="D36">
        <v>1715.79</v>
      </c>
      <c r="E36">
        <v>8</v>
      </c>
      <c r="F36">
        <v>1.48634</v>
      </c>
      <c r="G36">
        <v>2906.17</v>
      </c>
      <c r="H36">
        <v>3</v>
      </c>
      <c r="I36">
        <v>1.16913</v>
      </c>
      <c r="J36">
        <v>3505.33</v>
      </c>
      <c r="K36">
        <v>175</v>
      </c>
      <c r="L36">
        <v>1.48539</v>
      </c>
      <c r="M36">
        <v>4637.08</v>
      </c>
      <c r="N36">
        <v>4</v>
      </c>
      <c r="O36">
        <v>1.8813</v>
      </c>
      <c r="P36">
        <v>5614.41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20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168546</v>
      </c>
      <c r="C40" s="1">
        <f t="shared" ref="C40:P40" si="0">MAX(C5:C36)</f>
        <v>1.4979499999999999</v>
      </c>
      <c r="D40" s="1">
        <f t="shared" si="0"/>
        <v>2230.64</v>
      </c>
      <c r="E40" s="1">
        <f t="shared" si="0"/>
        <v>17</v>
      </c>
      <c r="F40" s="1">
        <f t="shared" si="0"/>
        <v>1.9959</v>
      </c>
      <c r="G40" s="1">
        <f t="shared" si="0"/>
        <v>5404.07</v>
      </c>
      <c r="H40" s="1">
        <f t="shared" si="0"/>
        <v>12</v>
      </c>
      <c r="I40" s="1">
        <f t="shared" si="0"/>
        <v>1.7965</v>
      </c>
      <c r="J40" s="1">
        <f t="shared" si="0"/>
        <v>6464.22</v>
      </c>
      <c r="K40" s="1">
        <f t="shared" si="0"/>
        <v>738</v>
      </c>
      <c r="L40" s="1">
        <f t="shared" si="0"/>
        <v>1.9888999999999999</v>
      </c>
      <c r="M40" s="1">
        <f t="shared" si="0"/>
        <v>8004.33</v>
      </c>
      <c r="N40" s="1">
        <f t="shared" si="0"/>
        <v>6</v>
      </c>
      <c r="O40" s="1">
        <f t="shared" si="0"/>
        <v>1.8813</v>
      </c>
      <c r="P40" s="1">
        <f t="shared" si="0"/>
        <v>9366.2199999999993</v>
      </c>
    </row>
    <row r="41" spans="1:16">
      <c r="A41" t="s">
        <v>12</v>
      </c>
      <c r="B41" s="1">
        <f>MIN(B5:B36)</f>
        <v>129227</v>
      </c>
      <c r="C41" s="1">
        <f t="shared" ref="C41:P41" si="1">MIN(C5:C36)</f>
        <v>1.0456099999999999</v>
      </c>
      <c r="D41" s="1">
        <f t="shared" si="1"/>
        <v>1263.3499999999999</v>
      </c>
      <c r="E41" s="1">
        <f t="shared" si="1"/>
        <v>6</v>
      </c>
      <c r="F41" s="1">
        <f t="shared" si="1"/>
        <v>1.0679399999999999</v>
      </c>
      <c r="G41" s="1">
        <f t="shared" si="1"/>
        <v>2599.0300000000002</v>
      </c>
      <c r="H41" s="1">
        <f t="shared" si="1"/>
        <v>3</v>
      </c>
      <c r="I41" s="1">
        <f t="shared" si="1"/>
        <v>1.0185599999999999</v>
      </c>
      <c r="J41" s="1">
        <f t="shared" si="1"/>
        <v>3322.02</v>
      </c>
      <c r="K41" s="1">
        <f t="shared" si="1"/>
        <v>51</v>
      </c>
      <c r="L41" s="1">
        <f t="shared" si="1"/>
        <v>1.0680700000000001</v>
      </c>
      <c r="M41" s="1">
        <f t="shared" si="1"/>
        <v>4137.7700000000004</v>
      </c>
      <c r="N41" s="1">
        <f t="shared" si="1"/>
        <v>3</v>
      </c>
      <c r="O41" s="1">
        <f t="shared" si="1"/>
        <v>1.0325599999999999</v>
      </c>
      <c r="P41" s="1">
        <f t="shared" si="1"/>
        <v>5477.5</v>
      </c>
    </row>
    <row r="42" spans="1:16">
      <c r="A42" t="s">
        <v>13</v>
      </c>
      <c r="B42" s="1">
        <f>MEDIAN(B5:B36)</f>
        <v>148143.5</v>
      </c>
      <c r="C42" s="1">
        <f t="shared" ref="C42:P42" si="2">MEDIAN(C5:C36)</f>
        <v>1.351005</v>
      </c>
      <c r="D42" s="1">
        <f t="shared" si="2"/>
        <v>1395.03</v>
      </c>
      <c r="E42" s="1">
        <f t="shared" si="2"/>
        <v>8</v>
      </c>
      <c r="F42" s="1">
        <f t="shared" si="2"/>
        <v>1.8041799999999999</v>
      </c>
      <c r="G42" s="1">
        <f t="shared" si="2"/>
        <v>2974</v>
      </c>
      <c r="H42" s="1">
        <f t="shared" si="2"/>
        <v>4</v>
      </c>
      <c r="I42" s="1">
        <f t="shared" si="2"/>
        <v>1.42855</v>
      </c>
      <c r="J42" s="1">
        <f t="shared" si="2"/>
        <v>4052.0649999999996</v>
      </c>
      <c r="K42" s="1">
        <f t="shared" si="2"/>
        <v>329</v>
      </c>
      <c r="L42" s="1">
        <f t="shared" si="2"/>
        <v>1.802535</v>
      </c>
      <c r="M42" s="1">
        <f t="shared" si="2"/>
        <v>5041.2049999999999</v>
      </c>
      <c r="N42" s="1">
        <f t="shared" si="2"/>
        <v>4</v>
      </c>
      <c r="O42" s="1">
        <f t="shared" si="2"/>
        <v>1.16913</v>
      </c>
      <c r="P42" s="1">
        <f t="shared" si="2"/>
        <v>6545.1900000000005</v>
      </c>
    </row>
    <row r="43" spans="1:16">
      <c r="A43" t="s">
        <v>14</v>
      </c>
      <c r="B43" s="1">
        <f>AVERAGE(B5:B36)</f>
        <v>148368.53125</v>
      </c>
      <c r="C43" s="1">
        <f t="shared" ref="C43:P43" si="3">AVERAGE(C5:C36)</f>
        <v>1.2939053125000002</v>
      </c>
      <c r="D43" s="1">
        <f t="shared" si="3"/>
        <v>1510.3131250000001</v>
      </c>
      <c r="E43" s="1">
        <f t="shared" si="3"/>
        <v>8.6875</v>
      </c>
      <c r="F43" s="1">
        <f t="shared" si="3"/>
        <v>1.6556228124999997</v>
      </c>
      <c r="G43" s="1">
        <f t="shared" si="3"/>
        <v>3367.8346874999997</v>
      </c>
      <c r="H43" s="1">
        <f t="shared" si="3"/>
        <v>4.875</v>
      </c>
      <c r="I43" s="1">
        <f t="shared" si="3"/>
        <v>1.4188493750000002</v>
      </c>
      <c r="J43" s="1">
        <f t="shared" si="3"/>
        <v>4341.4746875000001</v>
      </c>
      <c r="K43" s="1">
        <f t="shared" si="3"/>
        <v>361.875</v>
      </c>
      <c r="L43" s="1">
        <f t="shared" si="3"/>
        <v>1.6528759374999997</v>
      </c>
      <c r="M43" s="1">
        <f t="shared" si="3"/>
        <v>5294.8812500000004</v>
      </c>
      <c r="N43" s="1">
        <f t="shared" si="3"/>
        <v>3.875</v>
      </c>
      <c r="O43" s="1">
        <f t="shared" si="3"/>
        <v>1.2581578124999997</v>
      </c>
      <c r="P43" s="1">
        <f t="shared" si="3"/>
        <v>6819.8293750000003</v>
      </c>
    </row>
    <row r="44" spans="1:16">
      <c r="A44" t="s">
        <v>15</v>
      </c>
      <c r="B44" s="1">
        <f>STDEV(B5:B36)</f>
        <v>10447.035782658793</v>
      </c>
      <c r="C44" s="1">
        <f t="shared" ref="C44:P44" si="4">STDEV(C5:C36)</f>
        <v>0.14667664838188771</v>
      </c>
      <c r="D44" s="1">
        <f t="shared" si="4"/>
        <v>294.87048310957442</v>
      </c>
      <c r="E44" s="1">
        <f t="shared" si="4"/>
        <v>2.161801817182647</v>
      </c>
      <c r="F44" s="1">
        <f t="shared" si="4"/>
        <v>0.2742224895630524</v>
      </c>
      <c r="G44" s="1">
        <f t="shared" si="4"/>
        <v>815.33696044694932</v>
      </c>
      <c r="H44" s="1">
        <f t="shared" si="4"/>
        <v>1.8794302499736799</v>
      </c>
      <c r="I44" s="1">
        <f t="shared" si="4"/>
        <v>0.20025057833169257</v>
      </c>
      <c r="J44" s="1">
        <f t="shared" si="4"/>
        <v>841.95995220439215</v>
      </c>
      <c r="K44" s="1">
        <f t="shared" si="4"/>
        <v>186.37522852152753</v>
      </c>
      <c r="L44" s="1">
        <f t="shared" si="4"/>
        <v>0.27238415028801949</v>
      </c>
      <c r="M44" s="1">
        <f t="shared" si="4"/>
        <v>1026.6626600779773</v>
      </c>
      <c r="N44" s="1">
        <f t="shared" si="4"/>
        <v>0.8706690049203728</v>
      </c>
      <c r="O44" s="1">
        <f t="shared" si="4"/>
        <v>0.21967864890649677</v>
      </c>
      <c r="P44" s="1">
        <f t="shared" si="4"/>
        <v>1133.3743444301533</v>
      </c>
    </row>
    <row r="45" spans="1:16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H37"/>
  <sheetViews>
    <sheetView tabSelected="1" topLeftCell="P9" workbookViewId="0">
      <selection activeCell="AG15" sqref="AG15"/>
    </sheetView>
  </sheetViews>
  <sheetFormatPr baseColWidth="10" defaultRowHeight="16"/>
  <cols>
    <col min="1" max="1" width="17.33203125" bestFit="1" customWidth="1"/>
    <col min="2" max="2" width="7.6640625" bestFit="1" customWidth="1"/>
    <col min="3" max="3" width="13" bestFit="1" customWidth="1"/>
    <col min="4" max="4" width="6.83203125" bestFit="1" customWidth="1"/>
    <col min="5" max="5" width="9.1640625" bestFit="1" customWidth="1"/>
    <col min="6" max="6" width="12.1640625" bestFit="1" customWidth="1"/>
    <col min="7" max="7" width="11.5" bestFit="1" customWidth="1"/>
    <col min="8" max="8" width="6.83203125" customWidth="1"/>
    <col min="9" max="9" width="11.1640625" bestFit="1" customWidth="1"/>
    <col min="10" max="10" width="12.1640625" bestFit="1" customWidth="1"/>
    <col min="11" max="11" width="20.1640625" bestFit="1" customWidth="1"/>
    <col min="12" max="12" width="6.83203125" bestFit="1" customWidth="1"/>
    <col min="13" max="13" width="12.5" bestFit="1" customWidth="1"/>
    <col min="14" max="18" width="12.1640625" bestFit="1" customWidth="1"/>
    <col min="19" max="22" width="6.83203125" customWidth="1"/>
    <col min="23" max="23" width="12.5" bestFit="1" customWidth="1"/>
    <col min="24" max="28" width="12.1640625" bestFit="1" customWidth="1"/>
    <col min="29" max="32" width="6.83203125" customWidth="1"/>
    <col min="34" max="34" width="9.1640625" bestFit="1" customWidth="1"/>
  </cols>
  <sheetData>
    <row r="1" spans="1:34">
      <c r="A1" t="s">
        <v>17</v>
      </c>
      <c r="C1" t="s">
        <v>7</v>
      </c>
      <c r="M1" t="s">
        <v>8</v>
      </c>
      <c r="W1" t="s">
        <v>9</v>
      </c>
    </row>
    <row r="2" spans="1:34">
      <c r="A2">
        <v>5</v>
      </c>
      <c r="C2" s="4" t="s">
        <v>4</v>
      </c>
      <c r="D2" s="4"/>
      <c r="E2" s="4" t="s">
        <v>5</v>
      </c>
      <c r="F2" s="4"/>
      <c r="G2" t="s">
        <v>19</v>
      </c>
      <c r="I2" s="4" t="s">
        <v>6</v>
      </c>
      <c r="J2" s="4"/>
      <c r="K2" t="s">
        <v>20</v>
      </c>
      <c r="M2" s="4" t="s">
        <v>4</v>
      </c>
      <c r="N2" s="4"/>
      <c r="O2" s="4" t="s">
        <v>5</v>
      </c>
      <c r="P2" s="4"/>
      <c r="Q2" t="s">
        <v>19</v>
      </c>
      <c r="S2" s="4" t="s">
        <v>6</v>
      </c>
      <c r="T2" s="4"/>
      <c r="U2" t="s">
        <v>20</v>
      </c>
      <c r="W2" s="4" t="s">
        <v>4</v>
      </c>
      <c r="X2" s="4"/>
      <c r="Y2" s="4" t="s">
        <v>5</v>
      </c>
      <c r="Z2" s="4"/>
      <c r="AA2" t="s">
        <v>19</v>
      </c>
      <c r="AC2" s="4" t="s">
        <v>6</v>
      </c>
      <c r="AD2" s="4"/>
      <c r="AE2" t="s">
        <v>20</v>
      </c>
    </row>
    <row r="3" spans="1:34">
      <c r="A3" t="s">
        <v>1</v>
      </c>
      <c r="B3" t="s">
        <v>18</v>
      </c>
      <c r="C3" t="s">
        <v>14</v>
      </c>
      <c r="D3" t="s">
        <v>16</v>
      </c>
      <c r="E3" t="s">
        <v>14</v>
      </c>
      <c r="F3" t="s">
        <v>16</v>
      </c>
      <c r="G3" t="s">
        <v>14</v>
      </c>
      <c r="H3" t="s">
        <v>16</v>
      </c>
      <c r="I3" t="s">
        <v>14</v>
      </c>
      <c r="J3" t="s">
        <v>16</v>
      </c>
      <c r="K3" t="s">
        <v>14</v>
      </c>
      <c r="L3" t="s">
        <v>16</v>
      </c>
      <c r="M3" t="s">
        <v>14</v>
      </c>
      <c r="N3" t="s">
        <v>16</v>
      </c>
      <c r="O3" t="s">
        <v>14</v>
      </c>
      <c r="P3" t="s">
        <v>16</v>
      </c>
      <c r="Q3" t="s">
        <v>14</v>
      </c>
      <c r="R3" t="s">
        <v>16</v>
      </c>
      <c r="S3" t="s">
        <v>14</v>
      </c>
      <c r="T3" t="s">
        <v>16</v>
      </c>
      <c r="U3" t="s">
        <v>14</v>
      </c>
      <c r="V3" t="s">
        <v>16</v>
      </c>
      <c r="W3" t="s">
        <v>14</v>
      </c>
      <c r="X3" t="s">
        <v>16</v>
      </c>
      <c r="Y3" t="s">
        <v>14</v>
      </c>
      <c r="Z3" t="s">
        <v>16</v>
      </c>
      <c r="AA3" t="s">
        <v>14</v>
      </c>
      <c r="AB3" t="s">
        <v>16</v>
      </c>
      <c r="AC3" t="s">
        <v>14</v>
      </c>
      <c r="AD3" t="s">
        <v>16</v>
      </c>
      <c r="AE3" t="s">
        <v>14</v>
      </c>
      <c r="AF3" t="s">
        <v>16</v>
      </c>
    </row>
    <row r="4" spans="1:34">
      <c r="A4">
        <v>53</v>
      </c>
      <c r="B4" s="2">
        <f>SQRT(A4)</f>
        <v>7.2801098892805181</v>
      </c>
      <c r="C4" s="1">
        <v>27.09375</v>
      </c>
      <c r="D4" s="1">
        <v>4.1063238013203884</v>
      </c>
      <c r="E4">
        <v>5.75</v>
      </c>
      <c r="F4">
        <v>1.2443420336765103</v>
      </c>
      <c r="G4">
        <v>4.21875</v>
      </c>
      <c r="H4">
        <v>1.1283552117444966</v>
      </c>
      <c r="I4">
        <v>7.9375</v>
      </c>
      <c r="J4">
        <v>2.0781117359508787</v>
      </c>
      <c r="K4">
        <v>3.84375</v>
      </c>
      <c r="L4">
        <v>0.95408713337122208</v>
      </c>
      <c r="M4">
        <v>1.4989746875000001</v>
      </c>
      <c r="N4">
        <v>0.26812880419419588</v>
      </c>
      <c r="O4">
        <v>1.4679396874999997</v>
      </c>
      <c r="P4">
        <v>0.19310660972440813</v>
      </c>
      <c r="Q4">
        <v>1.2927703124999996</v>
      </c>
      <c r="R4">
        <v>0.18027498226024768</v>
      </c>
      <c r="S4">
        <v>1.2620631250000001</v>
      </c>
      <c r="T4">
        <v>0.21033013017845781</v>
      </c>
      <c r="U4">
        <v>1.2975603124999995</v>
      </c>
      <c r="V4">
        <v>9.501840468525799E-2</v>
      </c>
      <c r="W4">
        <v>0.94531250000000011</v>
      </c>
      <c r="X4">
        <v>1.644545205049595</v>
      </c>
      <c r="Y4">
        <v>1.3599999999999999</v>
      </c>
      <c r="Z4">
        <v>1.6235604045112626</v>
      </c>
      <c r="AA4">
        <v>1.8603125000000003</v>
      </c>
      <c r="AB4">
        <v>1.9846775709126838</v>
      </c>
      <c r="AC4">
        <v>1.7437500000000004</v>
      </c>
      <c r="AD4">
        <v>1.5056983161825073</v>
      </c>
      <c r="AE4">
        <v>2.7650000000000006</v>
      </c>
      <c r="AF4">
        <v>1.5402136424912369</v>
      </c>
      <c r="AH4">
        <f>A4/30</f>
        <v>1.7666666666666666</v>
      </c>
    </row>
    <row r="5" spans="1:34">
      <c r="A5">
        <v>503</v>
      </c>
      <c r="B5" s="2">
        <f t="shared" ref="B5:B8" si="0">SQRT(A5)</f>
        <v>22.427661492005804</v>
      </c>
      <c r="C5" s="1">
        <v>242.4375</v>
      </c>
      <c r="D5" s="1">
        <v>27.794101834277601</v>
      </c>
      <c r="E5">
        <v>6.5625</v>
      </c>
      <c r="F5">
        <v>1.50134348437142</v>
      </c>
      <c r="G5">
        <v>4.5625</v>
      </c>
      <c r="H5">
        <v>1.1341473989656923</v>
      </c>
      <c r="I5">
        <v>19.84375</v>
      </c>
      <c r="J5">
        <v>8.3747291723181956</v>
      </c>
      <c r="K5">
        <v>4.375</v>
      </c>
      <c r="L5">
        <v>1.128801819801464</v>
      </c>
      <c r="M5">
        <v>1.2138409374999999</v>
      </c>
      <c r="N5">
        <v>0.16229038127360385</v>
      </c>
      <c r="O5">
        <v>1.616455625</v>
      </c>
      <c r="P5">
        <v>0.28264857947107508</v>
      </c>
      <c r="Q5">
        <v>1.381974375</v>
      </c>
      <c r="R5">
        <v>0.28305121516440912</v>
      </c>
      <c r="S5">
        <v>1.5832953124999998</v>
      </c>
      <c r="T5">
        <v>0.26743719099805935</v>
      </c>
      <c r="U5">
        <v>1.5609421874999996</v>
      </c>
      <c r="V5">
        <v>0.3540812185190913</v>
      </c>
      <c r="W5">
        <v>2.3843749999999995</v>
      </c>
      <c r="X5">
        <v>1.6919008922015084</v>
      </c>
      <c r="Y5">
        <v>5.5021875000000025</v>
      </c>
      <c r="Z5">
        <v>4.5269570598553468</v>
      </c>
      <c r="AA5">
        <v>13.129375</v>
      </c>
      <c r="AB5">
        <v>17.086022194632779</v>
      </c>
      <c r="AC5">
        <v>7.7384375000000016</v>
      </c>
      <c r="AD5">
        <v>9.8464557597252114</v>
      </c>
      <c r="AE5">
        <v>14.089374999999999</v>
      </c>
      <c r="AF5">
        <v>10.27009091190091</v>
      </c>
      <c r="AH5">
        <f t="shared" ref="AH5:AH8" si="1">A5/30</f>
        <v>16.766666666666666</v>
      </c>
    </row>
    <row r="6" spans="1:34">
      <c r="A6">
        <v>5003</v>
      </c>
      <c r="B6" s="2">
        <f t="shared" si="0"/>
        <v>70.731888141064076</v>
      </c>
      <c r="C6" s="1">
        <v>1977.125</v>
      </c>
      <c r="D6" s="1">
        <v>156.40904808412026</v>
      </c>
      <c r="E6">
        <v>7.40625</v>
      </c>
      <c r="F6">
        <v>1.7935255423237613</v>
      </c>
      <c r="G6">
        <v>4.65625</v>
      </c>
      <c r="H6">
        <v>1.7340866332490148</v>
      </c>
      <c r="I6">
        <v>50.9375</v>
      </c>
      <c r="J6">
        <v>26.796650609189346</v>
      </c>
      <c r="K6">
        <v>3.625</v>
      </c>
      <c r="L6">
        <v>0.94185814971976989</v>
      </c>
      <c r="M6">
        <v>1.3273428125</v>
      </c>
      <c r="N6">
        <v>0.2347310436914547</v>
      </c>
      <c r="O6">
        <v>1.6858078125000002</v>
      </c>
      <c r="P6">
        <v>0.25389709890139261</v>
      </c>
      <c r="Q6">
        <v>1.5851906250000003</v>
      </c>
      <c r="R6">
        <v>0.21883109701079942</v>
      </c>
      <c r="S6">
        <v>1.6590281250000001</v>
      </c>
      <c r="T6">
        <v>0.24701550388115689</v>
      </c>
      <c r="U6">
        <v>1.6532243749999997</v>
      </c>
      <c r="V6">
        <v>0.21934330028574317</v>
      </c>
      <c r="W6">
        <v>17.511562499999997</v>
      </c>
      <c r="X6">
        <v>19.312767147645975</v>
      </c>
      <c r="Y6">
        <v>27.126249999999995</v>
      </c>
      <c r="Z6">
        <v>10.906799225934199</v>
      </c>
      <c r="AA6">
        <v>39.313749999999999</v>
      </c>
      <c r="AB6">
        <v>17.126199275172034</v>
      </c>
      <c r="AC6">
        <v>40.701249999999987</v>
      </c>
      <c r="AD6">
        <v>20.475514842477519</v>
      </c>
      <c r="AE6">
        <v>54.244374999999991</v>
      </c>
      <c r="AF6">
        <v>24.949577530523701</v>
      </c>
      <c r="AH6">
        <f t="shared" si="1"/>
        <v>166.76666666666668</v>
      </c>
    </row>
    <row r="7" spans="1:34">
      <c r="A7">
        <v>50003</v>
      </c>
      <c r="B7" s="2">
        <f t="shared" si="0"/>
        <v>223.61350585329143</v>
      </c>
      <c r="C7" s="1">
        <v>16189.90625</v>
      </c>
      <c r="D7" s="1">
        <v>1708.3563947761547</v>
      </c>
      <c r="E7">
        <v>7.53125</v>
      </c>
      <c r="F7">
        <v>2.5901099117293671</v>
      </c>
      <c r="G7">
        <v>4.59375</v>
      </c>
      <c r="H7">
        <v>2.2555934059362794</v>
      </c>
      <c r="I7">
        <v>137.59375</v>
      </c>
      <c r="J7">
        <v>64.796883325586563</v>
      </c>
      <c r="K7">
        <v>4.03125</v>
      </c>
      <c r="L7">
        <v>1.2044105772989864</v>
      </c>
      <c r="M7">
        <v>1.3284699999999998</v>
      </c>
      <c r="N7">
        <v>0.14812212844637412</v>
      </c>
      <c r="O7">
        <v>1.5093584374999998</v>
      </c>
      <c r="P7">
        <v>0.33487512373641642</v>
      </c>
      <c r="Q7">
        <v>1.2275878125000002</v>
      </c>
      <c r="R7">
        <v>0.20475768827558943</v>
      </c>
      <c r="S7">
        <v>1.5034825000000005</v>
      </c>
      <c r="T7">
        <v>0.33141149284099297</v>
      </c>
      <c r="U7">
        <v>1.3122162500000003</v>
      </c>
      <c r="V7">
        <v>0.30104752522408795</v>
      </c>
      <c r="W7">
        <v>143.59281249999998</v>
      </c>
      <c r="X7">
        <v>56.193428799298154</v>
      </c>
      <c r="Y7">
        <v>307.12718749999999</v>
      </c>
      <c r="Z7">
        <v>122.92912629574292</v>
      </c>
      <c r="AA7">
        <v>382.05656249999998</v>
      </c>
      <c r="AB7">
        <v>91.876043127170448</v>
      </c>
      <c r="AC7">
        <v>417.95406249999985</v>
      </c>
      <c r="AD7">
        <v>128.89609908908506</v>
      </c>
      <c r="AE7">
        <v>638.3687500000002</v>
      </c>
      <c r="AF7">
        <v>208.62075954831531</v>
      </c>
      <c r="AH7">
        <f t="shared" si="1"/>
        <v>1666.7666666666667</v>
      </c>
    </row>
    <row r="8" spans="1:34">
      <c r="A8">
        <v>500003</v>
      </c>
      <c r="B8" s="2">
        <f t="shared" si="0"/>
        <v>707.10890250370915</v>
      </c>
      <c r="C8" s="1">
        <v>148368.53125</v>
      </c>
      <c r="D8" s="1">
        <v>10447.035782658793</v>
      </c>
      <c r="E8">
        <v>8.6875</v>
      </c>
      <c r="F8">
        <v>2.161801817182647</v>
      </c>
      <c r="G8">
        <v>4.875</v>
      </c>
      <c r="H8">
        <v>1.8794302499736799</v>
      </c>
      <c r="I8">
        <v>361.875</v>
      </c>
      <c r="J8">
        <v>186.37522852152753</v>
      </c>
      <c r="K8">
        <v>3.875</v>
      </c>
      <c r="L8">
        <v>0.8706690049203728</v>
      </c>
      <c r="M8">
        <v>1.2939053125000002</v>
      </c>
      <c r="N8">
        <v>0.14667664838188771</v>
      </c>
      <c r="O8">
        <v>1.6556228124999997</v>
      </c>
      <c r="P8">
        <v>0.2742224895630524</v>
      </c>
      <c r="Q8">
        <v>1.4188493750000002</v>
      </c>
      <c r="R8">
        <v>0.20025057833169257</v>
      </c>
      <c r="S8">
        <v>1.6528759374999997</v>
      </c>
      <c r="T8">
        <v>0.27238415028801949</v>
      </c>
      <c r="U8">
        <v>1.2581578124999997</v>
      </c>
      <c r="V8">
        <v>0.21967864890649677</v>
      </c>
      <c r="W8">
        <v>1510.3131250000001</v>
      </c>
      <c r="X8">
        <v>294.87048310957442</v>
      </c>
      <c r="Y8">
        <v>3367.8346874999997</v>
      </c>
      <c r="Z8">
        <v>815.33696044694932</v>
      </c>
      <c r="AA8">
        <v>4341.4746875000001</v>
      </c>
      <c r="AB8">
        <v>841.95995220439215</v>
      </c>
      <c r="AC8">
        <v>5294.8812500000004</v>
      </c>
      <c r="AD8">
        <v>1026.6626600779773</v>
      </c>
      <c r="AE8">
        <v>6819.8293750000003</v>
      </c>
      <c r="AF8">
        <v>1133.3743444301533</v>
      </c>
      <c r="AH8">
        <f t="shared" si="1"/>
        <v>16666.766666666666</v>
      </c>
    </row>
    <row r="9" spans="1:34">
      <c r="B9" s="2"/>
      <c r="C9" s="1"/>
      <c r="D9" s="1"/>
      <c r="E9" s="1"/>
      <c r="F9" s="1"/>
      <c r="G9" s="1"/>
      <c r="H9" s="1"/>
    </row>
    <row r="10" spans="1:34">
      <c r="B10" s="2"/>
      <c r="C10" s="1"/>
      <c r="D10" s="1"/>
      <c r="E10" s="1"/>
      <c r="F10" s="1"/>
      <c r="G10" s="1"/>
      <c r="H10" s="1"/>
    </row>
    <row r="11" spans="1:34">
      <c r="B11" s="2"/>
      <c r="C11" s="1"/>
      <c r="D11" s="1"/>
      <c r="E11" s="1"/>
      <c r="F11" s="1"/>
      <c r="G11" s="1"/>
      <c r="H11" s="1"/>
    </row>
    <row r="12" spans="1:34">
      <c r="B12" s="2"/>
      <c r="C12" s="1"/>
      <c r="D12" s="1"/>
      <c r="E12" s="1"/>
      <c r="F12" s="1"/>
      <c r="G12" s="1"/>
      <c r="H12" s="1"/>
    </row>
    <row r="13" spans="1:34">
      <c r="B13" s="2"/>
      <c r="C13" s="1"/>
      <c r="D13" s="1"/>
      <c r="E13" s="1"/>
      <c r="F13" s="1"/>
      <c r="G13" s="1"/>
      <c r="H13" s="1"/>
    </row>
    <row r="14" spans="1:34">
      <c r="B14" s="2"/>
      <c r="C14" s="1"/>
      <c r="D14" s="1"/>
      <c r="E14" s="1"/>
      <c r="F14" s="1"/>
      <c r="G14" s="1"/>
      <c r="H14" s="1"/>
    </row>
    <row r="15" spans="1:34">
      <c r="B15" s="2"/>
      <c r="C15" s="1"/>
      <c r="D15" s="1"/>
      <c r="E15" s="1"/>
      <c r="F15" s="1"/>
      <c r="G15" s="1"/>
      <c r="H15" s="1"/>
    </row>
    <row r="16" spans="1:34">
      <c r="B16" s="2"/>
      <c r="C16" s="1"/>
      <c r="D16" s="1"/>
      <c r="E16" s="1"/>
      <c r="F16" s="1"/>
      <c r="G16" s="1"/>
      <c r="H16" s="1"/>
    </row>
    <row r="17" spans="2:8">
      <c r="B17" s="2"/>
      <c r="C17" s="1"/>
      <c r="D17" s="1"/>
      <c r="E17" s="1"/>
      <c r="F17" s="1"/>
      <c r="G17" s="1"/>
      <c r="H17" s="1"/>
    </row>
    <row r="18" spans="2:8">
      <c r="B18" s="2"/>
      <c r="C18" s="1"/>
      <c r="D18" s="1"/>
      <c r="E18" s="1"/>
      <c r="F18" s="1"/>
      <c r="G18" s="1"/>
      <c r="H18" s="1"/>
    </row>
    <row r="32" spans="2:8">
      <c r="C32" s="4"/>
      <c r="D32" s="4"/>
      <c r="E32" s="3"/>
      <c r="F32" s="3"/>
      <c r="G32" s="3"/>
      <c r="H32" s="3"/>
    </row>
    <row r="33" spans="1:3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</sheetData>
  <mergeCells count="10">
    <mergeCell ref="W2:X2"/>
    <mergeCell ref="Y2:Z2"/>
    <mergeCell ref="AC2:AD2"/>
    <mergeCell ref="C32:D32"/>
    <mergeCell ref="C2:D2"/>
    <mergeCell ref="E2:F2"/>
    <mergeCell ref="I2:J2"/>
    <mergeCell ref="M2:N2"/>
    <mergeCell ref="O2:P2"/>
    <mergeCell ref="S2:T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SummarizeData">
                <anchor moveWithCells="1" sizeWithCells="1">
                  <from>
                    <xdr:col>34</xdr:col>
                    <xdr:colOff>38100</xdr:colOff>
                    <xdr:row>2</xdr:row>
                    <xdr:rowOff>12700</xdr:rowOff>
                  </from>
                  <to>
                    <xdr:col>36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2018-05-07T02:50:43Z</dcterms:modified>
</cp:coreProperties>
</file>